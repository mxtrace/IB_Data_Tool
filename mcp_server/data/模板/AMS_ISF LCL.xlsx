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mzqing\Desktop\"/>
    </mc:Choice>
  </mc:AlternateContent>
  <xr:revisionPtr revIDLastSave="0" documentId="13_ncr:1_{A124650B-9600-46D5-BC7C-FC77C5BA1E9D}" xr6:coauthVersionLast="47" xr6:coauthVersionMax="47" xr10:uidLastSave="{00000000-0000-0000-0000-000000000000}"/>
  <bookViews>
    <workbookView xWindow="-113" yWindow="-113" windowWidth="32281" windowHeight="17531" xr2:uid="{00000000-000D-0000-FFFF-FFFF00000000}"/>
  </bookViews>
  <sheets>
    <sheet name="AMS" sheetId="1" r:id="rId1"/>
    <sheet name="ISF" sheetId="2" r:id="rId2"/>
    <sheet name="Summary" sheetId="3" state="hidden" r:id="rId3"/>
    <sheet name="填写说明 " sheetId="4" r:id="rId4"/>
    <sheet name="English Instructions" sheetId="5" r:id="rId5"/>
    <sheet name="FC ADDRESS" sheetId="6" r:id="rId6"/>
  </sheets>
  <definedNames>
    <definedName name="_xlnm._FilterDatabase" localSheetId="5" hidden="1">'FC ADDRESS'!$A$1:$I$106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00" i="3" l="1"/>
  <c r="G1000" i="3"/>
  <c r="F1000" i="3"/>
  <c r="B1000" i="3"/>
  <c r="A1000" i="3"/>
  <c r="I999" i="3"/>
  <c r="G999" i="3"/>
  <c r="F999" i="3"/>
  <c r="B999" i="3"/>
  <c r="A999" i="3"/>
  <c r="I998" i="3"/>
  <c r="G998" i="3"/>
  <c r="F998" i="3"/>
  <c r="B998" i="3"/>
  <c r="A998" i="3"/>
  <c r="I997" i="3"/>
  <c r="G997" i="3"/>
  <c r="F997" i="3"/>
  <c r="B997" i="3"/>
  <c r="A997" i="3"/>
  <c r="I996" i="3"/>
  <c r="G996" i="3"/>
  <c r="F996" i="3"/>
  <c r="B996" i="3"/>
  <c r="A996" i="3"/>
  <c r="I995" i="3"/>
  <c r="G995" i="3"/>
  <c r="F995" i="3"/>
  <c r="B995" i="3"/>
  <c r="A995" i="3"/>
  <c r="I994" i="3"/>
  <c r="G994" i="3"/>
  <c r="F994" i="3"/>
  <c r="B994" i="3"/>
  <c r="A994" i="3"/>
  <c r="I993" i="3"/>
  <c r="G993" i="3"/>
  <c r="F993" i="3"/>
  <c r="B993" i="3"/>
  <c r="A993" i="3"/>
  <c r="I992" i="3"/>
  <c r="G992" i="3"/>
  <c r="F992" i="3"/>
  <c r="B992" i="3"/>
  <c r="A992" i="3"/>
  <c r="I991" i="3"/>
  <c r="G991" i="3"/>
  <c r="F991" i="3"/>
  <c r="B991" i="3"/>
  <c r="A991" i="3"/>
  <c r="I990" i="3"/>
  <c r="G990" i="3"/>
  <c r="F990" i="3"/>
  <c r="B990" i="3"/>
  <c r="A990" i="3"/>
  <c r="I989" i="3"/>
  <c r="G989" i="3"/>
  <c r="F989" i="3"/>
  <c r="B989" i="3"/>
  <c r="A989" i="3"/>
  <c r="I988" i="3"/>
  <c r="G988" i="3"/>
  <c r="F988" i="3"/>
  <c r="B988" i="3"/>
  <c r="A988" i="3"/>
  <c r="I987" i="3"/>
  <c r="G987" i="3"/>
  <c r="F987" i="3"/>
  <c r="B987" i="3"/>
  <c r="A987" i="3"/>
  <c r="I986" i="3"/>
  <c r="G986" i="3"/>
  <c r="F986" i="3"/>
  <c r="B986" i="3"/>
  <c r="A986" i="3"/>
  <c r="I985" i="3"/>
  <c r="G985" i="3"/>
  <c r="F985" i="3"/>
  <c r="B985" i="3"/>
  <c r="A985" i="3"/>
  <c r="I984" i="3"/>
  <c r="G984" i="3"/>
  <c r="F984" i="3"/>
  <c r="B984" i="3"/>
  <c r="A984" i="3"/>
  <c r="I983" i="3"/>
  <c r="G983" i="3"/>
  <c r="F983" i="3"/>
  <c r="B983" i="3"/>
  <c r="A983" i="3"/>
  <c r="I982" i="3"/>
  <c r="G982" i="3"/>
  <c r="F982" i="3"/>
  <c r="B982" i="3"/>
  <c r="A982" i="3"/>
  <c r="I981" i="3"/>
  <c r="G981" i="3"/>
  <c r="F981" i="3"/>
  <c r="B981" i="3"/>
  <c r="A981" i="3"/>
  <c r="I980" i="3"/>
  <c r="G980" i="3"/>
  <c r="F980" i="3"/>
  <c r="B980" i="3"/>
  <c r="A980" i="3"/>
  <c r="I979" i="3"/>
  <c r="G979" i="3"/>
  <c r="F979" i="3"/>
  <c r="B979" i="3"/>
  <c r="A979" i="3"/>
  <c r="I978" i="3"/>
  <c r="G978" i="3"/>
  <c r="F978" i="3"/>
  <c r="B978" i="3"/>
  <c r="A978" i="3"/>
  <c r="I977" i="3"/>
  <c r="G977" i="3"/>
  <c r="F977" i="3"/>
  <c r="B977" i="3"/>
  <c r="A977" i="3"/>
  <c r="I976" i="3"/>
  <c r="G976" i="3"/>
  <c r="F976" i="3"/>
  <c r="B976" i="3"/>
  <c r="A976" i="3"/>
  <c r="I975" i="3"/>
  <c r="G975" i="3"/>
  <c r="F975" i="3"/>
  <c r="B975" i="3"/>
  <c r="A975" i="3"/>
  <c r="I974" i="3"/>
  <c r="G974" i="3"/>
  <c r="F974" i="3"/>
  <c r="B974" i="3"/>
  <c r="A974" i="3"/>
  <c r="I973" i="3"/>
  <c r="G973" i="3"/>
  <c r="F973" i="3"/>
  <c r="B973" i="3"/>
  <c r="A973" i="3"/>
  <c r="I972" i="3"/>
  <c r="G972" i="3"/>
  <c r="F972" i="3"/>
  <c r="B972" i="3"/>
  <c r="A972" i="3"/>
  <c r="I971" i="3"/>
  <c r="G971" i="3"/>
  <c r="F971" i="3"/>
  <c r="B971" i="3"/>
  <c r="A971" i="3"/>
  <c r="I970" i="3"/>
  <c r="G970" i="3"/>
  <c r="F970" i="3"/>
  <c r="B970" i="3"/>
  <c r="A970" i="3"/>
  <c r="I969" i="3"/>
  <c r="G969" i="3"/>
  <c r="F969" i="3"/>
  <c r="B969" i="3"/>
  <c r="A969" i="3"/>
  <c r="I968" i="3"/>
  <c r="G968" i="3"/>
  <c r="F968" i="3"/>
  <c r="B968" i="3"/>
  <c r="A968" i="3"/>
  <c r="I967" i="3"/>
  <c r="G967" i="3"/>
  <c r="F967" i="3"/>
  <c r="B967" i="3"/>
  <c r="A967" i="3"/>
  <c r="I966" i="3"/>
  <c r="G966" i="3"/>
  <c r="F966" i="3"/>
  <c r="B966" i="3"/>
  <c r="A966" i="3"/>
  <c r="I965" i="3"/>
  <c r="G965" i="3"/>
  <c r="F965" i="3"/>
  <c r="B965" i="3"/>
  <c r="A965" i="3"/>
  <c r="I964" i="3"/>
  <c r="G964" i="3"/>
  <c r="F964" i="3"/>
  <c r="B964" i="3"/>
  <c r="A964" i="3"/>
  <c r="I963" i="3"/>
  <c r="G963" i="3"/>
  <c r="F963" i="3"/>
  <c r="B963" i="3"/>
  <c r="A963" i="3"/>
  <c r="I962" i="3"/>
  <c r="G962" i="3"/>
  <c r="F962" i="3"/>
  <c r="B962" i="3"/>
  <c r="A962" i="3"/>
  <c r="I961" i="3"/>
  <c r="G961" i="3"/>
  <c r="F961" i="3"/>
  <c r="B961" i="3"/>
  <c r="A961" i="3"/>
  <c r="I960" i="3"/>
  <c r="G960" i="3"/>
  <c r="F960" i="3"/>
  <c r="B960" i="3"/>
  <c r="A960" i="3"/>
  <c r="I959" i="3"/>
  <c r="G959" i="3"/>
  <c r="F959" i="3"/>
  <c r="B959" i="3"/>
  <c r="A959" i="3"/>
  <c r="I958" i="3"/>
  <c r="G958" i="3"/>
  <c r="F958" i="3"/>
  <c r="B958" i="3"/>
  <c r="A958" i="3"/>
  <c r="I957" i="3"/>
  <c r="G957" i="3"/>
  <c r="F957" i="3"/>
  <c r="B957" i="3"/>
  <c r="A957" i="3"/>
  <c r="I956" i="3"/>
  <c r="G956" i="3"/>
  <c r="F956" i="3"/>
  <c r="B956" i="3"/>
  <c r="A956" i="3"/>
  <c r="I955" i="3"/>
  <c r="G955" i="3"/>
  <c r="F955" i="3"/>
  <c r="B955" i="3"/>
  <c r="A955" i="3"/>
  <c r="I954" i="3"/>
  <c r="G954" i="3"/>
  <c r="F954" i="3"/>
  <c r="B954" i="3"/>
  <c r="A954" i="3"/>
  <c r="I953" i="3"/>
  <c r="G953" i="3"/>
  <c r="F953" i="3"/>
  <c r="B953" i="3"/>
  <c r="A953" i="3"/>
  <c r="I952" i="3"/>
  <c r="G952" i="3"/>
  <c r="F952" i="3"/>
  <c r="B952" i="3"/>
  <c r="A952" i="3"/>
  <c r="I951" i="3"/>
  <c r="G951" i="3"/>
  <c r="F951" i="3"/>
  <c r="B951" i="3"/>
  <c r="A951" i="3"/>
  <c r="I950" i="3"/>
  <c r="G950" i="3"/>
  <c r="F950" i="3"/>
  <c r="B950" i="3"/>
  <c r="A950" i="3"/>
  <c r="I949" i="3"/>
  <c r="G949" i="3"/>
  <c r="F949" i="3"/>
  <c r="B949" i="3"/>
  <c r="A949" i="3"/>
  <c r="I948" i="3"/>
  <c r="G948" i="3"/>
  <c r="F948" i="3"/>
  <c r="B948" i="3"/>
  <c r="A948" i="3"/>
  <c r="I947" i="3"/>
  <c r="G947" i="3"/>
  <c r="F947" i="3"/>
  <c r="B947" i="3"/>
  <c r="A947" i="3"/>
  <c r="I946" i="3"/>
  <c r="G946" i="3"/>
  <c r="F946" i="3"/>
  <c r="B946" i="3"/>
  <c r="A946" i="3"/>
  <c r="I945" i="3"/>
  <c r="G945" i="3"/>
  <c r="F945" i="3"/>
  <c r="B945" i="3"/>
  <c r="A945" i="3"/>
  <c r="I944" i="3"/>
  <c r="G944" i="3"/>
  <c r="F944" i="3"/>
  <c r="B944" i="3"/>
  <c r="A944" i="3"/>
  <c r="I943" i="3"/>
  <c r="G943" i="3"/>
  <c r="F943" i="3"/>
  <c r="B943" i="3"/>
  <c r="A943" i="3"/>
  <c r="I942" i="3"/>
  <c r="G942" i="3"/>
  <c r="F942" i="3"/>
  <c r="B942" i="3"/>
  <c r="A942" i="3"/>
  <c r="I941" i="3"/>
  <c r="G941" i="3"/>
  <c r="F941" i="3"/>
  <c r="B941" i="3"/>
  <c r="A941" i="3"/>
  <c r="I940" i="3"/>
  <c r="G940" i="3"/>
  <c r="F940" i="3"/>
  <c r="B940" i="3"/>
  <c r="A940" i="3"/>
  <c r="I939" i="3"/>
  <c r="G939" i="3"/>
  <c r="F939" i="3"/>
  <c r="B939" i="3"/>
  <c r="A939" i="3"/>
  <c r="I938" i="3"/>
  <c r="G938" i="3"/>
  <c r="F938" i="3"/>
  <c r="B938" i="3"/>
  <c r="A938" i="3"/>
  <c r="I937" i="3"/>
  <c r="G937" i="3"/>
  <c r="F937" i="3"/>
  <c r="B937" i="3"/>
  <c r="A937" i="3"/>
  <c r="I936" i="3"/>
  <c r="G936" i="3"/>
  <c r="F936" i="3"/>
  <c r="B936" i="3"/>
  <c r="A936" i="3"/>
  <c r="I935" i="3"/>
  <c r="G935" i="3"/>
  <c r="F935" i="3"/>
  <c r="B935" i="3"/>
  <c r="A935" i="3"/>
  <c r="I934" i="3"/>
  <c r="G934" i="3"/>
  <c r="F934" i="3"/>
  <c r="B934" i="3"/>
  <c r="A934" i="3"/>
  <c r="I933" i="3"/>
  <c r="G933" i="3"/>
  <c r="F933" i="3"/>
  <c r="B933" i="3"/>
  <c r="A933" i="3"/>
  <c r="I932" i="3"/>
  <c r="G932" i="3"/>
  <c r="F932" i="3"/>
  <c r="B932" i="3"/>
  <c r="A932" i="3"/>
  <c r="I931" i="3"/>
  <c r="G931" i="3"/>
  <c r="F931" i="3"/>
  <c r="B931" i="3"/>
  <c r="A931" i="3"/>
  <c r="I930" i="3"/>
  <c r="G930" i="3"/>
  <c r="F930" i="3"/>
  <c r="B930" i="3"/>
  <c r="A930" i="3"/>
  <c r="I929" i="3"/>
  <c r="G929" i="3"/>
  <c r="F929" i="3"/>
  <c r="B929" i="3"/>
  <c r="A929" i="3"/>
  <c r="I928" i="3"/>
  <c r="G928" i="3"/>
  <c r="F928" i="3"/>
  <c r="B928" i="3"/>
  <c r="A928" i="3"/>
  <c r="I927" i="3"/>
  <c r="G927" i="3"/>
  <c r="F927" i="3"/>
  <c r="B927" i="3"/>
  <c r="A927" i="3"/>
  <c r="I926" i="3"/>
  <c r="G926" i="3"/>
  <c r="F926" i="3"/>
  <c r="B926" i="3"/>
  <c r="A926" i="3"/>
  <c r="I925" i="3"/>
  <c r="G925" i="3"/>
  <c r="F925" i="3"/>
  <c r="B925" i="3"/>
  <c r="A925" i="3"/>
  <c r="I924" i="3"/>
  <c r="G924" i="3"/>
  <c r="F924" i="3"/>
  <c r="B924" i="3"/>
  <c r="A924" i="3"/>
  <c r="I923" i="3"/>
  <c r="G923" i="3"/>
  <c r="F923" i="3"/>
  <c r="B923" i="3"/>
  <c r="A923" i="3"/>
  <c r="I922" i="3"/>
  <c r="G922" i="3"/>
  <c r="F922" i="3"/>
  <c r="B922" i="3"/>
  <c r="A922" i="3"/>
  <c r="I921" i="3"/>
  <c r="G921" i="3"/>
  <c r="F921" i="3"/>
  <c r="B921" i="3"/>
  <c r="A921" i="3"/>
  <c r="I920" i="3"/>
  <c r="G920" i="3"/>
  <c r="F920" i="3"/>
  <c r="B920" i="3"/>
  <c r="A920" i="3"/>
  <c r="I919" i="3"/>
  <c r="G919" i="3"/>
  <c r="F919" i="3"/>
  <c r="B919" i="3"/>
  <c r="A919" i="3"/>
  <c r="I918" i="3"/>
  <c r="G918" i="3"/>
  <c r="F918" i="3"/>
  <c r="B918" i="3"/>
  <c r="A918" i="3"/>
  <c r="I917" i="3"/>
  <c r="G917" i="3"/>
  <c r="F917" i="3"/>
  <c r="B917" i="3"/>
  <c r="A917" i="3"/>
  <c r="I916" i="3"/>
  <c r="G916" i="3"/>
  <c r="F916" i="3"/>
  <c r="B916" i="3"/>
  <c r="A916" i="3"/>
  <c r="I915" i="3"/>
  <c r="G915" i="3"/>
  <c r="F915" i="3"/>
  <c r="B915" i="3"/>
  <c r="A915" i="3"/>
  <c r="I914" i="3"/>
  <c r="G914" i="3"/>
  <c r="F914" i="3"/>
  <c r="B914" i="3"/>
  <c r="A914" i="3"/>
  <c r="I913" i="3"/>
  <c r="G913" i="3"/>
  <c r="F913" i="3"/>
  <c r="B913" i="3"/>
  <c r="A913" i="3"/>
  <c r="I912" i="3"/>
  <c r="G912" i="3"/>
  <c r="F912" i="3"/>
  <c r="B912" i="3"/>
  <c r="A912" i="3"/>
  <c r="I911" i="3"/>
  <c r="G911" i="3"/>
  <c r="F911" i="3"/>
  <c r="B911" i="3"/>
  <c r="A911" i="3"/>
  <c r="I910" i="3"/>
  <c r="G910" i="3"/>
  <c r="F910" i="3"/>
  <c r="B910" i="3"/>
  <c r="A910" i="3"/>
  <c r="I909" i="3"/>
  <c r="G909" i="3"/>
  <c r="F909" i="3"/>
  <c r="B909" i="3"/>
  <c r="A909" i="3"/>
  <c r="I908" i="3"/>
  <c r="G908" i="3"/>
  <c r="F908" i="3"/>
  <c r="B908" i="3"/>
  <c r="A908" i="3"/>
  <c r="I907" i="3"/>
  <c r="G907" i="3"/>
  <c r="F907" i="3"/>
  <c r="B907" i="3"/>
  <c r="A907" i="3"/>
  <c r="I906" i="3"/>
  <c r="G906" i="3"/>
  <c r="F906" i="3"/>
  <c r="B906" i="3"/>
  <c r="A906" i="3"/>
  <c r="I905" i="3"/>
  <c r="G905" i="3"/>
  <c r="F905" i="3"/>
  <c r="B905" i="3"/>
  <c r="A905" i="3"/>
  <c r="I904" i="3"/>
  <c r="G904" i="3"/>
  <c r="F904" i="3"/>
  <c r="B904" i="3"/>
  <c r="A904" i="3"/>
  <c r="I903" i="3"/>
  <c r="G903" i="3"/>
  <c r="F903" i="3"/>
  <c r="B903" i="3"/>
  <c r="A903" i="3"/>
  <c r="I902" i="3"/>
  <c r="G902" i="3"/>
  <c r="F902" i="3"/>
  <c r="B902" i="3"/>
  <c r="A902" i="3"/>
  <c r="I901" i="3"/>
  <c r="G901" i="3"/>
  <c r="F901" i="3"/>
  <c r="B901" i="3"/>
  <c r="A901" i="3"/>
  <c r="I900" i="3"/>
  <c r="G900" i="3"/>
  <c r="F900" i="3"/>
  <c r="B900" i="3"/>
  <c r="A900" i="3"/>
  <c r="I899" i="3"/>
  <c r="G899" i="3"/>
  <c r="F899" i="3"/>
  <c r="B899" i="3"/>
  <c r="A899" i="3"/>
  <c r="I898" i="3"/>
  <c r="G898" i="3"/>
  <c r="F898" i="3"/>
  <c r="B898" i="3"/>
  <c r="A898" i="3"/>
  <c r="I897" i="3"/>
  <c r="G897" i="3"/>
  <c r="F897" i="3"/>
  <c r="B897" i="3"/>
  <c r="A897" i="3"/>
  <c r="I896" i="3"/>
  <c r="G896" i="3"/>
  <c r="F896" i="3"/>
  <c r="B896" i="3"/>
  <c r="A896" i="3"/>
  <c r="I895" i="3"/>
  <c r="G895" i="3"/>
  <c r="F895" i="3"/>
  <c r="B895" i="3"/>
  <c r="A895" i="3"/>
  <c r="I894" i="3"/>
  <c r="G894" i="3"/>
  <c r="F894" i="3"/>
  <c r="B894" i="3"/>
  <c r="A894" i="3"/>
  <c r="I893" i="3"/>
  <c r="G893" i="3"/>
  <c r="F893" i="3"/>
  <c r="B893" i="3"/>
  <c r="A893" i="3"/>
  <c r="I892" i="3"/>
  <c r="G892" i="3"/>
  <c r="F892" i="3"/>
  <c r="B892" i="3"/>
  <c r="A892" i="3"/>
  <c r="I891" i="3"/>
  <c r="G891" i="3"/>
  <c r="F891" i="3"/>
  <c r="B891" i="3"/>
  <c r="A891" i="3"/>
  <c r="I890" i="3"/>
  <c r="G890" i="3"/>
  <c r="F890" i="3"/>
  <c r="B890" i="3"/>
  <c r="A890" i="3"/>
  <c r="I889" i="3"/>
  <c r="G889" i="3"/>
  <c r="F889" i="3"/>
  <c r="B889" i="3"/>
  <c r="A889" i="3"/>
  <c r="I888" i="3"/>
  <c r="G888" i="3"/>
  <c r="F888" i="3"/>
  <c r="B888" i="3"/>
  <c r="A888" i="3"/>
  <c r="I887" i="3"/>
  <c r="G887" i="3"/>
  <c r="F887" i="3"/>
  <c r="B887" i="3"/>
  <c r="A887" i="3"/>
  <c r="I886" i="3"/>
  <c r="G886" i="3"/>
  <c r="F886" i="3"/>
  <c r="B886" i="3"/>
  <c r="A886" i="3"/>
  <c r="I885" i="3"/>
  <c r="G885" i="3"/>
  <c r="F885" i="3"/>
  <c r="B885" i="3"/>
  <c r="A885" i="3"/>
  <c r="I884" i="3"/>
  <c r="G884" i="3"/>
  <c r="F884" i="3"/>
  <c r="B884" i="3"/>
  <c r="A884" i="3"/>
  <c r="I883" i="3"/>
  <c r="G883" i="3"/>
  <c r="F883" i="3"/>
  <c r="B883" i="3"/>
  <c r="A883" i="3"/>
  <c r="I882" i="3"/>
  <c r="G882" i="3"/>
  <c r="F882" i="3"/>
  <c r="B882" i="3"/>
  <c r="A882" i="3"/>
  <c r="I881" i="3"/>
  <c r="G881" i="3"/>
  <c r="F881" i="3"/>
  <c r="B881" i="3"/>
  <c r="A881" i="3"/>
  <c r="I880" i="3"/>
  <c r="G880" i="3"/>
  <c r="F880" i="3"/>
  <c r="B880" i="3"/>
  <c r="A880" i="3"/>
  <c r="I879" i="3"/>
  <c r="G879" i="3"/>
  <c r="F879" i="3"/>
  <c r="B879" i="3"/>
  <c r="A879" i="3"/>
  <c r="I878" i="3"/>
  <c r="G878" i="3"/>
  <c r="F878" i="3"/>
  <c r="B878" i="3"/>
  <c r="A878" i="3"/>
  <c r="I877" i="3"/>
  <c r="G877" i="3"/>
  <c r="F877" i="3"/>
  <c r="B877" i="3"/>
  <c r="A877" i="3"/>
  <c r="I876" i="3"/>
  <c r="G876" i="3"/>
  <c r="F876" i="3"/>
  <c r="B876" i="3"/>
  <c r="A876" i="3"/>
  <c r="I875" i="3"/>
  <c r="G875" i="3"/>
  <c r="F875" i="3"/>
  <c r="B875" i="3"/>
  <c r="A875" i="3"/>
  <c r="I874" i="3"/>
  <c r="G874" i="3"/>
  <c r="F874" i="3"/>
  <c r="B874" i="3"/>
  <c r="A874" i="3"/>
  <c r="I873" i="3"/>
  <c r="G873" i="3"/>
  <c r="F873" i="3"/>
  <c r="B873" i="3"/>
  <c r="A873" i="3"/>
  <c r="I872" i="3"/>
  <c r="G872" i="3"/>
  <c r="F872" i="3"/>
  <c r="B872" i="3"/>
  <c r="A872" i="3"/>
  <c r="I871" i="3"/>
  <c r="G871" i="3"/>
  <c r="F871" i="3"/>
  <c r="B871" i="3"/>
  <c r="A871" i="3"/>
  <c r="I870" i="3"/>
  <c r="G870" i="3"/>
  <c r="F870" i="3"/>
  <c r="B870" i="3"/>
  <c r="A870" i="3"/>
  <c r="I869" i="3"/>
  <c r="G869" i="3"/>
  <c r="F869" i="3"/>
  <c r="B869" i="3"/>
  <c r="A869" i="3"/>
  <c r="I868" i="3"/>
  <c r="G868" i="3"/>
  <c r="F868" i="3"/>
  <c r="B868" i="3"/>
  <c r="A868" i="3"/>
  <c r="I867" i="3"/>
  <c r="G867" i="3"/>
  <c r="F867" i="3"/>
  <c r="B867" i="3"/>
  <c r="A867" i="3"/>
  <c r="I866" i="3"/>
  <c r="G866" i="3"/>
  <c r="F866" i="3"/>
  <c r="B866" i="3"/>
  <c r="A866" i="3"/>
  <c r="I865" i="3"/>
  <c r="G865" i="3"/>
  <c r="F865" i="3"/>
  <c r="B865" i="3"/>
  <c r="A865" i="3"/>
  <c r="I864" i="3"/>
  <c r="G864" i="3"/>
  <c r="F864" i="3"/>
  <c r="B864" i="3"/>
  <c r="A864" i="3"/>
  <c r="I863" i="3"/>
  <c r="G863" i="3"/>
  <c r="F863" i="3"/>
  <c r="B863" i="3"/>
  <c r="A863" i="3"/>
  <c r="I862" i="3"/>
  <c r="G862" i="3"/>
  <c r="F862" i="3"/>
  <c r="B862" i="3"/>
  <c r="A862" i="3"/>
  <c r="I861" i="3"/>
  <c r="G861" i="3"/>
  <c r="F861" i="3"/>
  <c r="B861" i="3"/>
  <c r="A861" i="3"/>
  <c r="I860" i="3"/>
  <c r="G860" i="3"/>
  <c r="F860" i="3"/>
  <c r="B860" i="3"/>
  <c r="A860" i="3"/>
  <c r="I859" i="3"/>
  <c r="G859" i="3"/>
  <c r="F859" i="3"/>
  <c r="B859" i="3"/>
  <c r="A859" i="3"/>
  <c r="I858" i="3"/>
  <c r="G858" i="3"/>
  <c r="F858" i="3"/>
  <c r="B858" i="3"/>
  <c r="A858" i="3"/>
  <c r="I857" i="3"/>
  <c r="G857" i="3"/>
  <c r="F857" i="3"/>
  <c r="B857" i="3"/>
  <c r="A857" i="3"/>
  <c r="I856" i="3"/>
  <c r="G856" i="3"/>
  <c r="F856" i="3"/>
  <c r="B856" i="3"/>
  <c r="A856" i="3"/>
  <c r="I855" i="3"/>
  <c r="G855" i="3"/>
  <c r="F855" i="3"/>
  <c r="B855" i="3"/>
  <c r="A855" i="3"/>
  <c r="I854" i="3"/>
  <c r="G854" i="3"/>
  <c r="F854" i="3"/>
  <c r="B854" i="3"/>
  <c r="A854" i="3"/>
  <c r="I853" i="3"/>
  <c r="G853" i="3"/>
  <c r="F853" i="3"/>
  <c r="B853" i="3"/>
  <c r="A853" i="3"/>
  <c r="I852" i="3"/>
  <c r="G852" i="3"/>
  <c r="F852" i="3"/>
  <c r="B852" i="3"/>
  <c r="A852" i="3"/>
  <c r="I851" i="3"/>
  <c r="G851" i="3"/>
  <c r="F851" i="3"/>
  <c r="B851" i="3"/>
  <c r="A851" i="3"/>
  <c r="I850" i="3"/>
  <c r="G850" i="3"/>
  <c r="F850" i="3"/>
  <c r="B850" i="3"/>
  <c r="A850" i="3"/>
  <c r="I849" i="3"/>
  <c r="G849" i="3"/>
  <c r="F849" i="3"/>
  <c r="B849" i="3"/>
  <c r="A849" i="3"/>
  <c r="I848" i="3"/>
  <c r="G848" i="3"/>
  <c r="F848" i="3"/>
  <c r="B848" i="3"/>
  <c r="A848" i="3"/>
  <c r="I847" i="3"/>
  <c r="G847" i="3"/>
  <c r="F847" i="3"/>
  <c r="B847" i="3"/>
  <c r="A847" i="3"/>
  <c r="I846" i="3"/>
  <c r="G846" i="3"/>
  <c r="F846" i="3"/>
  <c r="B846" i="3"/>
  <c r="A846" i="3"/>
  <c r="I845" i="3"/>
  <c r="G845" i="3"/>
  <c r="F845" i="3"/>
  <c r="B845" i="3"/>
  <c r="A845" i="3"/>
  <c r="I844" i="3"/>
  <c r="G844" i="3"/>
  <c r="F844" i="3"/>
  <c r="B844" i="3"/>
  <c r="A844" i="3"/>
  <c r="I843" i="3"/>
  <c r="G843" i="3"/>
  <c r="F843" i="3"/>
  <c r="B843" i="3"/>
  <c r="A843" i="3"/>
  <c r="I842" i="3"/>
  <c r="G842" i="3"/>
  <c r="F842" i="3"/>
  <c r="B842" i="3"/>
  <c r="A842" i="3"/>
  <c r="I841" i="3"/>
  <c r="G841" i="3"/>
  <c r="F841" i="3"/>
  <c r="B841" i="3"/>
  <c r="A841" i="3"/>
  <c r="I840" i="3"/>
  <c r="G840" i="3"/>
  <c r="F840" i="3"/>
  <c r="B840" i="3"/>
  <c r="A840" i="3"/>
  <c r="I839" i="3"/>
  <c r="G839" i="3"/>
  <c r="F839" i="3"/>
  <c r="B839" i="3"/>
  <c r="A839" i="3"/>
  <c r="I838" i="3"/>
  <c r="G838" i="3"/>
  <c r="F838" i="3"/>
  <c r="B838" i="3"/>
  <c r="A838" i="3"/>
  <c r="I837" i="3"/>
  <c r="G837" i="3"/>
  <c r="F837" i="3"/>
  <c r="B837" i="3"/>
  <c r="A837" i="3"/>
  <c r="I836" i="3"/>
  <c r="G836" i="3"/>
  <c r="F836" i="3"/>
  <c r="B836" i="3"/>
  <c r="A836" i="3"/>
  <c r="I835" i="3"/>
  <c r="G835" i="3"/>
  <c r="F835" i="3"/>
  <c r="B835" i="3"/>
  <c r="A835" i="3"/>
  <c r="I834" i="3"/>
  <c r="G834" i="3"/>
  <c r="F834" i="3"/>
  <c r="B834" i="3"/>
  <c r="A834" i="3"/>
  <c r="I833" i="3"/>
  <c r="G833" i="3"/>
  <c r="F833" i="3"/>
  <c r="B833" i="3"/>
  <c r="A833" i="3"/>
  <c r="I832" i="3"/>
  <c r="G832" i="3"/>
  <c r="F832" i="3"/>
  <c r="B832" i="3"/>
  <c r="A832" i="3"/>
  <c r="I831" i="3"/>
  <c r="G831" i="3"/>
  <c r="F831" i="3"/>
  <c r="B831" i="3"/>
  <c r="A831" i="3"/>
  <c r="I830" i="3"/>
  <c r="G830" i="3"/>
  <c r="F830" i="3"/>
  <c r="B830" i="3"/>
  <c r="A830" i="3"/>
  <c r="I829" i="3"/>
  <c r="G829" i="3"/>
  <c r="F829" i="3"/>
  <c r="B829" i="3"/>
  <c r="A829" i="3"/>
  <c r="I828" i="3"/>
  <c r="G828" i="3"/>
  <c r="F828" i="3"/>
  <c r="B828" i="3"/>
  <c r="A828" i="3"/>
  <c r="I827" i="3"/>
  <c r="G827" i="3"/>
  <c r="F827" i="3"/>
  <c r="B827" i="3"/>
  <c r="A827" i="3"/>
  <c r="I826" i="3"/>
  <c r="G826" i="3"/>
  <c r="F826" i="3"/>
  <c r="B826" i="3"/>
  <c r="A826" i="3"/>
  <c r="I825" i="3"/>
  <c r="G825" i="3"/>
  <c r="F825" i="3"/>
  <c r="B825" i="3"/>
  <c r="A825" i="3"/>
  <c r="I824" i="3"/>
  <c r="G824" i="3"/>
  <c r="F824" i="3"/>
  <c r="B824" i="3"/>
  <c r="A824" i="3"/>
  <c r="I823" i="3"/>
  <c r="G823" i="3"/>
  <c r="F823" i="3"/>
  <c r="B823" i="3"/>
  <c r="A823" i="3"/>
  <c r="I822" i="3"/>
  <c r="G822" i="3"/>
  <c r="F822" i="3"/>
  <c r="B822" i="3"/>
  <c r="A822" i="3"/>
  <c r="I821" i="3"/>
  <c r="G821" i="3"/>
  <c r="F821" i="3"/>
  <c r="B821" i="3"/>
  <c r="A821" i="3"/>
  <c r="I820" i="3"/>
  <c r="G820" i="3"/>
  <c r="F820" i="3"/>
  <c r="B820" i="3"/>
  <c r="A820" i="3"/>
  <c r="I819" i="3"/>
  <c r="G819" i="3"/>
  <c r="F819" i="3"/>
  <c r="B819" i="3"/>
  <c r="A819" i="3"/>
  <c r="I818" i="3"/>
  <c r="G818" i="3"/>
  <c r="F818" i="3"/>
  <c r="B818" i="3"/>
  <c r="A818" i="3"/>
  <c r="I817" i="3"/>
  <c r="G817" i="3"/>
  <c r="F817" i="3"/>
  <c r="B817" i="3"/>
  <c r="A817" i="3"/>
  <c r="I816" i="3"/>
  <c r="G816" i="3"/>
  <c r="F816" i="3"/>
  <c r="B816" i="3"/>
  <c r="A816" i="3"/>
  <c r="I815" i="3"/>
  <c r="G815" i="3"/>
  <c r="F815" i="3"/>
  <c r="B815" i="3"/>
  <c r="A815" i="3"/>
  <c r="I814" i="3"/>
  <c r="G814" i="3"/>
  <c r="F814" i="3"/>
  <c r="B814" i="3"/>
  <c r="A814" i="3"/>
  <c r="I813" i="3"/>
  <c r="G813" i="3"/>
  <c r="F813" i="3"/>
  <c r="B813" i="3"/>
  <c r="A813" i="3"/>
  <c r="I812" i="3"/>
  <c r="G812" i="3"/>
  <c r="F812" i="3"/>
  <c r="B812" i="3"/>
  <c r="A812" i="3"/>
  <c r="I811" i="3"/>
  <c r="G811" i="3"/>
  <c r="F811" i="3"/>
  <c r="B811" i="3"/>
  <c r="A811" i="3"/>
  <c r="I810" i="3"/>
  <c r="G810" i="3"/>
  <c r="F810" i="3"/>
  <c r="B810" i="3"/>
  <c r="A810" i="3"/>
  <c r="I809" i="3"/>
  <c r="G809" i="3"/>
  <c r="F809" i="3"/>
  <c r="B809" i="3"/>
  <c r="A809" i="3"/>
  <c r="I808" i="3"/>
  <c r="G808" i="3"/>
  <c r="F808" i="3"/>
  <c r="B808" i="3"/>
  <c r="A808" i="3"/>
  <c r="I807" i="3"/>
  <c r="G807" i="3"/>
  <c r="F807" i="3"/>
  <c r="B807" i="3"/>
  <c r="A807" i="3"/>
  <c r="I806" i="3"/>
  <c r="G806" i="3"/>
  <c r="F806" i="3"/>
  <c r="B806" i="3"/>
  <c r="A806" i="3"/>
  <c r="I805" i="3"/>
  <c r="G805" i="3"/>
  <c r="F805" i="3"/>
  <c r="B805" i="3"/>
  <c r="A805" i="3"/>
  <c r="I804" i="3"/>
  <c r="G804" i="3"/>
  <c r="F804" i="3"/>
  <c r="B804" i="3"/>
  <c r="A804" i="3"/>
  <c r="I803" i="3"/>
  <c r="G803" i="3"/>
  <c r="F803" i="3"/>
  <c r="B803" i="3"/>
  <c r="A803" i="3"/>
  <c r="I802" i="3"/>
  <c r="G802" i="3"/>
  <c r="F802" i="3"/>
  <c r="B802" i="3"/>
  <c r="A802" i="3"/>
  <c r="I801" i="3"/>
  <c r="G801" i="3"/>
  <c r="F801" i="3"/>
  <c r="B801" i="3"/>
  <c r="A801" i="3"/>
  <c r="I800" i="3"/>
  <c r="G800" i="3"/>
  <c r="F800" i="3"/>
  <c r="B800" i="3"/>
  <c r="A800" i="3"/>
  <c r="I799" i="3"/>
  <c r="G799" i="3"/>
  <c r="F799" i="3"/>
  <c r="B799" i="3"/>
  <c r="A799" i="3"/>
  <c r="I798" i="3"/>
  <c r="G798" i="3"/>
  <c r="F798" i="3"/>
  <c r="B798" i="3"/>
  <c r="A798" i="3"/>
  <c r="I797" i="3"/>
  <c r="G797" i="3"/>
  <c r="F797" i="3"/>
  <c r="B797" i="3"/>
  <c r="A797" i="3"/>
  <c r="I796" i="3"/>
  <c r="G796" i="3"/>
  <c r="F796" i="3"/>
  <c r="B796" i="3"/>
  <c r="A796" i="3"/>
  <c r="I795" i="3"/>
  <c r="G795" i="3"/>
  <c r="F795" i="3"/>
  <c r="B795" i="3"/>
  <c r="A795" i="3"/>
  <c r="I794" i="3"/>
  <c r="G794" i="3"/>
  <c r="F794" i="3"/>
  <c r="B794" i="3"/>
  <c r="A794" i="3"/>
  <c r="I793" i="3"/>
  <c r="G793" i="3"/>
  <c r="F793" i="3"/>
  <c r="B793" i="3"/>
  <c r="A793" i="3"/>
  <c r="I792" i="3"/>
  <c r="G792" i="3"/>
  <c r="F792" i="3"/>
  <c r="B792" i="3"/>
  <c r="A792" i="3"/>
  <c r="I791" i="3"/>
  <c r="G791" i="3"/>
  <c r="F791" i="3"/>
  <c r="B791" i="3"/>
  <c r="A791" i="3"/>
  <c r="I790" i="3"/>
  <c r="G790" i="3"/>
  <c r="F790" i="3"/>
  <c r="B790" i="3"/>
  <c r="A790" i="3"/>
  <c r="I789" i="3"/>
  <c r="G789" i="3"/>
  <c r="F789" i="3"/>
  <c r="B789" i="3"/>
  <c r="A789" i="3"/>
  <c r="I788" i="3"/>
  <c r="G788" i="3"/>
  <c r="F788" i="3"/>
  <c r="B788" i="3"/>
  <c r="A788" i="3"/>
  <c r="I787" i="3"/>
  <c r="G787" i="3"/>
  <c r="F787" i="3"/>
  <c r="B787" i="3"/>
  <c r="A787" i="3"/>
  <c r="I786" i="3"/>
  <c r="G786" i="3"/>
  <c r="F786" i="3"/>
  <c r="B786" i="3"/>
  <c r="A786" i="3"/>
  <c r="I785" i="3"/>
  <c r="G785" i="3"/>
  <c r="F785" i="3"/>
  <c r="B785" i="3"/>
  <c r="A785" i="3"/>
  <c r="I784" i="3"/>
  <c r="G784" i="3"/>
  <c r="F784" i="3"/>
  <c r="B784" i="3"/>
  <c r="A784" i="3"/>
  <c r="I783" i="3"/>
  <c r="G783" i="3"/>
  <c r="F783" i="3"/>
  <c r="B783" i="3"/>
  <c r="A783" i="3"/>
  <c r="I782" i="3"/>
  <c r="G782" i="3"/>
  <c r="F782" i="3"/>
  <c r="B782" i="3"/>
  <c r="A782" i="3"/>
  <c r="I781" i="3"/>
  <c r="G781" i="3"/>
  <c r="F781" i="3"/>
  <c r="B781" i="3"/>
  <c r="A781" i="3"/>
  <c r="I780" i="3"/>
  <c r="G780" i="3"/>
  <c r="F780" i="3"/>
  <c r="B780" i="3"/>
  <c r="A780" i="3"/>
  <c r="I779" i="3"/>
  <c r="G779" i="3"/>
  <c r="F779" i="3"/>
  <c r="B779" i="3"/>
  <c r="A779" i="3"/>
  <c r="I778" i="3"/>
  <c r="G778" i="3"/>
  <c r="F778" i="3"/>
  <c r="B778" i="3"/>
  <c r="A778" i="3"/>
  <c r="I777" i="3"/>
  <c r="G777" i="3"/>
  <c r="F777" i="3"/>
  <c r="B777" i="3"/>
  <c r="A777" i="3"/>
  <c r="I776" i="3"/>
  <c r="G776" i="3"/>
  <c r="F776" i="3"/>
  <c r="B776" i="3"/>
  <c r="A776" i="3"/>
  <c r="I775" i="3"/>
  <c r="G775" i="3"/>
  <c r="F775" i="3"/>
  <c r="B775" i="3"/>
  <c r="A775" i="3"/>
  <c r="I774" i="3"/>
  <c r="G774" i="3"/>
  <c r="F774" i="3"/>
  <c r="B774" i="3"/>
  <c r="A774" i="3"/>
  <c r="I773" i="3"/>
  <c r="G773" i="3"/>
  <c r="F773" i="3"/>
  <c r="B773" i="3"/>
  <c r="A773" i="3"/>
  <c r="I772" i="3"/>
  <c r="G772" i="3"/>
  <c r="F772" i="3"/>
  <c r="B772" i="3"/>
  <c r="A772" i="3"/>
  <c r="I771" i="3"/>
  <c r="G771" i="3"/>
  <c r="F771" i="3"/>
  <c r="B771" i="3"/>
  <c r="A771" i="3"/>
  <c r="I770" i="3"/>
  <c r="G770" i="3"/>
  <c r="F770" i="3"/>
  <c r="B770" i="3"/>
  <c r="A770" i="3"/>
  <c r="I769" i="3"/>
  <c r="G769" i="3"/>
  <c r="F769" i="3"/>
  <c r="B769" i="3"/>
  <c r="A769" i="3"/>
  <c r="I768" i="3"/>
  <c r="G768" i="3"/>
  <c r="F768" i="3"/>
  <c r="B768" i="3"/>
  <c r="A768" i="3"/>
  <c r="I767" i="3"/>
  <c r="G767" i="3"/>
  <c r="F767" i="3"/>
  <c r="B767" i="3"/>
  <c r="A767" i="3"/>
  <c r="I766" i="3"/>
  <c r="G766" i="3"/>
  <c r="F766" i="3"/>
  <c r="B766" i="3"/>
  <c r="A766" i="3"/>
  <c r="I765" i="3"/>
  <c r="G765" i="3"/>
  <c r="F765" i="3"/>
  <c r="B765" i="3"/>
  <c r="A765" i="3"/>
  <c r="I764" i="3"/>
  <c r="G764" i="3"/>
  <c r="F764" i="3"/>
  <c r="B764" i="3"/>
  <c r="A764" i="3"/>
  <c r="I763" i="3"/>
  <c r="G763" i="3"/>
  <c r="F763" i="3"/>
  <c r="B763" i="3"/>
  <c r="A763" i="3"/>
  <c r="I762" i="3"/>
  <c r="G762" i="3"/>
  <c r="F762" i="3"/>
  <c r="B762" i="3"/>
  <c r="A762" i="3"/>
  <c r="I761" i="3"/>
  <c r="G761" i="3"/>
  <c r="F761" i="3"/>
  <c r="B761" i="3"/>
  <c r="A761" i="3"/>
  <c r="I760" i="3"/>
  <c r="G760" i="3"/>
  <c r="F760" i="3"/>
  <c r="B760" i="3"/>
  <c r="A760" i="3"/>
  <c r="I759" i="3"/>
  <c r="G759" i="3"/>
  <c r="F759" i="3"/>
  <c r="B759" i="3"/>
  <c r="A759" i="3"/>
  <c r="I758" i="3"/>
  <c r="G758" i="3"/>
  <c r="F758" i="3"/>
  <c r="B758" i="3"/>
  <c r="A758" i="3"/>
  <c r="I757" i="3"/>
  <c r="G757" i="3"/>
  <c r="F757" i="3"/>
  <c r="B757" i="3"/>
  <c r="A757" i="3"/>
  <c r="I756" i="3"/>
  <c r="G756" i="3"/>
  <c r="F756" i="3"/>
  <c r="B756" i="3"/>
  <c r="A756" i="3"/>
  <c r="I755" i="3"/>
  <c r="G755" i="3"/>
  <c r="F755" i="3"/>
  <c r="B755" i="3"/>
  <c r="A755" i="3"/>
  <c r="I754" i="3"/>
  <c r="G754" i="3"/>
  <c r="F754" i="3"/>
  <c r="B754" i="3"/>
  <c r="A754" i="3"/>
  <c r="I753" i="3"/>
  <c r="G753" i="3"/>
  <c r="F753" i="3"/>
  <c r="B753" i="3"/>
  <c r="A753" i="3"/>
  <c r="I752" i="3"/>
  <c r="G752" i="3"/>
  <c r="F752" i="3"/>
  <c r="B752" i="3"/>
  <c r="A752" i="3"/>
  <c r="I751" i="3"/>
  <c r="G751" i="3"/>
  <c r="F751" i="3"/>
  <c r="B751" i="3"/>
  <c r="A751" i="3"/>
  <c r="I750" i="3"/>
  <c r="G750" i="3"/>
  <c r="F750" i="3"/>
  <c r="B750" i="3"/>
  <c r="A750" i="3"/>
  <c r="I749" i="3"/>
  <c r="G749" i="3"/>
  <c r="F749" i="3"/>
  <c r="B749" i="3"/>
  <c r="A749" i="3"/>
  <c r="I748" i="3"/>
  <c r="G748" i="3"/>
  <c r="F748" i="3"/>
  <c r="B748" i="3"/>
  <c r="A748" i="3"/>
  <c r="I747" i="3"/>
  <c r="G747" i="3"/>
  <c r="F747" i="3"/>
  <c r="B747" i="3"/>
  <c r="A747" i="3"/>
  <c r="I746" i="3"/>
  <c r="G746" i="3"/>
  <c r="F746" i="3"/>
  <c r="B746" i="3"/>
  <c r="A746" i="3"/>
  <c r="I745" i="3"/>
  <c r="G745" i="3"/>
  <c r="F745" i="3"/>
  <c r="B745" i="3"/>
  <c r="A745" i="3"/>
  <c r="I744" i="3"/>
  <c r="G744" i="3"/>
  <c r="F744" i="3"/>
  <c r="B744" i="3"/>
  <c r="A744" i="3"/>
  <c r="I743" i="3"/>
  <c r="G743" i="3"/>
  <c r="F743" i="3"/>
  <c r="B743" i="3"/>
  <c r="A743" i="3"/>
  <c r="I742" i="3"/>
  <c r="G742" i="3"/>
  <c r="F742" i="3"/>
  <c r="B742" i="3"/>
  <c r="A742" i="3"/>
  <c r="I741" i="3"/>
  <c r="G741" i="3"/>
  <c r="F741" i="3"/>
  <c r="B741" i="3"/>
  <c r="A741" i="3"/>
  <c r="I740" i="3"/>
  <c r="G740" i="3"/>
  <c r="F740" i="3"/>
  <c r="B740" i="3"/>
  <c r="A740" i="3"/>
  <c r="I739" i="3"/>
  <c r="G739" i="3"/>
  <c r="F739" i="3"/>
  <c r="B739" i="3"/>
  <c r="A739" i="3"/>
  <c r="I738" i="3"/>
  <c r="G738" i="3"/>
  <c r="F738" i="3"/>
  <c r="B738" i="3"/>
  <c r="A738" i="3"/>
  <c r="I737" i="3"/>
  <c r="G737" i="3"/>
  <c r="F737" i="3"/>
  <c r="B737" i="3"/>
  <c r="A737" i="3"/>
  <c r="I736" i="3"/>
  <c r="G736" i="3"/>
  <c r="F736" i="3"/>
  <c r="B736" i="3"/>
  <c r="A736" i="3"/>
  <c r="I735" i="3"/>
  <c r="G735" i="3"/>
  <c r="F735" i="3"/>
  <c r="B735" i="3"/>
  <c r="A735" i="3"/>
  <c r="I734" i="3"/>
  <c r="G734" i="3"/>
  <c r="F734" i="3"/>
  <c r="B734" i="3"/>
  <c r="A734" i="3"/>
  <c r="I733" i="3"/>
  <c r="G733" i="3"/>
  <c r="F733" i="3"/>
  <c r="B733" i="3"/>
  <c r="A733" i="3"/>
  <c r="I732" i="3"/>
  <c r="G732" i="3"/>
  <c r="F732" i="3"/>
  <c r="B732" i="3"/>
  <c r="A732" i="3"/>
  <c r="I731" i="3"/>
  <c r="G731" i="3"/>
  <c r="F731" i="3"/>
  <c r="B731" i="3"/>
  <c r="A731" i="3"/>
  <c r="I730" i="3"/>
  <c r="G730" i="3"/>
  <c r="F730" i="3"/>
  <c r="B730" i="3"/>
  <c r="A730" i="3"/>
  <c r="I729" i="3"/>
  <c r="G729" i="3"/>
  <c r="F729" i="3"/>
  <c r="B729" i="3"/>
  <c r="A729" i="3"/>
  <c r="I728" i="3"/>
  <c r="G728" i="3"/>
  <c r="F728" i="3"/>
  <c r="B728" i="3"/>
  <c r="A728" i="3"/>
  <c r="I727" i="3"/>
  <c r="G727" i="3"/>
  <c r="F727" i="3"/>
  <c r="B727" i="3"/>
  <c r="A727" i="3"/>
  <c r="I726" i="3"/>
  <c r="G726" i="3"/>
  <c r="F726" i="3"/>
  <c r="B726" i="3"/>
  <c r="A726" i="3"/>
  <c r="I725" i="3"/>
  <c r="G725" i="3"/>
  <c r="F725" i="3"/>
  <c r="B725" i="3"/>
  <c r="A725" i="3"/>
  <c r="I724" i="3"/>
  <c r="G724" i="3"/>
  <c r="F724" i="3"/>
  <c r="B724" i="3"/>
  <c r="A724" i="3"/>
  <c r="I723" i="3"/>
  <c r="G723" i="3"/>
  <c r="F723" i="3"/>
  <c r="B723" i="3"/>
  <c r="A723" i="3"/>
  <c r="I722" i="3"/>
  <c r="G722" i="3"/>
  <c r="F722" i="3"/>
  <c r="B722" i="3"/>
  <c r="A722" i="3"/>
  <c r="I721" i="3"/>
  <c r="G721" i="3"/>
  <c r="F721" i="3"/>
  <c r="B721" i="3"/>
  <c r="A721" i="3"/>
  <c r="I720" i="3"/>
  <c r="G720" i="3"/>
  <c r="F720" i="3"/>
  <c r="B720" i="3"/>
  <c r="A720" i="3"/>
  <c r="I719" i="3"/>
  <c r="G719" i="3"/>
  <c r="F719" i="3"/>
  <c r="B719" i="3"/>
  <c r="A719" i="3"/>
  <c r="I718" i="3"/>
  <c r="G718" i="3"/>
  <c r="F718" i="3"/>
  <c r="B718" i="3"/>
  <c r="A718" i="3"/>
  <c r="I717" i="3"/>
  <c r="G717" i="3"/>
  <c r="F717" i="3"/>
  <c r="B717" i="3"/>
  <c r="A717" i="3"/>
  <c r="I716" i="3"/>
  <c r="G716" i="3"/>
  <c r="F716" i="3"/>
  <c r="B716" i="3"/>
  <c r="A716" i="3"/>
  <c r="I715" i="3"/>
  <c r="G715" i="3"/>
  <c r="F715" i="3"/>
  <c r="B715" i="3"/>
  <c r="A715" i="3"/>
  <c r="I714" i="3"/>
  <c r="G714" i="3"/>
  <c r="F714" i="3"/>
  <c r="B714" i="3"/>
  <c r="A714" i="3"/>
  <c r="I713" i="3"/>
  <c r="G713" i="3"/>
  <c r="F713" i="3"/>
  <c r="B713" i="3"/>
  <c r="A713" i="3"/>
  <c r="I712" i="3"/>
  <c r="G712" i="3"/>
  <c r="F712" i="3"/>
  <c r="B712" i="3"/>
  <c r="A712" i="3"/>
  <c r="I711" i="3"/>
  <c r="G711" i="3"/>
  <c r="F711" i="3"/>
  <c r="B711" i="3"/>
  <c r="A711" i="3"/>
  <c r="I710" i="3"/>
  <c r="G710" i="3"/>
  <c r="F710" i="3"/>
  <c r="B710" i="3"/>
  <c r="A710" i="3"/>
  <c r="I709" i="3"/>
  <c r="G709" i="3"/>
  <c r="F709" i="3"/>
  <c r="B709" i="3"/>
  <c r="A709" i="3"/>
  <c r="I708" i="3"/>
  <c r="G708" i="3"/>
  <c r="F708" i="3"/>
  <c r="B708" i="3"/>
  <c r="A708" i="3"/>
  <c r="I707" i="3"/>
  <c r="G707" i="3"/>
  <c r="F707" i="3"/>
  <c r="B707" i="3"/>
  <c r="A707" i="3"/>
  <c r="I706" i="3"/>
  <c r="G706" i="3"/>
  <c r="F706" i="3"/>
  <c r="B706" i="3"/>
  <c r="A706" i="3"/>
  <c r="I705" i="3"/>
  <c r="G705" i="3"/>
  <c r="F705" i="3"/>
  <c r="B705" i="3"/>
  <c r="A705" i="3"/>
  <c r="I704" i="3"/>
  <c r="G704" i="3"/>
  <c r="F704" i="3"/>
  <c r="B704" i="3"/>
  <c r="A704" i="3"/>
  <c r="I703" i="3"/>
  <c r="G703" i="3"/>
  <c r="F703" i="3"/>
  <c r="B703" i="3"/>
  <c r="A703" i="3"/>
  <c r="I702" i="3"/>
  <c r="G702" i="3"/>
  <c r="F702" i="3"/>
  <c r="B702" i="3"/>
  <c r="A702" i="3"/>
  <c r="I701" i="3"/>
  <c r="G701" i="3"/>
  <c r="F701" i="3"/>
  <c r="B701" i="3"/>
  <c r="A701" i="3"/>
  <c r="I700" i="3"/>
  <c r="G700" i="3"/>
  <c r="F700" i="3"/>
  <c r="B700" i="3"/>
  <c r="A700" i="3"/>
  <c r="I699" i="3"/>
  <c r="G699" i="3"/>
  <c r="F699" i="3"/>
  <c r="B699" i="3"/>
  <c r="A699" i="3"/>
  <c r="I698" i="3"/>
  <c r="G698" i="3"/>
  <c r="F698" i="3"/>
  <c r="B698" i="3"/>
  <c r="A698" i="3"/>
  <c r="I697" i="3"/>
  <c r="G697" i="3"/>
  <c r="F697" i="3"/>
  <c r="B697" i="3"/>
  <c r="A697" i="3"/>
  <c r="I696" i="3"/>
  <c r="G696" i="3"/>
  <c r="F696" i="3"/>
  <c r="B696" i="3"/>
  <c r="A696" i="3"/>
  <c r="I695" i="3"/>
  <c r="G695" i="3"/>
  <c r="F695" i="3"/>
  <c r="B695" i="3"/>
  <c r="A695" i="3"/>
  <c r="I694" i="3"/>
  <c r="G694" i="3"/>
  <c r="F694" i="3"/>
  <c r="B694" i="3"/>
  <c r="A694" i="3"/>
  <c r="I693" i="3"/>
  <c r="G693" i="3"/>
  <c r="F693" i="3"/>
  <c r="B693" i="3"/>
  <c r="A693" i="3"/>
  <c r="I692" i="3"/>
  <c r="G692" i="3"/>
  <c r="F692" i="3"/>
  <c r="B692" i="3"/>
  <c r="A692" i="3"/>
  <c r="I691" i="3"/>
  <c r="G691" i="3"/>
  <c r="F691" i="3"/>
  <c r="B691" i="3"/>
  <c r="A691" i="3"/>
  <c r="I690" i="3"/>
  <c r="G690" i="3"/>
  <c r="F690" i="3"/>
  <c r="B690" i="3"/>
  <c r="A690" i="3"/>
  <c r="I689" i="3"/>
  <c r="G689" i="3"/>
  <c r="F689" i="3"/>
  <c r="B689" i="3"/>
  <c r="A689" i="3"/>
  <c r="I688" i="3"/>
  <c r="G688" i="3"/>
  <c r="F688" i="3"/>
  <c r="B688" i="3"/>
  <c r="A688" i="3"/>
  <c r="I687" i="3"/>
  <c r="G687" i="3"/>
  <c r="F687" i="3"/>
  <c r="B687" i="3"/>
  <c r="A687" i="3"/>
  <c r="I686" i="3"/>
  <c r="G686" i="3"/>
  <c r="F686" i="3"/>
  <c r="B686" i="3"/>
  <c r="A686" i="3"/>
  <c r="I685" i="3"/>
  <c r="G685" i="3"/>
  <c r="F685" i="3"/>
  <c r="B685" i="3"/>
  <c r="A685" i="3"/>
  <c r="I684" i="3"/>
  <c r="G684" i="3"/>
  <c r="F684" i="3"/>
  <c r="B684" i="3"/>
  <c r="A684" i="3"/>
  <c r="I683" i="3"/>
  <c r="G683" i="3"/>
  <c r="F683" i="3"/>
  <c r="B683" i="3"/>
  <c r="A683" i="3"/>
  <c r="I682" i="3"/>
  <c r="G682" i="3"/>
  <c r="F682" i="3"/>
  <c r="B682" i="3"/>
  <c r="A682" i="3"/>
  <c r="I681" i="3"/>
  <c r="G681" i="3"/>
  <c r="F681" i="3"/>
  <c r="B681" i="3"/>
  <c r="A681" i="3"/>
  <c r="I680" i="3"/>
  <c r="G680" i="3"/>
  <c r="F680" i="3"/>
  <c r="B680" i="3"/>
  <c r="A680" i="3"/>
  <c r="I679" i="3"/>
  <c r="G679" i="3"/>
  <c r="F679" i="3"/>
  <c r="B679" i="3"/>
  <c r="A679" i="3"/>
  <c r="I678" i="3"/>
  <c r="G678" i="3"/>
  <c r="F678" i="3"/>
  <c r="B678" i="3"/>
  <c r="A678" i="3"/>
  <c r="I677" i="3"/>
  <c r="G677" i="3"/>
  <c r="F677" i="3"/>
  <c r="B677" i="3"/>
  <c r="A677" i="3"/>
  <c r="I676" i="3"/>
  <c r="G676" i="3"/>
  <c r="F676" i="3"/>
  <c r="B676" i="3"/>
  <c r="A676" i="3"/>
  <c r="I675" i="3"/>
  <c r="G675" i="3"/>
  <c r="F675" i="3"/>
  <c r="B675" i="3"/>
  <c r="A675" i="3"/>
  <c r="I674" i="3"/>
  <c r="G674" i="3"/>
  <c r="F674" i="3"/>
  <c r="B674" i="3"/>
  <c r="A674" i="3"/>
  <c r="I673" i="3"/>
  <c r="G673" i="3"/>
  <c r="F673" i="3"/>
  <c r="B673" i="3"/>
  <c r="A673" i="3"/>
  <c r="I672" i="3"/>
  <c r="G672" i="3"/>
  <c r="F672" i="3"/>
  <c r="B672" i="3"/>
  <c r="A672" i="3"/>
  <c r="I671" i="3"/>
  <c r="G671" i="3"/>
  <c r="F671" i="3"/>
  <c r="B671" i="3"/>
  <c r="A671" i="3"/>
  <c r="I670" i="3"/>
  <c r="G670" i="3"/>
  <c r="F670" i="3"/>
  <c r="B670" i="3"/>
  <c r="A670" i="3"/>
  <c r="I669" i="3"/>
  <c r="G669" i="3"/>
  <c r="F669" i="3"/>
  <c r="B669" i="3"/>
  <c r="A669" i="3"/>
  <c r="I668" i="3"/>
  <c r="G668" i="3"/>
  <c r="F668" i="3"/>
  <c r="B668" i="3"/>
  <c r="A668" i="3"/>
  <c r="I667" i="3"/>
  <c r="G667" i="3"/>
  <c r="F667" i="3"/>
  <c r="B667" i="3"/>
  <c r="A667" i="3"/>
  <c r="I666" i="3"/>
  <c r="G666" i="3"/>
  <c r="F666" i="3"/>
  <c r="B666" i="3"/>
  <c r="A666" i="3"/>
  <c r="I665" i="3"/>
  <c r="G665" i="3"/>
  <c r="F665" i="3"/>
  <c r="B665" i="3"/>
  <c r="A665" i="3"/>
  <c r="I664" i="3"/>
  <c r="G664" i="3"/>
  <c r="F664" i="3"/>
  <c r="B664" i="3"/>
  <c r="A664" i="3"/>
  <c r="I663" i="3"/>
  <c r="G663" i="3"/>
  <c r="F663" i="3"/>
  <c r="B663" i="3"/>
  <c r="A663" i="3"/>
  <c r="I662" i="3"/>
  <c r="G662" i="3"/>
  <c r="F662" i="3"/>
  <c r="B662" i="3"/>
  <c r="A662" i="3"/>
  <c r="I661" i="3"/>
  <c r="G661" i="3"/>
  <c r="F661" i="3"/>
  <c r="B661" i="3"/>
  <c r="A661" i="3"/>
  <c r="I660" i="3"/>
  <c r="G660" i="3"/>
  <c r="F660" i="3"/>
  <c r="B660" i="3"/>
  <c r="A660" i="3"/>
  <c r="I659" i="3"/>
  <c r="G659" i="3"/>
  <c r="F659" i="3"/>
  <c r="B659" i="3"/>
  <c r="A659" i="3"/>
  <c r="I658" i="3"/>
  <c r="G658" i="3"/>
  <c r="F658" i="3"/>
  <c r="B658" i="3"/>
  <c r="A658" i="3"/>
  <c r="I657" i="3"/>
  <c r="G657" i="3"/>
  <c r="F657" i="3"/>
  <c r="B657" i="3"/>
  <c r="A657" i="3"/>
  <c r="I656" i="3"/>
  <c r="G656" i="3"/>
  <c r="F656" i="3"/>
  <c r="B656" i="3"/>
  <c r="A656" i="3"/>
  <c r="I655" i="3"/>
  <c r="G655" i="3"/>
  <c r="F655" i="3"/>
  <c r="B655" i="3"/>
  <c r="A655" i="3"/>
  <c r="I654" i="3"/>
  <c r="G654" i="3"/>
  <c r="F654" i="3"/>
  <c r="B654" i="3"/>
  <c r="A654" i="3"/>
  <c r="I653" i="3"/>
  <c r="G653" i="3"/>
  <c r="F653" i="3"/>
  <c r="B653" i="3"/>
  <c r="A653" i="3"/>
  <c r="I652" i="3"/>
  <c r="G652" i="3"/>
  <c r="F652" i="3"/>
  <c r="B652" i="3"/>
  <c r="A652" i="3"/>
  <c r="I651" i="3"/>
  <c r="G651" i="3"/>
  <c r="F651" i="3"/>
  <c r="B651" i="3"/>
  <c r="A651" i="3"/>
  <c r="I650" i="3"/>
  <c r="G650" i="3"/>
  <c r="F650" i="3"/>
  <c r="B650" i="3"/>
  <c r="A650" i="3"/>
  <c r="I649" i="3"/>
  <c r="G649" i="3"/>
  <c r="F649" i="3"/>
  <c r="B649" i="3"/>
  <c r="A649" i="3"/>
  <c r="I648" i="3"/>
  <c r="G648" i="3"/>
  <c r="F648" i="3"/>
  <c r="B648" i="3"/>
  <c r="A648" i="3"/>
  <c r="I647" i="3"/>
  <c r="G647" i="3"/>
  <c r="F647" i="3"/>
  <c r="B647" i="3"/>
  <c r="A647" i="3"/>
  <c r="I646" i="3"/>
  <c r="G646" i="3"/>
  <c r="F646" i="3"/>
  <c r="B646" i="3"/>
  <c r="A646" i="3"/>
  <c r="I645" i="3"/>
  <c r="G645" i="3"/>
  <c r="F645" i="3"/>
  <c r="B645" i="3"/>
  <c r="A645" i="3"/>
  <c r="I644" i="3"/>
  <c r="G644" i="3"/>
  <c r="F644" i="3"/>
  <c r="B644" i="3"/>
  <c r="A644" i="3"/>
  <c r="I643" i="3"/>
  <c r="G643" i="3"/>
  <c r="F643" i="3"/>
  <c r="B643" i="3"/>
  <c r="A643" i="3"/>
  <c r="I642" i="3"/>
  <c r="G642" i="3"/>
  <c r="F642" i="3"/>
  <c r="B642" i="3"/>
  <c r="A642" i="3"/>
  <c r="I641" i="3"/>
  <c r="G641" i="3"/>
  <c r="F641" i="3"/>
  <c r="B641" i="3"/>
  <c r="A641" i="3"/>
  <c r="I640" i="3"/>
  <c r="G640" i="3"/>
  <c r="F640" i="3"/>
  <c r="B640" i="3"/>
  <c r="A640" i="3"/>
  <c r="I639" i="3"/>
  <c r="G639" i="3"/>
  <c r="F639" i="3"/>
  <c r="B639" i="3"/>
  <c r="A639" i="3"/>
  <c r="I638" i="3"/>
  <c r="G638" i="3"/>
  <c r="F638" i="3"/>
  <c r="B638" i="3"/>
  <c r="A638" i="3"/>
  <c r="I637" i="3"/>
  <c r="G637" i="3"/>
  <c r="F637" i="3"/>
  <c r="B637" i="3"/>
  <c r="A637" i="3"/>
  <c r="I636" i="3"/>
  <c r="G636" i="3"/>
  <c r="F636" i="3"/>
  <c r="B636" i="3"/>
  <c r="A636" i="3"/>
  <c r="I635" i="3"/>
  <c r="G635" i="3"/>
  <c r="F635" i="3"/>
  <c r="B635" i="3"/>
  <c r="A635" i="3"/>
  <c r="I634" i="3"/>
  <c r="G634" i="3"/>
  <c r="F634" i="3"/>
  <c r="B634" i="3"/>
  <c r="A634" i="3"/>
  <c r="I633" i="3"/>
  <c r="G633" i="3"/>
  <c r="F633" i="3"/>
  <c r="B633" i="3"/>
  <c r="A633" i="3"/>
  <c r="I632" i="3"/>
  <c r="G632" i="3"/>
  <c r="F632" i="3"/>
  <c r="B632" i="3"/>
  <c r="A632" i="3"/>
  <c r="I631" i="3"/>
  <c r="G631" i="3"/>
  <c r="F631" i="3"/>
  <c r="B631" i="3"/>
  <c r="A631" i="3"/>
  <c r="I630" i="3"/>
  <c r="G630" i="3"/>
  <c r="F630" i="3"/>
  <c r="B630" i="3"/>
  <c r="A630" i="3"/>
  <c r="I629" i="3"/>
  <c r="G629" i="3"/>
  <c r="F629" i="3"/>
  <c r="B629" i="3"/>
  <c r="A629" i="3"/>
  <c r="I628" i="3"/>
  <c r="G628" i="3"/>
  <c r="F628" i="3"/>
  <c r="B628" i="3"/>
  <c r="A628" i="3"/>
  <c r="I627" i="3"/>
  <c r="G627" i="3"/>
  <c r="F627" i="3"/>
  <c r="B627" i="3"/>
  <c r="A627" i="3"/>
  <c r="I626" i="3"/>
  <c r="G626" i="3"/>
  <c r="F626" i="3"/>
  <c r="B626" i="3"/>
  <c r="A626" i="3"/>
  <c r="I625" i="3"/>
  <c r="G625" i="3"/>
  <c r="F625" i="3"/>
  <c r="B625" i="3"/>
  <c r="A625" i="3"/>
  <c r="I624" i="3"/>
  <c r="G624" i="3"/>
  <c r="F624" i="3"/>
  <c r="B624" i="3"/>
  <c r="A624" i="3"/>
  <c r="I623" i="3"/>
  <c r="G623" i="3"/>
  <c r="F623" i="3"/>
  <c r="B623" i="3"/>
  <c r="A623" i="3"/>
  <c r="I622" i="3"/>
  <c r="G622" i="3"/>
  <c r="F622" i="3"/>
  <c r="B622" i="3"/>
  <c r="A622" i="3"/>
  <c r="I621" i="3"/>
  <c r="G621" i="3"/>
  <c r="F621" i="3"/>
  <c r="B621" i="3"/>
  <c r="A621" i="3"/>
  <c r="I620" i="3"/>
  <c r="G620" i="3"/>
  <c r="F620" i="3"/>
  <c r="B620" i="3"/>
  <c r="A620" i="3"/>
  <c r="I619" i="3"/>
  <c r="G619" i="3"/>
  <c r="F619" i="3"/>
  <c r="B619" i="3"/>
  <c r="A619" i="3"/>
  <c r="I618" i="3"/>
  <c r="G618" i="3"/>
  <c r="F618" i="3"/>
  <c r="B618" i="3"/>
  <c r="A618" i="3"/>
  <c r="I617" i="3"/>
  <c r="G617" i="3"/>
  <c r="F617" i="3"/>
  <c r="B617" i="3"/>
  <c r="A617" i="3"/>
  <c r="I616" i="3"/>
  <c r="G616" i="3"/>
  <c r="F616" i="3"/>
  <c r="B616" i="3"/>
  <c r="A616" i="3"/>
  <c r="I615" i="3"/>
  <c r="G615" i="3"/>
  <c r="F615" i="3"/>
  <c r="B615" i="3"/>
  <c r="A615" i="3"/>
  <c r="I614" i="3"/>
  <c r="G614" i="3"/>
  <c r="F614" i="3"/>
  <c r="B614" i="3"/>
  <c r="A614" i="3"/>
  <c r="I613" i="3"/>
  <c r="G613" i="3"/>
  <c r="F613" i="3"/>
  <c r="B613" i="3"/>
  <c r="A613" i="3"/>
  <c r="I612" i="3"/>
  <c r="G612" i="3"/>
  <c r="F612" i="3"/>
  <c r="B612" i="3"/>
  <c r="A612" i="3"/>
  <c r="I611" i="3"/>
  <c r="G611" i="3"/>
  <c r="F611" i="3"/>
  <c r="B611" i="3"/>
  <c r="A611" i="3"/>
  <c r="I610" i="3"/>
  <c r="G610" i="3"/>
  <c r="F610" i="3"/>
  <c r="B610" i="3"/>
  <c r="A610" i="3"/>
  <c r="I609" i="3"/>
  <c r="G609" i="3"/>
  <c r="F609" i="3"/>
  <c r="B609" i="3"/>
  <c r="A609" i="3"/>
  <c r="I608" i="3"/>
  <c r="G608" i="3"/>
  <c r="F608" i="3"/>
  <c r="B608" i="3"/>
  <c r="A608" i="3"/>
  <c r="I607" i="3"/>
  <c r="G607" i="3"/>
  <c r="F607" i="3"/>
  <c r="B607" i="3"/>
  <c r="A607" i="3"/>
  <c r="I606" i="3"/>
  <c r="G606" i="3"/>
  <c r="F606" i="3"/>
  <c r="B606" i="3"/>
  <c r="A606" i="3"/>
  <c r="I605" i="3"/>
  <c r="G605" i="3"/>
  <c r="F605" i="3"/>
  <c r="B605" i="3"/>
  <c r="A605" i="3"/>
  <c r="I604" i="3"/>
  <c r="G604" i="3"/>
  <c r="F604" i="3"/>
  <c r="B604" i="3"/>
  <c r="A604" i="3"/>
  <c r="I603" i="3"/>
  <c r="G603" i="3"/>
  <c r="F603" i="3"/>
  <c r="B603" i="3"/>
  <c r="A603" i="3"/>
  <c r="I602" i="3"/>
  <c r="G602" i="3"/>
  <c r="F602" i="3"/>
  <c r="B602" i="3"/>
  <c r="A602" i="3"/>
  <c r="I601" i="3"/>
  <c r="G601" i="3"/>
  <c r="F601" i="3"/>
  <c r="B601" i="3"/>
  <c r="A601" i="3"/>
  <c r="I600" i="3"/>
  <c r="G600" i="3"/>
  <c r="F600" i="3"/>
  <c r="B600" i="3"/>
  <c r="A600" i="3"/>
  <c r="I599" i="3"/>
  <c r="G599" i="3"/>
  <c r="F599" i="3"/>
  <c r="B599" i="3"/>
  <c r="A599" i="3"/>
  <c r="I598" i="3"/>
  <c r="G598" i="3"/>
  <c r="F598" i="3"/>
  <c r="B598" i="3"/>
  <c r="A598" i="3"/>
  <c r="I597" i="3"/>
  <c r="G597" i="3"/>
  <c r="F597" i="3"/>
  <c r="B597" i="3"/>
  <c r="A597" i="3"/>
  <c r="I596" i="3"/>
  <c r="G596" i="3"/>
  <c r="F596" i="3"/>
  <c r="B596" i="3"/>
  <c r="A596" i="3"/>
  <c r="I595" i="3"/>
  <c r="G595" i="3"/>
  <c r="F595" i="3"/>
  <c r="B595" i="3"/>
  <c r="A595" i="3"/>
  <c r="I594" i="3"/>
  <c r="G594" i="3"/>
  <c r="F594" i="3"/>
  <c r="B594" i="3"/>
  <c r="A594" i="3"/>
  <c r="I593" i="3"/>
  <c r="G593" i="3"/>
  <c r="F593" i="3"/>
  <c r="B593" i="3"/>
  <c r="A593" i="3"/>
  <c r="I592" i="3"/>
  <c r="G592" i="3"/>
  <c r="F592" i="3"/>
  <c r="B592" i="3"/>
  <c r="A592" i="3"/>
  <c r="I591" i="3"/>
  <c r="G591" i="3"/>
  <c r="F591" i="3"/>
  <c r="B591" i="3"/>
  <c r="A591" i="3"/>
  <c r="I590" i="3"/>
  <c r="G590" i="3"/>
  <c r="F590" i="3"/>
  <c r="B590" i="3"/>
  <c r="A590" i="3"/>
  <c r="I589" i="3"/>
  <c r="G589" i="3"/>
  <c r="F589" i="3"/>
  <c r="B589" i="3"/>
  <c r="A589" i="3"/>
  <c r="I588" i="3"/>
  <c r="G588" i="3"/>
  <c r="F588" i="3"/>
  <c r="B588" i="3"/>
  <c r="A588" i="3"/>
  <c r="I587" i="3"/>
  <c r="G587" i="3"/>
  <c r="F587" i="3"/>
  <c r="B587" i="3"/>
  <c r="A587" i="3"/>
  <c r="I586" i="3"/>
  <c r="G586" i="3"/>
  <c r="F586" i="3"/>
  <c r="B586" i="3"/>
  <c r="A586" i="3"/>
  <c r="I585" i="3"/>
  <c r="G585" i="3"/>
  <c r="F585" i="3"/>
  <c r="B585" i="3"/>
  <c r="A585" i="3"/>
  <c r="I584" i="3"/>
  <c r="G584" i="3"/>
  <c r="F584" i="3"/>
  <c r="B584" i="3"/>
  <c r="A584" i="3"/>
  <c r="I583" i="3"/>
  <c r="G583" i="3"/>
  <c r="F583" i="3"/>
  <c r="B583" i="3"/>
  <c r="A583" i="3"/>
  <c r="I582" i="3"/>
  <c r="G582" i="3"/>
  <c r="F582" i="3"/>
  <c r="B582" i="3"/>
  <c r="A582" i="3"/>
  <c r="I581" i="3"/>
  <c r="G581" i="3"/>
  <c r="F581" i="3"/>
  <c r="B581" i="3"/>
  <c r="A581" i="3"/>
  <c r="I580" i="3"/>
  <c r="G580" i="3"/>
  <c r="F580" i="3"/>
  <c r="B580" i="3"/>
  <c r="A580" i="3"/>
  <c r="I579" i="3"/>
  <c r="G579" i="3"/>
  <c r="F579" i="3"/>
  <c r="B579" i="3"/>
  <c r="A579" i="3"/>
  <c r="I578" i="3"/>
  <c r="G578" i="3"/>
  <c r="F578" i="3"/>
  <c r="B578" i="3"/>
  <c r="A578" i="3"/>
  <c r="I577" i="3"/>
  <c r="G577" i="3"/>
  <c r="F577" i="3"/>
  <c r="B577" i="3"/>
  <c r="A577" i="3"/>
  <c r="I576" i="3"/>
  <c r="G576" i="3"/>
  <c r="F576" i="3"/>
  <c r="B576" i="3"/>
  <c r="A576" i="3"/>
  <c r="I575" i="3"/>
  <c r="G575" i="3"/>
  <c r="F575" i="3"/>
  <c r="B575" i="3"/>
  <c r="A575" i="3"/>
  <c r="I574" i="3"/>
  <c r="G574" i="3"/>
  <c r="F574" i="3"/>
  <c r="B574" i="3"/>
  <c r="A574" i="3"/>
  <c r="I573" i="3"/>
  <c r="G573" i="3"/>
  <c r="F573" i="3"/>
  <c r="B573" i="3"/>
  <c r="A573" i="3"/>
  <c r="I572" i="3"/>
  <c r="G572" i="3"/>
  <c r="F572" i="3"/>
  <c r="B572" i="3"/>
  <c r="A572" i="3"/>
  <c r="I571" i="3"/>
  <c r="G571" i="3"/>
  <c r="F571" i="3"/>
  <c r="B571" i="3"/>
  <c r="A571" i="3"/>
  <c r="I570" i="3"/>
  <c r="G570" i="3"/>
  <c r="F570" i="3"/>
  <c r="B570" i="3"/>
  <c r="A570" i="3"/>
  <c r="I569" i="3"/>
  <c r="G569" i="3"/>
  <c r="F569" i="3"/>
  <c r="B569" i="3"/>
  <c r="A569" i="3"/>
  <c r="I568" i="3"/>
  <c r="G568" i="3"/>
  <c r="F568" i="3"/>
  <c r="B568" i="3"/>
  <c r="A568" i="3"/>
  <c r="I567" i="3"/>
  <c r="G567" i="3"/>
  <c r="F567" i="3"/>
  <c r="B567" i="3"/>
  <c r="A567" i="3"/>
  <c r="I566" i="3"/>
  <c r="G566" i="3"/>
  <c r="F566" i="3"/>
  <c r="B566" i="3"/>
  <c r="A566" i="3"/>
  <c r="I565" i="3"/>
  <c r="G565" i="3"/>
  <c r="F565" i="3"/>
  <c r="B565" i="3"/>
  <c r="A565" i="3"/>
  <c r="I564" i="3"/>
  <c r="G564" i="3"/>
  <c r="F564" i="3"/>
  <c r="B564" i="3"/>
  <c r="A564" i="3"/>
  <c r="I563" i="3"/>
  <c r="G563" i="3"/>
  <c r="F563" i="3"/>
  <c r="B563" i="3"/>
  <c r="A563" i="3"/>
  <c r="I562" i="3"/>
  <c r="G562" i="3"/>
  <c r="F562" i="3"/>
  <c r="B562" i="3"/>
  <c r="A562" i="3"/>
  <c r="I561" i="3"/>
  <c r="G561" i="3"/>
  <c r="F561" i="3"/>
  <c r="B561" i="3"/>
  <c r="A561" i="3"/>
  <c r="I560" i="3"/>
  <c r="G560" i="3"/>
  <c r="F560" i="3"/>
  <c r="B560" i="3"/>
  <c r="A560" i="3"/>
  <c r="I559" i="3"/>
  <c r="G559" i="3"/>
  <c r="F559" i="3"/>
  <c r="B559" i="3"/>
  <c r="A559" i="3"/>
  <c r="I558" i="3"/>
  <c r="G558" i="3"/>
  <c r="F558" i="3"/>
  <c r="B558" i="3"/>
  <c r="A558" i="3"/>
  <c r="I557" i="3"/>
  <c r="G557" i="3"/>
  <c r="F557" i="3"/>
  <c r="B557" i="3"/>
  <c r="A557" i="3"/>
  <c r="I556" i="3"/>
  <c r="G556" i="3"/>
  <c r="F556" i="3"/>
  <c r="B556" i="3"/>
  <c r="A556" i="3"/>
  <c r="I555" i="3"/>
  <c r="G555" i="3"/>
  <c r="F555" i="3"/>
  <c r="B555" i="3"/>
  <c r="A555" i="3"/>
  <c r="I554" i="3"/>
  <c r="G554" i="3"/>
  <c r="F554" i="3"/>
  <c r="B554" i="3"/>
  <c r="A554" i="3"/>
  <c r="I553" i="3"/>
  <c r="G553" i="3"/>
  <c r="F553" i="3"/>
  <c r="B553" i="3"/>
  <c r="A553" i="3"/>
  <c r="I552" i="3"/>
  <c r="G552" i="3"/>
  <c r="F552" i="3"/>
  <c r="B552" i="3"/>
  <c r="A552" i="3"/>
  <c r="I551" i="3"/>
  <c r="G551" i="3"/>
  <c r="F551" i="3"/>
  <c r="B551" i="3"/>
  <c r="A551" i="3"/>
  <c r="I550" i="3"/>
  <c r="G550" i="3"/>
  <c r="F550" i="3"/>
  <c r="B550" i="3"/>
  <c r="A550" i="3"/>
  <c r="I549" i="3"/>
  <c r="G549" i="3"/>
  <c r="F549" i="3"/>
  <c r="B549" i="3"/>
  <c r="A549" i="3"/>
  <c r="I548" i="3"/>
  <c r="G548" i="3"/>
  <c r="F548" i="3"/>
  <c r="B548" i="3"/>
  <c r="A548" i="3"/>
  <c r="I547" i="3"/>
  <c r="G547" i="3"/>
  <c r="F547" i="3"/>
  <c r="B547" i="3"/>
  <c r="A547" i="3"/>
  <c r="I546" i="3"/>
  <c r="G546" i="3"/>
  <c r="F546" i="3"/>
  <c r="B546" i="3"/>
  <c r="A546" i="3"/>
  <c r="I545" i="3"/>
  <c r="G545" i="3"/>
  <c r="F545" i="3"/>
  <c r="B545" i="3"/>
  <c r="A545" i="3"/>
  <c r="I544" i="3"/>
  <c r="G544" i="3"/>
  <c r="F544" i="3"/>
  <c r="B544" i="3"/>
  <c r="A544" i="3"/>
  <c r="I543" i="3"/>
  <c r="G543" i="3"/>
  <c r="F543" i="3"/>
  <c r="B543" i="3"/>
  <c r="A543" i="3"/>
  <c r="I542" i="3"/>
  <c r="G542" i="3"/>
  <c r="F542" i="3"/>
  <c r="B542" i="3"/>
  <c r="A542" i="3"/>
  <c r="I541" i="3"/>
  <c r="G541" i="3"/>
  <c r="F541" i="3"/>
  <c r="B541" i="3"/>
  <c r="A541" i="3"/>
  <c r="I540" i="3"/>
  <c r="G540" i="3"/>
  <c r="F540" i="3"/>
  <c r="B540" i="3"/>
  <c r="A540" i="3"/>
  <c r="I539" i="3"/>
  <c r="G539" i="3"/>
  <c r="F539" i="3"/>
  <c r="B539" i="3"/>
  <c r="A539" i="3"/>
  <c r="I538" i="3"/>
  <c r="G538" i="3"/>
  <c r="F538" i="3"/>
  <c r="B538" i="3"/>
  <c r="A538" i="3"/>
  <c r="I537" i="3"/>
  <c r="G537" i="3"/>
  <c r="F537" i="3"/>
  <c r="B537" i="3"/>
  <c r="A537" i="3"/>
  <c r="I536" i="3"/>
  <c r="G536" i="3"/>
  <c r="F536" i="3"/>
  <c r="B536" i="3"/>
  <c r="A536" i="3"/>
  <c r="I535" i="3"/>
  <c r="G535" i="3"/>
  <c r="F535" i="3"/>
  <c r="B535" i="3"/>
  <c r="A535" i="3"/>
  <c r="I534" i="3"/>
  <c r="G534" i="3"/>
  <c r="F534" i="3"/>
  <c r="B534" i="3"/>
  <c r="A534" i="3"/>
  <c r="I533" i="3"/>
  <c r="G533" i="3"/>
  <c r="F533" i="3"/>
  <c r="B533" i="3"/>
  <c r="A533" i="3"/>
  <c r="I532" i="3"/>
  <c r="G532" i="3"/>
  <c r="F532" i="3"/>
  <c r="B532" i="3"/>
  <c r="A532" i="3"/>
  <c r="I531" i="3"/>
  <c r="G531" i="3"/>
  <c r="F531" i="3"/>
  <c r="B531" i="3"/>
  <c r="A531" i="3"/>
  <c r="I530" i="3"/>
  <c r="G530" i="3"/>
  <c r="F530" i="3"/>
  <c r="B530" i="3"/>
  <c r="A530" i="3"/>
  <c r="I529" i="3"/>
  <c r="G529" i="3"/>
  <c r="F529" i="3"/>
  <c r="B529" i="3"/>
  <c r="A529" i="3"/>
  <c r="I528" i="3"/>
  <c r="G528" i="3"/>
  <c r="F528" i="3"/>
  <c r="B528" i="3"/>
  <c r="A528" i="3"/>
  <c r="I527" i="3"/>
  <c r="G527" i="3"/>
  <c r="F527" i="3"/>
  <c r="B527" i="3"/>
  <c r="A527" i="3"/>
  <c r="I526" i="3"/>
  <c r="G526" i="3"/>
  <c r="F526" i="3"/>
  <c r="B526" i="3"/>
  <c r="A526" i="3"/>
  <c r="I525" i="3"/>
  <c r="G525" i="3"/>
  <c r="F525" i="3"/>
  <c r="B525" i="3"/>
  <c r="A525" i="3"/>
  <c r="I524" i="3"/>
  <c r="G524" i="3"/>
  <c r="F524" i="3"/>
  <c r="B524" i="3"/>
  <c r="A524" i="3"/>
  <c r="I523" i="3"/>
  <c r="G523" i="3"/>
  <c r="F523" i="3"/>
  <c r="B523" i="3"/>
  <c r="A523" i="3"/>
  <c r="I522" i="3"/>
  <c r="G522" i="3"/>
  <c r="F522" i="3"/>
  <c r="B522" i="3"/>
  <c r="A522" i="3"/>
  <c r="I521" i="3"/>
  <c r="G521" i="3"/>
  <c r="F521" i="3"/>
  <c r="B521" i="3"/>
  <c r="A521" i="3"/>
  <c r="I520" i="3"/>
  <c r="G520" i="3"/>
  <c r="F520" i="3"/>
  <c r="B520" i="3"/>
  <c r="A520" i="3"/>
  <c r="I519" i="3"/>
  <c r="G519" i="3"/>
  <c r="F519" i="3"/>
  <c r="B519" i="3"/>
  <c r="A519" i="3"/>
  <c r="I518" i="3"/>
  <c r="G518" i="3"/>
  <c r="F518" i="3"/>
  <c r="B518" i="3"/>
  <c r="A518" i="3"/>
  <c r="I517" i="3"/>
  <c r="G517" i="3"/>
  <c r="F517" i="3"/>
  <c r="B517" i="3"/>
  <c r="A517" i="3"/>
  <c r="I516" i="3"/>
  <c r="G516" i="3"/>
  <c r="F516" i="3"/>
  <c r="B516" i="3"/>
  <c r="A516" i="3"/>
  <c r="I515" i="3"/>
  <c r="G515" i="3"/>
  <c r="F515" i="3"/>
  <c r="B515" i="3"/>
  <c r="A515" i="3"/>
  <c r="I514" i="3"/>
  <c r="G514" i="3"/>
  <c r="F514" i="3"/>
  <c r="B514" i="3"/>
  <c r="A514" i="3"/>
  <c r="I513" i="3"/>
  <c r="G513" i="3"/>
  <c r="F513" i="3"/>
  <c r="B513" i="3"/>
  <c r="A513" i="3"/>
  <c r="I512" i="3"/>
  <c r="G512" i="3"/>
  <c r="F512" i="3"/>
  <c r="B512" i="3"/>
  <c r="A512" i="3"/>
  <c r="I511" i="3"/>
  <c r="G511" i="3"/>
  <c r="F511" i="3"/>
  <c r="B511" i="3"/>
  <c r="A511" i="3"/>
  <c r="I510" i="3"/>
  <c r="G510" i="3"/>
  <c r="F510" i="3"/>
  <c r="B510" i="3"/>
  <c r="A510" i="3"/>
  <c r="I509" i="3"/>
  <c r="G509" i="3"/>
  <c r="F509" i="3"/>
  <c r="B509" i="3"/>
  <c r="A509" i="3"/>
  <c r="I508" i="3"/>
  <c r="G508" i="3"/>
  <c r="F508" i="3"/>
  <c r="B508" i="3"/>
  <c r="A508" i="3"/>
  <c r="I507" i="3"/>
  <c r="G507" i="3"/>
  <c r="F507" i="3"/>
  <c r="B507" i="3"/>
  <c r="A507" i="3"/>
  <c r="I506" i="3"/>
  <c r="G506" i="3"/>
  <c r="F506" i="3"/>
  <c r="B506" i="3"/>
  <c r="A506" i="3"/>
  <c r="I505" i="3"/>
  <c r="G505" i="3"/>
  <c r="F505" i="3"/>
  <c r="B505" i="3"/>
  <c r="A505" i="3"/>
  <c r="I504" i="3"/>
  <c r="G504" i="3"/>
  <c r="F504" i="3"/>
  <c r="B504" i="3"/>
  <c r="A504" i="3"/>
  <c r="I503" i="3"/>
  <c r="G503" i="3"/>
  <c r="F503" i="3"/>
  <c r="B503" i="3"/>
  <c r="A503" i="3"/>
  <c r="I502" i="3"/>
  <c r="G502" i="3"/>
  <c r="F502" i="3"/>
  <c r="B502" i="3"/>
  <c r="A502" i="3"/>
  <c r="I501" i="3"/>
  <c r="G501" i="3"/>
  <c r="F501" i="3"/>
  <c r="B501" i="3"/>
  <c r="A501" i="3"/>
  <c r="I500" i="3"/>
  <c r="G500" i="3"/>
  <c r="F500" i="3"/>
  <c r="B500" i="3"/>
  <c r="A500" i="3"/>
  <c r="I499" i="3"/>
  <c r="G499" i="3"/>
  <c r="F499" i="3"/>
  <c r="B499" i="3"/>
  <c r="A499" i="3"/>
  <c r="I498" i="3"/>
  <c r="G498" i="3"/>
  <c r="F498" i="3"/>
  <c r="B498" i="3"/>
  <c r="A498" i="3"/>
  <c r="I497" i="3"/>
  <c r="G497" i="3"/>
  <c r="F497" i="3"/>
  <c r="B497" i="3"/>
  <c r="A497" i="3"/>
  <c r="I496" i="3"/>
  <c r="G496" i="3"/>
  <c r="F496" i="3"/>
  <c r="B496" i="3"/>
  <c r="A496" i="3"/>
  <c r="I495" i="3"/>
  <c r="G495" i="3"/>
  <c r="F495" i="3"/>
  <c r="B495" i="3"/>
  <c r="A495" i="3"/>
  <c r="I494" i="3"/>
  <c r="G494" i="3"/>
  <c r="F494" i="3"/>
  <c r="B494" i="3"/>
  <c r="A494" i="3"/>
  <c r="I493" i="3"/>
  <c r="G493" i="3"/>
  <c r="F493" i="3"/>
  <c r="B493" i="3"/>
  <c r="A493" i="3"/>
  <c r="I492" i="3"/>
  <c r="G492" i="3"/>
  <c r="F492" i="3"/>
  <c r="B492" i="3"/>
  <c r="A492" i="3"/>
  <c r="I491" i="3"/>
  <c r="G491" i="3"/>
  <c r="F491" i="3"/>
  <c r="B491" i="3"/>
  <c r="A491" i="3"/>
  <c r="I490" i="3"/>
  <c r="G490" i="3"/>
  <c r="F490" i="3"/>
  <c r="B490" i="3"/>
  <c r="A490" i="3"/>
  <c r="I489" i="3"/>
  <c r="G489" i="3"/>
  <c r="F489" i="3"/>
  <c r="B489" i="3"/>
  <c r="A489" i="3"/>
  <c r="I488" i="3"/>
  <c r="G488" i="3"/>
  <c r="F488" i="3"/>
  <c r="B488" i="3"/>
  <c r="A488" i="3"/>
  <c r="I487" i="3"/>
  <c r="G487" i="3"/>
  <c r="F487" i="3"/>
  <c r="B487" i="3"/>
  <c r="A487" i="3"/>
  <c r="I486" i="3"/>
  <c r="G486" i="3"/>
  <c r="F486" i="3"/>
  <c r="B486" i="3"/>
  <c r="A486" i="3"/>
  <c r="I485" i="3"/>
  <c r="G485" i="3"/>
  <c r="F485" i="3"/>
  <c r="B485" i="3"/>
  <c r="A485" i="3"/>
  <c r="I484" i="3"/>
  <c r="G484" i="3"/>
  <c r="F484" i="3"/>
  <c r="B484" i="3"/>
  <c r="A484" i="3"/>
  <c r="I483" i="3"/>
  <c r="G483" i="3"/>
  <c r="F483" i="3"/>
  <c r="B483" i="3"/>
  <c r="A483" i="3"/>
  <c r="I482" i="3"/>
  <c r="G482" i="3"/>
  <c r="F482" i="3"/>
  <c r="B482" i="3"/>
  <c r="A482" i="3"/>
  <c r="I481" i="3"/>
  <c r="G481" i="3"/>
  <c r="F481" i="3"/>
  <c r="B481" i="3"/>
  <c r="A481" i="3"/>
  <c r="I480" i="3"/>
  <c r="G480" i="3"/>
  <c r="F480" i="3"/>
  <c r="B480" i="3"/>
  <c r="A480" i="3"/>
  <c r="I479" i="3"/>
  <c r="G479" i="3"/>
  <c r="F479" i="3"/>
  <c r="B479" i="3"/>
  <c r="A479" i="3"/>
  <c r="I478" i="3"/>
  <c r="G478" i="3"/>
  <c r="F478" i="3"/>
  <c r="B478" i="3"/>
  <c r="A478" i="3"/>
  <c r="I477" i="3"/>
  <c r="G477" i="3"/>
  <c r="F477" i="3"/>
  <c r="B477" i="3"/>
  <c r="A477" i="3"/>
  <c r="I476" i="3"/>
  <c r="G476" i="3"/>
  <c r="F476" i="3"/>
  <c r="B476" i="3"/>
  <c r="A476" i="3"/>
  <c r="I475" i="3"/>
  <c r="G475" i="3"/>
  <c r="F475" i="3"/>
  <c r="B475" i="3"/>
  <c r="A475" i="3"/>
  <c r="I474" i="3"/>
  <c r="G474" i="3"/>
  <c r="F474" i="3"/>
  <c r="B474" i="3"/>
  <c r="A474" i="3"/>
  <c r="I473" i="3"/>
  <c r="G473" i="3"/>
  <c r="F473" i="3"/>
  <c r="B473" i="3"/>
  <c r="A473" i="3"/>
  <c r="I472" i="3"/>
  <c r="G472" i="3"/>
  <c r="F472" i="3"/>
  <c r="B472" i="3"/>
  <c r="A472" i="3"/>
  <c r="I471" i="3"/>
  <c r="G471" i="3"/>
  <c r="F471" i="3"/>
  <c r="B471" i="3"/>
  <c r="A471" i="3"/>
  <c r="I470" i="3"/>
  <c r="G470" i="3"/>
  <c r="F470" i="3"/>
  <c r="B470" i="3"/>
  <c r="A470" i="3"/>
  <c r="I469" i="3"/>
  <c r="G469" i="3"/>
  <c r="F469" i="3"/>
  <c r="B469" i="3"/>
  <c r="A469" i="3"/>
  <c r="I468" i="3"/>
  <c r="G468" i="3"/>
  <c r="F468" i="3"/>
  <c r="B468" i="3"/>
  <c r="A468" i="3"/>
  <c r="I467" i="3"/>
  <c r="G467" i="3"/>
  <c r="F467" i="3"/>
  <c r="B467" i="3"/>
  <c r="A467" i="3"/>
  <c r="I466" i="3"/>
  <c r="G466" i="3"/>
  <c r="F466" i="3"/>
  <c r="B466" i="3"/>
  <c r="A466" i="3"/>
  <c r="I465" i="3"/>
  <c r="G465" i="3"/>
  <c r="F465" i="3"/>
  <c r="B465" i="3"/>
  <c r="A465" i="3"/>
  <c r="I464" i="3"/>
  <c r="G464" i="3"/>
  <c r="F464" i="3"/>
  <c r="B464" i="3"/>
  <c r="A464" i="3"/>
  <c r="I463" i="3"/>
  <c r="G463" i="3"/>
  <c r="F463" i="3"/>
  <c r="B463" i="3"/>
  <c r="A463" i="3"/>
  <c r="I462" i="3"/>
  <c r="G462" i="3"/>
  <c r="F462" i="3"/>
  <c r="B462" i="3"/>
  <c r="A462" i="3"/>
  <c r="I461" i="3"/>
  <c r="G461" i="3"/>
  <c r="F461" i="3"/>
  <c r="B461" i="3"/>
  <c r="A461" i="3"/>
  <c r="I460" i="3"/>
  <c r="G460" i="3"/>
  <c r="F460" i="3"/>
  <c r="B460" i="3"/>
  <c r="A460" i="3"/>
  <c r="I459" i="3"/>
  <c r="G459" i="3"/>
  <c r="F459" i="3"/>
  <c r="B459" i="3"/>
  <c r="A459" i="3"/>
  <c r="I458" i="3"/>
  <c r="G458" i="3"/>
  <c r="F458" i="3"/>
  <c r="B458" i="3"/>
  <c r="A458" i="3"/>
  <c r="I457" i="3"/>
  <c r="G457" i="3"/>
  <c r="F457" i="3"/>
  <c r="B457" i="3"/>
  <c r="A457" i="3"/>
  <c r="I456" i="3"/>
  <c r="G456" i="3"/>
  <c r="F456" i="3"/>
  <c r="B456" i="3"/>
  <c r="A456" i="3"/>
  <c r="I455" i="3"/>
  <c r="G455" i="3"/>
  <c r="F455" i="3"/>
  <c r="B455" i="3"/>
  <c r="A455" i="3"/>
  <c r="I454" i="3"/>
  <c r="G454" i="3"/>
  <c r="F454" i="3"/>
  <c r="B454" i="3"/>
  <c r="A454" i="3"/>
  <c r="I453" i="3"/>
  <c r="G453" i="3"/>
  <c r="F453" i="3"/>
  <c r="B453" i="3"/>
  <c r="A453" i="3"/>
  <c r="I452" i="3"/>
  <c r="G452" i="3"/>
  <c r="F452" i="3"/>
  <c r="B452" i="3"/>
  <c r="A452" i="3"/>
  <c r="I451" i="3"/>
  <c r="G451" i="3"/>
  <c r="F451" i="3"/>
  <c r="B451" i="3"/>
  <c r="A451" i="3"/>
  <c r="I450" i="3"/>
  <c r="G450" i="3"/>
  <c r="F450" i="3"/>
  <c r="B450" i="3"/>
  <c r="A450" i="3"/>
  <c r="I449" i="3"/>
  <c r="G449" i="3"/>
  <c r="F449" i="3"/>
  <c r="B449" i="3"/>
  <c r="A449" i="3"/>
  <c r="I448" i="3"/>
  <c r="G448" i="3"/>
  <c r="F448" i="3"/>
  <c r="B448" i="3"/>
  <c r="A448" i="3"/>
  <c r="I447" i="3"/>
  <c r="G447" i="3"/>
  <c r="F447" i="3"/>
  <c r="B447" i="3"/>
  <c r="A447" i="3"/>
  <c r="I446" i="3"/>
  <c r="G446" i="3"/>
  <c r="F446" i="3"/>
  <c r="B446" i="3"/>
  <c r="A446" i="3"/>
  <c r="I445" i="3"/>
  <c r="G445" i="3"/>
  <c r="F445" i="3"/>
  <c r="B445" i="3"/>
  <c r="A445" i="3"/>
  <c r="I444" i="3"/>
  <c r="G444" i="3"/>
  <c r="F444" i="3"/>
  <c r="B444" i="3"/>
  <c r="A444" i="3"/>
  <c r="I443" i="3"/>
  <c r="G443" i="3"/>
  <c r="F443" i="3"/>
  <c r="B443" i="3"/>
  <c r="A443" i="3"/>
  <c r="I442" i="3"/>
  <c r="G442" i="3"/>
  <c r="F442" i="3"/>
  <c r="B442" i="3"/>
  <c r="A442" i="3"/>
  <c r="I441" i="3"/>
  <c r="G441" i="3"/>
  <c r="F441" i="3"/>
  <c r="B441" i="3"/>
  <c r="A441" i="3"/>
  <c r="I440" i="3"/>
  <c r="G440" i="3"/>
  <c r="F440" i="3"/>
  <c r="B440" i="3"/>
  <c r="A440" i="3"/>
  <c r="I439" i="3"/>
  <c r="G439" i="3"/>
  <c r="F439" i="3"/>
  <c r="B439" i="3"/>
  <c r="A439" i="3"/>
  <c r="I438" i="3"/>
  <c r="G438" i="3"/>
  <c r="F438" i="3"/>
  <c r="B438" i="3"/>
  <c r="A438" i="3"/>
  <c r="I437" i="3"/>
  <c r="G437" i="3"/>
  <c r="F437" i="3"/>
  <c r="B437" i="3"/>
  <c r="A437" i="3"/>
  <c r="I436" i="3"/>
  <c r="G436" i="3"/>
  <c r="F436" i="3"/>
  <c r="B436" i="3"/>
  <c r="A436" i="3"/>
  <c r="I435" i="3"/>
  <c r="G435" i="3"/>
  <c r="F435" i="3"/>
  <c r="B435" i="3"/>
  <c r="A435" i="3"/>
  <c r="I434" i="3"/>
  <c r="G434" i="3"/>
  <c r="F434" i="3"/>
  <c r="B434" i="3"/>
  <c r="A434" i="3"/>
  <c r="I433" i="3"/>
  <c r="G433" i="3"/>
  <c r="F433" i="3"/>
  <c r="B433" i="3"/>
  <c r="A433" i="3"/>
  <c r="I432" i="3"/>
  <c r="G432" i="3"/>
  <c r="F432" i="3"/>
  <c r="B432" i="3"/>
  <c r="A432" i="3"/>
  <c r="I431" i="3"/>
  <c r="G431" i="3"/>
  <c r="F431" i="3"/>
  <c r="B431" i="3"/>
  <c r="A431" i="3"/>
  <c r="I430" i="3"/>
  <c r="G430" i="3"/>
  <c r="F430" i="3"/>
  <c r="B430" i="3"/>
  <c r="A430" i="3"/>
  <c r="I429" i="3"/>
  <c r="G429" i="3"/>
  <c r="F429" i="3"/>
  <c r="B429" i="3"/>
  <c r="A429" i="3"/>
  <c r="I428" i="3"/>
  <c r="G428" i="3"/>
  <c r="F428" i="3"/>
  <c r="B428" i="3"/>
  <c r="A428" i="3"/>
  <c r="I427" i="3"/>
  <c r="G427" i="3"/>
  <c r="F427" i="3"/>
  <c r="B427" i="3"/>
  <c r="A427" i="3"/>
  <c r="I426" i="3"/>
  <c r="G426" i="3"/>
  <c r="F426" i="3"/>
  <c r="B426" i="3"/>
  <c r="A426" i="3"/>
  <c r="I425" i="3"/>
  <c r="G425" i="3"/>
  <c r="F425" i="3"/>
  <c r="B425" i="3"/>
  <c r="A425" i="3"/>
  <c r="I424" i="3"/>
  <c r="G424" i="3"/>
  <c r="F424" i="3"/>
  <c r="B424" i="3"/>
  <c r="A424" i="3"/>
  <c r="I423" i="3"/>
  <c r="G423" i="3"/>
  <c r="F423" i="3"/>
  <c r="B423" i="3"/>
  <c r="A423" i="3"/>
  <c r="I422" i="3"/>
  <c r="G422" i="3"/>
  <c r="F422" i="3"/>
  <c r="B422" i="3"/>
  <c r="A422" i="3"/>
  <c r="I421" i="3"/>
  <c r="G421" i="3"/>
  <c r="F421" i="3"/>
  <c r="B421" i="3"/>
  <c r="A421" i="3"/>
  <c r="I420" i="3"/>
  <c r="G420" i="3"/>
  <c r="F420" i="3"/>
  <c r="B420" i="3"/>
  <c r="A420" i="3"/>
  <c r="I419" i="3"/>
  <c r="G419" i="3"/>
  <c r="F419" i="3"/>
  <c r="B419" i="3"/>
  <c r="A419" i="3"/>
  <c r="I418" i="3"/>
  <c r="G418" i="3"/>
  <c r="F418" i="3"/>
  <c r="B418" i="3"/>
  <c r="A418" i="3"/>
  <c r="I417" i="3"/>
  <c r="G417" i="3"/>
  <c r="F417" i="3"/>
  <c r="B417" i="3"/>
  <c r="A417" i="3"/>
  <c r="I416" i="3"/>
  <c r="G416" i="3"/>
  <c r="F416" i="3"/>
  <c r="B416" i="3"/>
  <c r="A416" i="3"/>
  <c r="I415" i="3"/>
  <c r="G415" i="3"/>
  <c r="F415" i="3"/>
  <c r="B415" i="3"/>
  <c r="A415" i="3"/>
  <c r="I414" i="3"/>
  <c r="G414" i="3"/>
  <c r="F414" i="3"/>
  <c r="B414" i="3"/>
  <c r="A414" i="3"/>
  <c r="I413" i="3"/>
  <c r="G413" i="3"/>
  <c r="F413" i="3"/>
  <c r="B413" i="3"/>
  <c r="A413" i="3"/>
  <c r="I412" i="3"/>
  <c r="G412" i="3"/>
  <c r="F412" i="3"/>
  <c r="B412" i="3"/>
  <c r="A412" i="3"/>
  <c r="I411" i="3"/>
  <c r="G411" i="3"/>
  <c r="F411" i="3"/>
  <c r="B411" i="3"/>
  <c r="A411" i="3"/>
  <c r="I410" i="3"/>
  <c r="G410" i="3"/>
  <c r="F410" i="3"/>
  <c r="B410" i="3"/>
  <c r="A410" i="3"/>
  <c r="I409" i="3"/>
  <c r="G409" i="3"/>
  <c r="F409" i="3"/>
  <c r="B409" i="3"/>
  <c r="A409" i="3"/>
  <c r="I408" i="3"/>
  <c r="G408" i="3"/>
  <c r="F408" i="3"/>
  <c r="B408" i="3"/>
  <c r="A408" i="3"/>
  <c r="I407" i="3"/>
  <c r="G407" i="3"/>
  <c r="F407" i="3"/>
  <c r="B407" i="3"/>
  <c r="A407" i="3"/>
  <c r="I406" i="3"/>
  <c r="G406" i="3"/>
  <c r="F406" i="3"/>
  <c r="B406" i="3"/>
  <c r="A406" i="3"/>
  <c r="I405" i="3"/>
  <c r="G405" i="3"/>
  <c r="F405" i="3"/>
  <c r="B405" i="3"/>
  <c r="A405" i="3"/>
  <c r="I404" i="3"/>
  <c r="G404" i="3"/>
  <c r="F404" i="3"/>
  <c r="B404" i="3"/>
  <c r="A404" i="3"/>
  <c r="I403" i="3"/>
  <c r="G403" i="3"/>
  <c r="F403" i="3"/>
  <c r="B403" i="3"/>
  <c r="A403" i="3"/>
  <c r="I402" i="3"/>
  <c r="G402" i="3"/>
  <c r="F402" i="3"/>
  <c r="B402" i="3"/>
  <c r="A402" i="3"/>
  <c r="I401" i="3"/>
  <c r="G401" i="3"/>
  <c r="F401" i="3"/>
  <c r="B401" i="3"/>
  <c r="A401" i="3"/>
  <c r="I400" i="3"/>
  <c r="G400" i="3"/>
  <c r="F400" i="3"/>
  <c r="B400" i="3"/>
  <c r="A400" i="3"/>
  <c r="I399" i="3"/>
  <c r="G399" i="3"/>
  <c r="F399" i="3"/>
  <c r="B399" i="3"/>
  <c r="A399" i="3"/>
  <c r="I398" i="3"/>
  <c r="G398" i="3"/>
  <c r="F398" i="3"/>
  <c r="B398" i="3"/>
  <c r="A398" i="3"/>
  <c r="I397" i="3"/>
  <c r="G397" i="3"/>
  <c r="F397" i="3"/>
  <c r="B397" i="3"/>
  <c r="A397" i="3"/>
  <c r="I396" i="3"/>
  <c r="G396" i="3"/>
  <c r="F396" i="3"/>
  <c r="B396" i="3"/>
  <c r="A396" i="3"/>
  <c r="I395" i="3"/>
  <c r="G395" i="3"/>
  <c r="F395" i="3"/>
  <c r="B395" i="3"/>
  <c r="A395" i="3"/>
  <c r="I394" i="3"/>
  <c r="G394" i="3"/>
  <c r="F394" i="3"/>
  <c r="B394" i="3"/>
  <c r="A394" i="3"/>
  <c r="I393" i="3"/>
  <c r="G393" i="3"/>
  <c r="F393" i="3"/>
  <c r="B393" i="3"/>
  <c r="A393" i="3"/>
  <c r="I392" i="3"/>
  <c r="G392" i="3"/>
  <c r="F392" i="3"/>
  <c r="B392" i="3"/>
  <c r="A392" i="3"/>
  <c r="I391" i="3"/>
  <c r="G391" i="3"/>
  <c r="F391" i="3"/>
  <c r="B391" i="3"/>
  <c r="A391" i="3"/>
  <c r="I390" i="3"/>
  <c r="G390" i="3"/>
  <c r="F390" i="3"/>
  <c r="B390" i="3"/>
  <c r="A390" i="3"/>
  <c r="I389" i="3"/>
  <c r="G389" i="3"/>
  <c r="F389" i="3"/>
  <c r="B389" i="3"/>
  <c r="A389" i="3"/>
  <c r="I388" i="3"/>
  <c r="G388" i="3"/>
  <c r="F388" i="3"/>
  <c r="B388" i="3"/>
  <c r="A388" i="3"/>
  <c r="I387" i="3"/>
  <c r="G387" i="3"/>
  <c r="F387" i="3"/>
  <c r="B387" i="3"/>
  <c r="A387" i="3"/>
  <c r="I386" i="3"/>
  <c r="G386" i="3"/>
  <c r="F386" i="3"/>
  <c r="B386" i="3"/>
  <c r="A386" i="3"/>
  <c r="I385" i="3"/>
  <c r="G385" i="3"/>
  <c r="F385" i="3"/>
  <c r="B385" i="3"/>
  <c r="A385" i="3"/>
  <c r="I384" i="3"/>
  <c r="G384" i="3"/>
  <c r="F384" i="3"/>
  <c r="B384" i="3"/>
  <c r="A384" i="3"/>
  <c r="I383" i="3"/>
  <c r="G383" i="3"/>
  <c r="F383" i="3"/>
  <c r="B383" i="3"/>
  <c r="A383" i="3"/>
  <c r="I382" i="3"/>
  <c r="G382" i="3"/>
  <c r="F382" i="3"/>
  <c r="B382" i="3"/>
  <c r="A382" i="3"/>
  <c r="I381" i="3"/>
  <c r="G381" i="3"/>
  <c r="F381" i="3"/>
  <c r="B381" i="3"/>
  <c r="A381" i="3"/>
  <c r="I380" i="3"/>
  <c r="G380" i="3"/>
  <c r="F380" i="3"/>
  <c r="B380" i="3"/>
  <c r="A380" i="3"/>
  <c r="I379" i="3"/>
  <c r="G379" i="3"/>
  <c r="F379" i="3"/>
  <c r="B379" i="3"/>
  <c r="A379" i="3"/>
  <c r="I378" i="3"/>
  <c r="G378" i="3"/>
  <c r="F378" i="3"/>
  <c r="B378" i="3"/>
  <c r="A378" i="3"/>
  <c r="I377" i="3"/>
  <c r="G377" i="3"/>
  <c r="F377" i="3"/>
  <c r="B377" i="3"/>
  <c r="A377" i="3"/>
  <c r="I376" i="3"/>
  <c r="G376" i="3"/>
  <c r="F376" i="3"/>
  <c r="B376" i="3"/>
  <c r="A376" i="3"/>
  <c r="I375" i="3"/>
  <c r="G375" i="3"/>
  <c r="F375" i="3"/>
  <c r="B375" i="3"/>
  <c r="A375" i="3"/>
  <c r="I374" i="3"/>
  <c r="G374" i="3"/>
  <c r="F374" i="3"/>
  <c r="B374" i="3"/>
  <c r="A374" i="3"/>
  <c r="I373" i="3"/>
  <c r="G373" i="3"/>
  <c r="F373" i="3"/>
  <c r="B373" i="3"/>
  <c r="A373" i="3"/>
  <c r="I372" i="3"/>
  <c r="G372" i="3"/>
  <c r="F372" i="3"/>
  <c r="B372" i="3"/>
  <c r="A372" i="3"/>
  <c r="I371" i="3"/>
  <c r="G371" i="3"/>
  <c r="F371" i="3"/>
  <c r="B371" i="3"/>
  <c r="A371" i="3"/>
  <c r="I370" i="3"/>
  <c r="G370" i="3"/>
  <c r="F370" i="3"/>
  <c r="B370" i="3"/>
  <c r="A370" i="3"/>
  <c r="I369" i="3"/>
  <c r="G369" i="3"/>
  <c r="F369" i="3"/>
  <c r="B369" i="3"/>
  <c r="A369" i="3"/>
  <c r="I368" i="3"/>
  <c r="G368" i="3"/>
  <c r="F368" i="3"/>
  <c r="B368" i="3"/>
  <c r="A368" i="3"/>
  <c r="I367" i="3"/>
  <c r="G367" i="3"/>
  <c r="F367" i="3"/>
  <c r="B367" i="3"/>
  <c r="A367" i="3"/>
  <c r="I366" i="3"/>
  <c r="G366" i="3"/>
  <c r="F366" i="3"/>
  <c r="B366" i="3"/>
  <c r="A366" i="3"/>
  <c r="I365" i="3"/>
  <c r="G365" i="3"/>
  <c r="F365" i="3"/>
  <c r="B365" i="3"/>
  <c r="A365" i="3"/>
  <c r="I364" i="3"/>
  <c r="G364" i="3"/>
  <c r="F364" i="3"/>
  <c r="B364" i="3"/>
  <c r="A364" i="3"/>
  <c r="I363" i="3"/>
  <c r="G363" i="3"/>
  <c r="F363" i="3"/>
  <c r="B363" i="3"/>
  <c r="A363" i="3"/>
  <c r="I362" i="3"/>
  <c r="G362" i="3"/>
  <c r="F362" i="3"/>
  <c r="B362" i="3"/>
  <c r="A362" i="3"/>
  <c r="I361" i="3"/>
  <c r="G361" i="3"/>
  <c r="F361" i="3"/>
  <c r="B361" i="3"/>
  <c r="A361" i="3"/>
  <c r="I360" i="3"/>
  <c r="G360" i="3"/>
  <c r="F360" i="3"/>
  <c r="B360" i="3"/>
  <c r="A360" i="3"/>
  <c r="I359" i="3"/>
  <c r="G359" i="3"/>
  <c r="F359" i="3"/>
  <c r="B359" i="3"/>
  <c r="A359" i="3"/>
  <c r="I358" i="3"/>
  <c r="G358" i="3"/>
  <c r="F358" i="3"/>
  <c r="B358" i="3"/>
  <c r="A358" i="3"/>
  <c r="I357" i="3"/>
  <c r="G357" i="3"/>
  <c r="F357" i="3"/>
  <c r="B357" i="3"/>
  <c r="A357" i="3"/>
  <c r="I356" i="3"/>
  <c r="G356" i="3"/>
  <c r="F356" i="3"/>
  <c r="B356" i="3"/>
  <c r="A356" i="3"/>
  <c r="I355" i="3"/>
  <c r="G355" i="3"/>
  <c r="F355" i="3"/>
  <c r="B355" i="3"/>
  <c r="A355" i="3"/>
  <c r="I354" i="3"/>
  <c r="G354" i="3"/>
  <c r="F354" i="3"/>
  <c r="B354" i="3"/>
  <c r="A354" i="3"/>
  <c r="I353" i="3"/>
  <c r="G353" i="3"/>
  <c r="F353" i="3"/>
  <c r="B353" i="3"/>
  <c r="A353" i="3"/>
  <c r="I352" i="3"/>
  <c r="G352" i="3"/>
  <c r="F352" i="3"/>
  <c r="B352" i="3"/>
  <c r="A352" i="3"/>
  <c r="I351" i="3"/>
  <c r="G351" i="3"/>
  <c r="F351" i="3"/>
  <c r="B351" i="3"/>
  <c r="A351" i="3"/>
  <c r="I350" i="3"/>
  <c r="G350" i="3"/>
  <c r="F350" i="3"/>
  <c r="B350" i="3"/>
  <c r="A350" i="3"/>
  <c r="I349" i="3"/>
  <c r="G349" i="3"/>
  <c r="F349" i="3"/>
  <c r="B349" i="3"/>
  <c r="A349" i="3"/>
  <c r="I348" i="3"/>
  <c r="G348" i="3"/>
  <c r="F348" i="3"/>
  <c r="B348" i="3"/>
  <c r="A348" i="3"/>
  <c r="I347" i="3"/>
  <c r="G347" i="3"/>
  <c r="F347" i="3"/>
  <c r="B347" i="3"/>
  <c r="A347" i="3"/>
  <c r="I346" i="3"/>
  <c r="G346" i="3"/>
  <c r="F346" i="3"/>
  <c r="B346" i="3"/>
  <c r="A346" i="3"/>
  <c r="I345" i="3"/>
  <c r="G345" i="3"/>
  <c r="F345" i="3"/>
  <c r="B345" i="3"/>
  <c r="A345" i="3"/>
  <c r="I344" i="3"/>
  <c r="G344" i="3"/>
  <c r="F344" i="3"/>
  <c r="B344" i="3"/>
  <c r="A344" i="3"/>
  <c r="I343" i="3"/>
  <c r="G343" i="3"/>
  <c r="F343" i="3"/>
  <c r="B343" i="3"/>
  <c r="A343" i="3"/>
  <c r="I342" i="3"/>
  <c r="G342" i="3"/>
  <c r="F342" i="3"/>
  <c r="B342" i="3"/>
  <c r="A342" i="3"/>
  <c r="I341" i="3"/>
  <c r="G341" i="3"/>
  <c r="F341" i="3"/>
  <c r="B341" i="3"/>
  <c r="A341" i="3"/>
  <c r="I340" i="3"/>
  <c r="G340" i="3"/>
  <c r="F340" i="3"/>
  <c r="B340" i="3"/>
  <c r="A340" i="3"/>
  <c r="I339" i="3"/>
  <c r="G339" i="3"/>
  <c r="F339" i="3"/>
  <c r="B339" i="3"/>
  <c r="A339" i="3"/>
  <c r="I338" i="3"/>
  <c r="G338" i="3"/>
  <c r="F338" i="3"/>
  <c r="B338" i="3"/>
  <c r="A338" i="3"/>
  <c r="I337" i="3"/>
  <c r="G337" i="3"/>
  <c r="F337" i="3"/>
  <c r="B337" i="3"/>
  <c r="A337" i="3"/>
  <c r="I336" i="3"/>
  <c r="G336" i="3"/>
  <c r="F336" i="3"/>
  <c r="B336" i="3"/>
  <c r="A336" i="3"/>
  <c r="I335" i="3"/>
  <c r="G335" i="3"/>
  <c r="F335" i="3"/>
  <c r="B335" i="3"/>
  <c r="A335" i="3"/>
  <c r="I334" i="3"/>
  <c r="G334" i="3"/>
  <c r="F334" i="3"/>
  <c r="B334" i="3"/>
  <c r="A334" i="3"/>
  <c r="I333" i="3"/>
  <c r="G333" i="3"/>
  <c r="F333" i="3"/>
  <c r="B333" i="3"/>
  <c r="A333" i="3"/>
  <c r="I332" i="3"/>
  <c r="G332" i="3"/>
  <c r="F332" i="3"/>
  <c r="B332" i="3"/>
  <c r="A332" i="3"/>
  <c r="I331" i="3"/>
  <c r="G331" i="3"/>
  <c r="F331" i="3"/>
  <c r="B331" i="3"/>
  <c r="A331" i="3"/>
  <c r="I330" i="3"/>
  <c r="G330" i="3"/>
  <c r="F330" i="3"/>
  <c r="B330" i="3"/>
  <c r="A330" i="3"/>
  <c r="I329" i="3"/>
  <c r="G329" i="3"/>
  <c r="F329" i="3"/>
  <c r="B329" i="3"/>
  <c r="A329" i="3"/>
  <c r="I328" i="3"/>
  <c r="G328" i="3"/>
  <c r="F328" i="3"/>
  <c r="B328" i="3"/>
  <c r="A328" i="3"/>
  <c r="I327" i="3"/>
  <c r="G327" i="3"/>
  <c r="F327" i="3"/>
  <c r="B327" i="3"/>
  <c r="A327" i="3"/>
  <c r="I326" i="3"/>
  <c r="G326" i="3"/>
  <c r="F326" i="3"/>
  <c r="B326" i="3"/>
  <c r="A326" i="3"/>
  <c r="I325" i="3"/>
  <c r="G325" i="3"/>
  <c r="F325" i="3"/>
  <c r="B325" i="3"/>
  <c r="A325" i="3"/>
  <c r="I324" i="3"/>
  <c r="G324" i="3"/>
  <c r="F324" i="3"/>
  <c r="B324" i="3"/>
  <c r="A324" i="3"/>
  <c r="I323" i="3"/>
  <c r="G323" i="3"/>
  <c r="F323" i="3"/>
  <c r="B323" i="3"/>
  <c r="A323" i="3"/>
  <c r="I322" i="3"/>
  <c r="G322" i="3"/>
  <c r="F322" i="3"/>
  <c r="B322" i="3"/>
  <c r="A322" i="3"/>
  <c r="I321" i="3"/>
  <c r="G321" i="3"/>
  <c r="F321" i="3"/>
  <c r="B321" i="3"/>
  <c r="A321" i="3"/>
  <c r="I320" i="3"/>
  <c r="G320" i="3"/>
  <c r="F320" i="3"/>
  <c r="B320" i="3"/>
  <c r="A320" i="3"/>
  <c r="I319" i="3"/>
  <c r="G319" i="3"/>
  <c r="F319" i="3"/>
  <c r="B319" i="3"/>
  <c r="A319" i="3"/>
  <c r="I318" i="3"/>
  <c r="G318" i="3"/>
  <c r="F318" i="3"/>
  <c r="B318" i="3"/>
  <c r="A318" i="3"/>
  <c r="I317" i="3"/>
  <c r="G317" i="3"/>
  <c r="F317" i="3"/>
  <c r="B317" i="3"/>
  <c r="A317" i="3"/>
  <c r="I316" i="3"/>
  <c r="G316" i="3"/>
  <c r="F316" i="3"/>
  <c r="B316" i="3"/>
  <c r="A316" i="3"/>
  <c r="I315" i="3"/>
  <c r="G315" i="3"/>
  <c r="F315" i="3"/>
  <c r="B315" i="3"/>
  <c r="A315" i="3"/>
  <c r="I314" i="3"/>
  <c r="G314" i="3"/>
  <c r="F314" i="3"/>
  <c r="B314" i="3"/>
  <c r="A314" i="3"/>
  <c r="I313" i="3"/>
  <c r="G313" i="3"/>
  <c r="F313" i="3"/>
  <c r="B313" i="3"/>
  <c r="A313" i="3"/>
  <c r="I312" i="3"/>
  <c r="G312" i="3"/>
  <c r="F312" i="3"/>
  <c r="B312" i="3"/>
  <c r="A312" i="3"/>
  <c r="I311" i="3"/>
  <c r="G311" i="3"/>
  <c r="F311" i="3"/>
  <c r="B311" i="3"/>
  <c r="A311" i="3"/>
  <c r="I310" i="3"/>
  <c r="G310" i="3"/>
  <c r="F310" i="3"/>
  <c r="B310" i="3"/>
  <c r="A310" i="3"/>
  <c r="I309" i="3"/>
  <c r="G309" i="3"/>
  <c r="F309" i="3"/>
  <c r="B309" i="3"/>
  <c r="A309" i="3"/>
  <c r="I308" i="3"/>
  <c r="G308" i="3"/>
  <c r="F308" i="3"/>
  <c r="B308" i="3"/>
  <c r="A308" i="3"/>
  <c r="I307" i="3"/>
  <c r="G307" i="3"/>
  <c r="F307" i="3"/>
  <c r="B307" i="3"/>
  <c r="A307" i="3"/>
  <c r="I306" i="3"/>
  <c r="G306" i="3"/>
  <c r="F306" i="3"/>
  <c r="B306" i="3"/>
  <c r="A306" i="3"/>
  <c r="I305" i="3"/>
  <c r="G305" i="3"/>
  <c r="F305" i="3"/>
  <c r="B305" i="3"/>
  <c r="A305" i="3"/>
  <c r="I304" i="3"/>
  <c r="G304" i="3"/>
  <c r="F304" i="3"/>
  <c r="B304" i="3"/>
  <c r="A304" i="3"/>
  <c r="I303" i="3"/>
  <c r="G303" i="3"/>
  <c r="F303" i="3"/>
  <c r="B303" i="3"/>
  <c r="A303" i="3"/>
  <c r="I302" i="3"/>
  <c r="G302" i="3"/>
  <c r="F302" i="3"/>
  <c r="B302" i="3"/>
  <c r="A302" i="3"/>
  <c r="I301" i="3"/>
  <c r="G301" i="3"/>
  <c r="F301" i="3"/>
  <c r="B301" i="3"/>
  <c r="A301" i="3"/>
  <c r="I300" i="3"/>
  <c r="G300" i="3"/>
  <c r="F300" i="3"/>
  <c r="B300" i="3"/>
  <c r="A300" i="3"/>
  <c r="I299" i="3"/>
  <c r="G299" i="3"/>
  <c r="F299" i="3"/>
  <c r="B299" i="3"/>
  <c r="A299" i="3"/>
  <c r="I298" i="3"/>
  <c r="G298" i="3"/>
  <c r="F298" i="3"/>
  <c r="B298" i="3"/>
  <c r="A298" i="3"/>
  <c r="I297" i="3"/>
  <c r="G297" i="3"/>
  <c r="F297" i="3"/>
  <c r="B297" i="3"/>
  <c r="A297" i="3"/>
  <c r="I296" i="3"/>
  <c r="G296" i="3"/>
  <c r="F296" i="3"/>
  <c r="B296" i="3"/>
  <c r="A296" i="3"/>
  <c r="I295" i="3"/>
  <c r="G295" i="3"/>
  <c r="F295" i="3"/>
  <c r="B295" i="3"/>
  <c r="A295" i="3"/>
  <c r="I294" i="3"/>
  <c r="G294" i="3"/>
  <c r="F294" i="3"/>
  <c r="B294" i="3"/>
  <c r="A294" i="3"/>
  <c r="I293" i="3"/>
  <c r="G293" i="3"/>
  <c r="F293" i="3"/>
  <c r="B293" i="3"/>
  <c r="A293" i="3"/>
  <c r="I292" i="3"/>
  <c r="G292" i="3"/>
  <c r="F292" i="3"/>
  <c r="B292" i="3"/>
  <c r="A292" i="3"/>
  <c r="I291" i="3"/>
  <c r="G291" i="3"/>
  <c r="F291" i="3"/>
  <c r="B291" i="3"/>
  <c r="A291" i="3"/>
  <c r="I290" i="3"/>
  <c r="G290" i="3"/>
  <c r="F290" i="3"/>
  <c r="B290" i="3"/>
  <c r="A290" i="3"/>
  <c r="I289" i="3"/>
  <c r="G289" i="3"/>
  <c r="F289" i="3"/>
  <c r="B289" i="3"/>
  <c r="A289" i="3"/>
  <c r="I288" i="3"/>
  <c r="G288" i="3"/>
  <c r="F288" i="3"/>
  <c r="B288" i="3"/>
  <c r="A288" i="3"/>
  <c r="I287" i="3"/>
  <c r="G287" i="3"/>
  <c r="F287" i="3"/>
  <c r="B287" i="3"/>
  <c r="A287" i="3"/>
  <c r="I286" i="3"/>
  <c r="G286" i="3"/>
  <c r="F286" i="3"/>
  <c r="B286" i="3"/>
  <c r="A286" i="3"/>
  <c r="I285" i="3"/>
  <c r="G285" i="3"/>
  <c r="F285" i="3"/>
  <c r="B285" i="3"/>
  <c r="A285" i="3"/>
  <c r="I284" i="3"/>
  <c r="G284" i="3"/>
  <c r="F284" i="3"/>
  <c r="B284" i="3"/>
  <c r="A284" i="3"/>
  <c r="I283" i="3"/>
  <c r="G283" i="3"/>
  <c r="F283" i="3"/>
  <c r="B283" i="3"/>
  <c r="A283" i="3"/>
  <c r="I282" i="3"/>
  <c r="G282" i="3"/>
  <c r="F282" i="3"/>
  <c r="B282" i="3"/>
  <c r="A282" i="3"/>
  <c r="I281" i="3"/>
  <c r="G281" i="3"/>
  <c r="F281" i="3"/>
  <c r="B281" i="3"/>
  <c r="A281" i="3"/>
  <c r="I280" i="3"/>
  <c r="G280" i="3"/>
  <c r="F280" i="3"/>
  <c r="B280" i="3"/>
  <c r="A280" i="3"/>
  <c r="I279" i="3"/>
  <c r="G279" i="3"/>
  <c r="F279" i="3"/>
  <c r="B279" i="3"/>
  <c r="A279" i="3"/>
  <c r="I278" i="3"/>
  <c r="G278" i="3"/>
  <c r="F278" i="3"/>
  <c r="B278" i="3"/>
  <c r="A278" i="3"/>
  <c r="I277" i="3"/>
  <c r="G277" i="3"/>
  <c r="F277" i="3"/>
  <c r="B277" i="3"/>
  <c r="A277" i="3"/>
  <c r="I276" i="3"/>
  <c r="G276" i="3"/>
  <c r="F276" i="3"/>
  <c r="B276" i="3"/>
  <c r="A276" i="3"/>
  <c r="I275" i="3"/>
  <c r="G275" i="3"/>
  <c r="F275" i="3"/>
  <c r="B275" i="3"/>
  <c r="A275" i="3"/>
  <c r="I274" i="3"/>
  <c r="G274" i="3"/>
  <c r="F274" i="3"/>
  <c r="B274" i="3"/>
  <c r="A274" i="3"/>
  <c r="I273" i="3"/>
  <c r="G273" i="3"/>
  <c r="F273" i="3"/>
  <c r="B273" i="3"/>
  <c r="A273" i="3"/>
  <c r="I272" i="3"/>
  <c r="G272" i="3"/>
  <c r="F272" i="3"/>
  <c r="B272" i="3"/>
  <c r="A272" i="3"/>
  <c r="I271" i="3"/>
  <c r="G271" i="3"/>
  <c r="F271" i="3"/>
  <c r="B271" i="3"/>
  <c r="A271" i="3"/>
  <c r="I270" i="3"/>
  <c r="G270" i="3"/>
  <c r="F270" i="3"/>
  <c r="B270" i="3"/>
  <c r="A270" i="3"/>
  <c r="I269" i="3"/>
  <c r="G269" i="3"/>
  <c r="F269" i="3"/>
  <c r="B269" i="3"/>
  <c r="A269" i="3"/>
  <c r="I268" i="3"/>
  <c r="G268" i="3"/>
  <c r="F268" i="3"/>
  <c r="B268" i="3"/>
  <c r="A268" i="3"/>
  <c r="I267" i="3"/>
  <c r="G267" i="3"/>
  <c r="F267" i="3"/>
  <c r="B267" i="3"/>
  <c r="A267" i="3"/>
  <c r="I266" i="3"/>
  <c r="G266" i="3"/>
  <c r="F266" i="3"/>
  <c r="B266" i="3"/>
  <c r="A266" i="3"/>
  <c r="I265" i="3"/>
  <c r="G265" i="3"/>
  <c r="F265" i="3"/>
  <c r="B265" i="3"/>
  <c r="A265" i="3"/>
  <c r="I264" i="3"/>
  <c r="G264" i="3"/>
  <c r="F264" i="3"/>
  <c r="B264" i="3"/>
  <c r="A264" i="3"/>
  <c r="I263" i="3"/>
  <c r="G263" i="3"/>
  <c r="F263" i="3"/>
  <c r="B263" i="3"/>
  <c r="A263" i="3"/>
  <c r="I262" i="3"/>
  <c r="G262" i="3"/>
  <c r="F262" i="3"/>
  <c r="B262" i="3"/>
  <c r="A262" i="3"/>
  <c r="I261" i="3"/>
  <c r="G261" i="3"/>
  <c r="F261" i="3"/>
  <c r="B261" i="3"/>
  <c r="A261" i="3"/>
  <c r="I260" i="3"/>
  <c r="G260" i="3"/>
  <c r="F260" i="3"/>
  <c r="B260" i="3"/>
  <c r="A260" i="3"/>
  <c r="I259" i="3"/>
  <c r="G259" i="3"/>
  <c r="F259" i="3"/>
  <c r="B259" i="3"/>
  <c r="A259" i="3"/>
  <c r="I258" i="3"/>
  <c r="G258" i="3"/>
  <c r="F258" i="3"/>
  <c r="B258" i="3"/>
  <c r="A258" i="3"/>
  <c r="I257" i="3"/>
  <c r="G257" i="3"/>
  <c r="F257" i="3"/>
  <c r="B257" i="3"/>
  <c r="A257" i="3"/>
  <c r="I256" i="3"/>
  <c r="G256" i="3"/>
  <c r="F256" i="3"/>
  <c r="B256" i="3"/>
  <c r="A256" i="3"/>
  <c r="I255" i="3"/>
  <c r="G255" i="3"/>
  <c r="F255" i="3"/>
  <c r="B255" i="3"/>
  <c r="A255" i="3"/>
  <c r="I254" i="3"/>
  <c r="G254" i="3"/>
  <c r="F254" i="3"/>
  <c r="B254" i="3"/>
  <c r="A254" i="3"/>
  <c r="I253" i="3"/>
  <c r="G253" i="3"/>
  <c r="F253" i="3"/>
  <c r="B253" i="3"/>
  <c r="A253" i="3"/>
  <c r="I252" i="3"/>
  <c r="G252" i="3"/>
  <c r="F252" i="3"/>
  <c r="B252" i="3"/>
  <c r="A252" i="3"/>
  <c r="I251" i="3"/>
  <c r="G251" i="3"/>
  <c r="F251" i="3"/>
  <c r="B251" i="3"/>
  <c r="A251" i="3"/>
  <c r="I250" i="3"/>
  <c r="G250" i="3"/>
  <c r="F250" i="3"/>
  <c r="B250" i="3"/>
  <c r="A250" i="3"/>
  <c r="I249" i="3"/>
  <c r="G249" i="3"/>
  <c r="F249" i="3"/>
  <c r="B249" i="3"/>
  <c r="A249" i="3"/>
  <c r="I248" i="3"/>
  <c r="G248" i="3"/>
  <c r="F248" i="3"/>
  <c r="B248" i="3"/>
  <c r="A248" i="3"/>
  <c r="I247" i="3"/>
  <c r="G247" i="3"/>
  <c r="F247" i="3"/>
  <c r="B247" i="3"/>
  <c r="A247" i="3"/>
  <c r="I246" i="3"/>
  <c r="G246" i="3"/>
  <c r="F246" i="3"/>
  <c r="B246" i="3"/>
  <c r="A246" i="3"/>
  <c r="I245" i="3"/>
  <c r="G245" i="3"/>
  <c r="F245" i="3"/>
  <c r="B245" i="3"/>
  <c r="A245" i="3"/>
  <c r="I244" i="3"/>
  <c r="G244" i="3"/>
  <c r="F244" i="3"/>
  <c r="B244" i="3"/>
  <c r="A244" i="3"/>
  <c r="I243" i="3"/>
  <c r="G243" i="3"/>
  <c r="F243" i="3"/>
  <c r="B243" i="3"/>
  <c r="A243" i="3"/>
  <c r="I242" i="3"/>
  <c r="G242" i="3"/>
  <c r="F242" i="3"/>
  <c r="B242" i="3"/>
  <c r="A242" i="3"/>
  <c r="I241" i="3"/>
  <c r="G241" i="3"/>
  <c r="F241" i="3"/>
  <c r="B241" i="3"/>
  <c r="A241" i="3"/>
  <c r="I240" i="3"/>
  <c r="G240" i="3"/>
  <c r="F240" i="3"/>
  <c r="B240" i="3"/>
  <c r="A240" i="3"/>
  <c r="I239" i="3"/>
  <c r="G239" i="3"/>
  <c r="F239" i="3"/>
  <c r="B239" i="3"/>
  <c r="A239" i="3"/>
  <c r="I238" i="3"/>
  <c r="G238" i="3"/>
  <c r="F238" i="3"/>
  <c r="B238" i="3"/>
  <c r="A238" i="3"/>
  <c r="I237" i="3"/>
  <c r="G237" i="3"/>
  <c r="F237" i="3"/>
  <c r="B237" i="3"/>
  <c r="A237" i="3"/>
  <c r="I236" i="3"/>
  <c r="G236" i="3"/>
  <c r="F236" i="3"/>
  <c r="B236" i="3"/>
  <c r="A236" i="3"/>
  <c r="I235" i="3"/>
  <c r="G235" i="3"/>
  <c r="F235" i="3"/>
  <c r="B235" i="3"/>
  <c r="A235" i="3"/>
  <c r="I234" i="3"/>
  <c r="G234" i="3"/>
  <c r="F234" i="3"/>
  <c r="B234" i="3"/>
  <c r="A234" i="3"/>
  <c r="I233" i="3"/>
  <c r="G233" i="3"/>
  <c r="F233" i="3"/>
  <c r="B233" i="3"/>
  <c r="A233" i="3"/>
  <c r="I232" i="3"/>
  <c r="G232" i="3"/>
  <c r="F232" i="3"/>
  <c r="B232" i="3"/>
  <c r="A232" i="3"/>
  <c r="I231" i="3"/>
  <c r="G231" i="3"/>
  <c r="F231" i="3"/>
  <c r="B231" i="3"/>
  <c r="A231" i="3"/>
  <c r="I230" i="3"/>
  <c r="G230" i="3"/>
  <c r="F230" i="3"/>
  <c r="B230" i="3"/>
  <c r="A230" i="3"/>
  <c r="I229" i="3"/>
  <c r="G229" i="3"/>
  <c r="F229" i="3"/>
  <c r="B229" i="3"/>
  <c r="A229" i="3"/>
  <c r="I228" i="3"/>
  <c r="G228" i="3"/>
  <c r="F228" i="3"/>
  <c r="B228" i="3"/>
  <c r="A228" i="3"/>
  <c r="I227" i="3"/>
  <c r="G227" i="3"/>
  <c r="F227" i="3"/>
  <c r="B227" i="3"/>
  <c r="A227" i="3"/>
  <c r="I226" i="3"/>
  <c r="G226" i="3"/>
  <c r="F226" i="3"/>
  <c r="B226" i="3"/>
  <c r="A226" i="3"/>
  <c r="I225" i="3"/>
  <c r="G225" i="3"/>
  <c r="F225" i="3"/>
  <c r="B225" i="3"/>
  <c r="A225" i="3"/>
  <c r="I224" i="3"/>
  <c r="G224" i="3"/>
  <c r="F224" i="3"/>
  <c r="B224" i="3"/>
  <c r="A224" i="3"/>
  <c r="I223" i="3"/>
  <c r="G223" i="3"/>
  <c r="F223" i="3"/>
  <c r="B223" i="3"/>
  <c r="A223" i="3"/>
  <c r="I222" i="3"/>
  <c r="G222" i="3"/>
  <c r="F222" i="3"/>
  <c r="B222" i="3"/>
  <c r="A222" i="3"/>
  <c r="I221" i="3"/>
  <c r="G221" i="3"/>
  <c r="F221" i="3"/>
  <c r="B221" i="3"/>
  <c r="A221" i="3"/>
  <c r="I220" i="3"/>
  <c r="G220" i="3"/>
  <c r="F220" i="3"/>
  <c r="B220" i="3"/>
  <c r="A220" i="3"/>
  <c r="I219" i="3"/>
  <c r="G219" i="3"/>
  <c r="F219" i="3"/>
  <c r="B219" i="3"/>
  <c r="A219" i="3"/>
  <c r="I218" i="3"/>
  <c r="G218" i="3"/>
  <c r="F218" i="3"/>
  <c r="B218" i="3"/>
  <c r="A218" i="3"/>
  <c r="I217" i="3"/>
  <c r="G217" i="3"/>
  <c r="F217" i="3"/>
  <c r="B217" i="3"/>
  <c r="A217" i="3"/>
  <c r="I216" i="3"/>
  <c r="G216" i="3"/>
  <c r="F216" i="3"/>
  <c r="B216" i="3"/>
  <c r="A216" i="3"/>
  <c r="I215" i="3"/>
  <c r="G215" i="3"/>
  <c r="F215" i="3"/>
  <c r="B215" i="3"/>
  <c r="A215" i="3"/>
  <c r="I214" i="3"/>
  <c r="G214" i="3"/>
  <c r="F214" i="3"/>
  <c r="B214" i="3"/>
  <c r="A214" i="3"/>
  <c r="I213" i="3"/>
  <c r="G213" i="3"/>
  <c r="F213" i="3"/>
  <c r="B213" i="3"/>
  <c r="A213" i="3"/>
  <c r="I212" i="3"/>
  <c r="G212" i="3"/>
  <c r="F212" i="3"/>
  <c r="B212" i="3"/>
  <c r="A212" i="3"/>
  <c r="I211" i="3"/>
  <c r="G211" i="3"/>
  <c r="F211" i="3"/>
  <c r="B211" i="3"/>
  <c r="A211" i="3"/>
  <c r="I210" i="3"/>
  <c r="G210" i="3"/>
  <c r="F210" i="3"/>
  <c r="B210" i="3"/>
  <c r="A210" i="3"/>
  <c r="I209" i="3"/>
  <c r="G209" i="3"/>
  <c r="F209" i="3"/>
  <c r="B209" i="3"/>
  <c r="A209" i="3"/>
  <c r="I208" i="3"/>
  <c r="G208" i="3"/>
  <c r="F208" i="3"/>
  <c r="B208" i="3"/>
  <c r="A208" i="3"/>
  <c r="I207" i="3"/>
  <c r="G207" i="3"/>
  <c r="F207" i="3"/>
  <c r="B207" i="3"/>
  <c r="A207" i="3"/>
  <c r="I206" i="3"/>
  <c r="G206" i="3"/>
  <c r="F206" i="3"/>
  <c r="B206" i="3"/>
  <c r="A206" i="3"/>
  <c r="I205" i="3"/>
  <c r="G205" i="3"/>
  <c r="F205" i="3"/>
  <c r="B205" i="3"/>
  <c r="A205" i="3"/>
  <c r="I204" i="3"/>
  <c r="G204" i="3"/>
  <c r="F204" i="3"/>
  <c r="B204" i="3"/>
  <c r="A204" i="3"/>
  <c r="I203" i="3"/>
  <c r="G203" i="3"/>
  <c r="F203" i="3"/>
  <c r="B203" i="3"/>
  <c r="A203" i="3"/>
  <c r="I202" i="3"/>
  <c r="G202" i="3"/>
  <c r="F202" i="3"/>
  <c r="B202" i="3"/>
  <c r="A202" i="3"/>
  <c r="I201" i="3"/>
  <c r="G201" i="3"/>
  <c r="F201" i="3"/>
  <c r="B201" i="3"/>
  <c r="A201" i="3"/>
  <c r="I200" i="3"/>
  <c r="G200" i="3"/>
  <c r="F200" i="3"/>
  <c r="B200" i="3"/>
  <c r="A200" i="3"/>
  <c r="I199" i="3"/>
  <c r="G199" i="3"/>
  <c r="F199" i="3"/>
  <c r="B199" i="3"/>
  <c r="A199" i="3"/>
  <c r="I198" i="3"/>
  <c r="G198" i="3"/>
  <c r="F198" i="3"/>
  <c r="B198" i="3"/>
  <c r="A198" i="3"/>
  <c r="I197" i="3"/>
  <c r="G197" i="3"/>
  <c r="F197" i="3"/>
  <c r="B197" i="3"/>
  <c r="A197" i="3"/>
  <c r="I196" i="3"/>
  <c r="G196" i="3"/>
  <c r="F196" i="3"/>
  <c r="B196" i="3"/>
  <c r="A196" i="3"/>
  <c r="I195" i="3"/>
  <c r="G195" i="3"/>
  <c r="F195" i="3"/>
  <c r="B195" i="3"/>
  <c r="A195" i="3"/>
  <c r="I194" i="3"/>
  <c r="G194" i="3"/>
  <c r="F194" i="3"/>
  <c r="B194" i="3"/>
  <c r="A194" i="3"/>
  <c r="I193" i="3"/>
  <c r="G193" i="3"/>
  <c r="F193" i="3"/>
  <c r="B193" i="3"/>
  <c r="A193" i="3"/>
  <c r="I192" i="3"/>
  <c r="G192" i="3"/>
  <c r="F192" i="3"/>
  <c r="B192" i="3"/>
  <c r="A192" i="3"/>
  <c r="I191" i="3"/>
  <c r="G191" i="3"/>
  <c r="F191" i="3"/>
  <c r="B191" i="3"/>
  <c r="A191" i="3"/>
  <c r="I190" i="3"/>
  <c r="G190" i="3"/>
  <c r="F190" i="3"/>
  <c r="B190" i="3"/>
  <c r="A190" i="3"/>
  <c r="I189" i="3"/>
  <c r="G189" i="3"/>
  <c r="F189" i="3"/>
  <c r="B189" i="3"/>
  <c r="A189" i="3"/>
  <c r="I188" i="3"/>
  <c r="G188" i="3"/>
  <c r="F188" i="3"/>
  <c r="B188" i="3"/>
  <c r="A188" i="3"/>
  <c r="I187" i="3"/>
  <c r="G187" i="3"/>
  <c r="F187" i="3"/>
  <c r="B187" i="3"/>
  <c r="A187" i="3"/>
  <c r="I186" i="3"/>
  <c r="G186" i="3"/>
  <c r="F186" i="3"/>
  <c r="B186" i="3"/>
  <c r="A186" i="3"/>
  <c r="I185" i="3"/>
  <c r="G185" i="3"/>
  <c r="F185" i="3"/>
  <c r="B185" i="3"/>
  <c r="A185" i="3"/>
  <c r="I184" i="3"/>
  <c r="G184" i="3"/>
  <c r="F184" i="3"/>
  <c r="B184" i="3"/>
  <c r="A184" i="3"/>
  <c r="I183" i="3"/>
  <c r="G183" i="3"/>
  <c r="F183" i="3"/>
  <c r="B183" i="3"/>
  <c r="A183" i="3"/>
  <c r="I182" i="3"/>
  <c r="G182" i="3"/>
  <c r="F182" i="3"/>
  <c r="B182" i="3"/>
  <c r="A182" i="3"/>
  <c r="I181" i="3"/>
  <c r="G181" i="3"/>
  <c r="F181" i="3"/>
  <c r="B181" i="3"/>
  <c r="A181" i="3"/>
  <c r="I180" i="3"/>
  <c r="G180" i="3"/>
  <c r="F180" i="3"/>
  <c r="B180" i="3"/>
  <c r="A180" i="3"/>
  <c r="I179" i="3"/>
  <c r="G179" i="3"/>
  <c r="F179" i="3"/>
  <c r="B179" i="3"/>
  <c r="A179" i="3"/>
  <c r="I178" i="3"/>
  <c r="G178" i="3"/>
  <c r="F178" i="3"/>
  <c r="B178" i="3"/>
  <c r="A178" i="3"/>
  <c r="I177" i="3"/>
  <c r="G177" i="3"/>
  <c r="F177" i="3"/>
  <c r="B177" i="3"/>
  <c r="A177" i="3"/>
  <c r="I176" i="3"/>
  <c r="G176" i="3"/>
  <c r="F176" i="3"/>
  <c r="B176" i="3"/>
  <c r="A176" i="3"/>
  <c r="I175" i="3"/>
  <c r="G175" i="3"/>
  <c r="F175" i="3"/>
  <c r="B175" i="3"/>
  <c r="A175" i="3"/>
  <c r="I174" i="3"/>
  <c r="G174" i="3"/>
  <c r="F174" i="3"/>
  <c r="B174" i="3"/>
  <c r="A174" i="3"/>
  <c r="I173" i="3"/>
  <c r="G173" i="3"/>
  <c r="F173" i="3"/>
  <c r="B173" i="3"/>
  <c r="A173" i="3"/>
  <c r="I172" i="3"/>
  <c r="G172" i="3"/>
  <c r="F172" i="3"/>
  <c r="B172" i="3"/>
  <c r="A172" i="3"/>
  <c r="I171" i="3"/>
  <c r="G171" i="3"/>
  <c r="F171" i="3"/>
  <c r="B171" i="3"/>
  <c r="A171" i="3"/>
  <c r="I170" i="3"/>
  <c r="G170" i="3"/>
  <c r="F170" i="3"/>
  <c r="B170" i="3"/>
  <c r="A170" i="3"/>
  <c r="I169" i="3"/>
  <c r="G169" i="3"/>
  <c r="F169" i="3"/>
  <c r="B169" i="3"/>
  <c r="A169" i="3"/>
  <c r="I168" i="3"/>
  <c r="G168" i="3"/>
  <c r="F168" i="3"/>
  <c r="B168" i="3"/>
  <c r="A168" i="3"/>
  <c r="I167" i="3"/>
  <c r="G167" i="3"/>
  <c r="F167" i="3"/>
  <c r="B167" i="3"/>
  <c r="A167" i="3"/>
  <c r="I166" i="3"/>
  <c r="G166" i="3"/>
  <c r="F166" i="3"/>
  <c r="B166" i="3"/>
  <c r="A166" i="3"/>
  <c r="I165" i="3"/>
  <c r="G165" i="3"/>
  <c r="F165" i="3"/>
  <c r="B165" i="3"/>
  <c r="A165" i="3"/>
  <c r="I164" i="3"/>
  <c r="G164" i="3"/>
  <c r="F164" i="3"/>
  <c r="B164" i="3"/>
  <c r="A164" i="3"/>
  <c r="I163" i="3"/>
  <c r="G163" i="3"/>
  <c r="F163" i="3"/>
  <c r="B163" i="3"/>
  <c r="A163" i="3"/>
  <c r="I162" i="3"/>
  <c r="G162" i="3"/>
  <c r="F162" i="3"/>
  <c r="B162" i="3"/>
  <c r="A162" i="3"/>
  <c r="I161" i="3"/>
  <c r="G161" i="3"/>
  <c r="F161" i="3"/>
  <c r="B161" i="3"/>
  <c r="A161" i="3"/>
  <c r="I160" i="3"/>
  <c r="G160" i="3"/>
  <c r="F160" i="3"/>
  <c r="B160" i="3"/>
  <c r="A160" i="3"/>
  <c r="I159" i="3"/>
  <c r="G159" i="3"/>
  <c r="F159" i="3"/>
  <c r="B159" i="3"/>
  <c r="A159" i="3"/>
  <c r="I158" i="3"/>
  <c r="G158" i="3"/>
  <c r="F158" i="3"/>
  <c r="B158" i="3"/>
  <c r="A158" i="3"/>
  <c r="I157" i="3"/>
  <c r="G157" i="3"/>
  <c r="F157" i="3"/>
  <c r="B157" i="3"/>
  <c r="A157" i="3"/>
  <c r="I156" i="3"/>
  <c r="G156" i="3"/>
  <c r="F156" i="3"/>
  <c r="B156" i="3"/>
  <c r="A156" i="3"/>
  <c r="I155" i="3"/>
  <c r="G155" i="3"/>
  <c r="F155" i="3"/>
  <c r="B155" i="3"/>
  <c r="A155" i="3"/>
  <c r="I154" i="3"/>
  <c r="G154" i="3"/>
  <c r="F154" i="3"/>
  <c r="B154" i="3"/>
  <c r="A154" i="3"/>
  <c r="I153" i="3"/>
  <c r="G153" i="3"/>
  <c r="F153" i="3"/>
  <c r="B153" i="3"/>
  <c r="A153" i="3"/>
  <c r="I152" i="3"/>
  <c r="G152" i="3"/>
  <c r="F152" i="3"/>
  <c r="B152" i="3"/>
  <c r="A152" i="3"/>
  <c r="I151" i="3"/>
  <c r="G151" i="3"/>
  <c r="F151" i="3"/>
  <c r="B151" i="3"/>
  <c r="A151" i="3"/>
  <c r="I150" i="3"/>
  <c r="G150" i="3"/>
  <c r="F150" i="3"/>
  <c r="B150" i="3"/>
  <c r="A150" i="3"/>
  <c r="I149" i="3"/>
  <c r="G149" i="3"/>
  <c r="F149" i="3"/>
  <c r="B149" i="3"/>
  <c r="A149" i="3"/>
  <c r="I148" i="3"/>
  <c r="G148" i="3"/>
  <c r="F148" i="3"/>
  <c r="B148" i="3"/>
  <c r="A148" i="3"/>
  <c r="I147" i="3"/>
  <c r="G147" i="3"/>
  <c r="F147" i="3"/>
  <c r="B147" i="3"/>
  <c r="A147" i="3"/>
  <c r="I146" i="3"/>
  <c r="G146" i="3"/>
  <c r="F146" i="3"/>
  <c r="B146" i="3"/>
  <c r="A146" i="3"/>
  <c r="I145" i="3"/>
  <c r="G145" i="3"/>
  <c r="F145" i="3"/>
  <c r="B145" i="3"/>
  <c r="A145" i="3"/>
  <c r="I144" i="3"/>
  <c r="G144" i="3"/>
  <c r="F144" i="3"/>
  <c r="B144" i="3"/>
  <c r="A144" i="3"/>
  <c r="I143" i="3"/>
  <c r="G143" i="3"/>
  <c r="F143" i="3"/>
  <c r="B143" i="3"/>
  <c r="A143" i="3"/>
  <c r="I142" i="3"/>
  <c r="G142" i="3"/>
  <c r="F142" i="3"/>
  <c r="B142" i="3"/>
  <c r="A142" i="3"/>
  <c r="I141" i="3"/>
  <c r="G141" i="3"/>
  <c r="F141" i="3"/>
  <c r="B141" i="3"/>
  <c r="A141" i="3"/>
  <c r="I140" i="3"/>
  <c r="G140" i="3"/>
  <c r="F140" i="3"/>
  <c r="B140" i="3"/>
  <c r="A140" i="3"/>
  <c r="I139" i="3"/>
  <c r="G139" i="3"/>
  <c r="F139" i="3"/>
  <c r="B139" i="3"/>
  <c r="A139" i="3"/>
  <c r="I138" i="3"/>
  <c r="G138" i="3"/>
  <c r="F138" i="3"/>
  <c r="B138" i="3"/>
  <c r="A138" i="3"/>
  <c r="I137" i="3"/>
  <c r="G137" i="3"/>
  <c r="F137" i="3"/>
  <c r="B137" i="3"/>
  <c r="A137" i="3"/>
  <c r="I136" i="3"/>
  <c r="G136" i="3"/>
  <c r="F136" i="3"/>
  <c r="B136" i="3"/>
  <c r="A136" i="3"/>
  <c r="I135" i="3"/>
  <c r="G135" i="3"/>
  <c r="F135" i="3"/>
  <c r="B135" i="3"/>
  <c r="A135" i="3"/>
  <c r="I134" i="3"/>
  <c r="G134" i="3"/>
  <c r="F134" i="3"/>
  <c r="B134" i="3"/>
  <c r="A134" i="3"/>
  <c r="I133" i="3"/>
  <c r="G133" i="3"/>
  <c r="F133" i="3"/>
  <c r="B133" i="3"/>
  <c r="A133" i="3"/>
  <c r="I132" i="3"/>
  <c r="G132" i="3"/>
  <c r="F132" i="3"/>
  <c r="B132" i="3"/>
  <c r="A132" i="3"/>
  <c r="I131" i="3"/>
  <c r="G131" i="3"/>
  <c r="F131" i="3"/>
  <c r="B131" i="3"/>
  <c r="A131" i="3"/>
  <c r="I130" i="3"/>
  <c r="G130" i="3"/>
  <c r="F130" i="3"/>
  <c r="B130" i="3"/>
  <c r="A130" i="3"/>
  <c r="I129" i="3"/>
  <c r="G129" i="3"/>
  <c r="F129" i="3"/>
  <c r="B129" i="3"/>
  <c r="A129" i="3"/>
  <c r="I128" i="3"/>
  <c r="G128" i="3"/>
  <c r="F128" i="3"/>
  <c r="B128" i="3"/>
  <c r="A128" i="3"/>
  <c r="I127" i="3"/>
  <c r="G127" i="3"/>
  <c r="F127" i="3"/>
  <c r="B127" i="3"/>
  <c r="A127" i="3"/>
  <c r="I126" i="3"/>
  <c r="G126" i="3"/>
  <c r="F126" i="3"/>
  <c r="B126" i="3"/>
  <c r="A126" i="3"/>
  <c r="I125" i="3"/>
  <c r="G125" i="3"/>
  <c r="F125" i="3"/>
  <c r="B125" i="3"/>
  <c r="A125" i="3"/>
  <c r="I124" i="3"/>
  <c r="G124" i="3"/>
  <c r="F124" i="3"/>
  <c r="B124" i="3"/>
  <c r="A124" i="3"/>
  <c r="I123" i="3"/>
  <c r="G123" i="3"/>
  <c r="F123" i="3"/>
  <c r="B123" i="3"/>
  <c r="A123" i="3"/>
  <c r="I122" i="3"/>
  <c r="G122" i="3"/>
  <c r="F122" i="3"/>
  <c r="B122" i="3"/>
  <c r="A122" i="3"/>
  <c r="I121" i="3"/>
  <c r="G121" i="3"/>
  <c r="F121" i="3"/>
  <c r="B121" i="3"/>
  <c r="A121" i="3"/>
  <c r="I120" i="3"/>
  <c r="G120" i="3"/>
  <c r="F120" i="3"/>
  <c r="B120" i="3"/>
  <c r="A120" i="3"/>
  <c r="I119" i="3"/>
  <c r="G119" i="3"/>
  <c r="F119" i="3"/>
  <c r="B119" i="3"/>
  <c r="A119" i="3"/>
  <c r="I118" i="3"/>
  <c r="G118" i="3"/>
  <c r="F118" i="3"/>
  <c r="B118" i="3"/>
  <c r="A118" i="3"/>
  <c r="I117" i="3"/>
  <c r="G117" i="3"/>
  <c r="F117" i="3"/>
  <c r="B117" i="3"/>
  <c r="A117" i="3"/>
  <c r="I116" i="3"/>
  <c r="G116" i="3"/>
  <c r="F116" i="3"/>
  <c r="B116" i="3"/>
  <c r="A116" i="3"/>
  <c r="I115" i="3"/>
  <c r="G115" i="3"/>
  <c r="F115" i="3"/>
  <c r="B115" i="3"/>
  <c r="A115" i="3"/>
  <c r="I114" i="3"/>
  <c r="G114" i="3"/>
  <c r="F114" i="3"/>
  <c r="B114" i="3"/>
  <c r="A114" i="3"/>
  <c r="I113" i="3"/>
  <c r="G113" i="3"/>
  <c r="F113" i="3"/>
  <c r="B113" i="3"/>
  <c r="A113" i="3"/>
  <c r="I112" i="3"/>
  <c r="G112" i="3"/>
  <c r="F112" i="3"/>
  <c r="B112" i="3"/>
  <c r="A112" i="3"/>
  <c r="I111" i="3"/>
  <c r="G111" i="3"/>
  <c r="F111" i="3"/>
  <c r="B111" i="3"/>
  <c r="A111" i="3"/>
  <c r="I110" i="3"/>
  <c r="G110" i="3"/>
  <c r="F110" i="3"/>
  <c r="B110" i="3"/>
  <c r="A110" i="3"/>
  <c r="I109" i="3"/>
  <c r="G109" i="3"/>
  <c r="F109" i="3"/>
  <c r="B109" i="3"/>
  <c r="A109" i="3"/>
  <c r="I108" i="3"/>
  <c r="G108" i="3"/>
  <c r="F108" i="3"/>
  <c r="B108" i="3"/>
  <c r="A108" i="3"/>
  <c r="I107" i="3"/>
  <c r="G107" i="3"/>
  <c r="F107" i="3"/>
  <c r="B107" i="3"/>
  <c r="A107" i="3"/>
  <c r="I106" i="3"/>
  <c r="G106" i="3"/>
  <c r="F106" i="3"/>
  <c r="B106" i="3"/>
  <c r="A106" i="3"/>
  <c r="I105" i="3"/>
  <c r="G105" i="3"/>
  <c r="F105" i="3"/>
  <c r="B105" i="3"/>
  <c r="A105" i="3"/>
  <c r="I104" i="3"/>
  <c r="G104" i="3"/>
  <c r="F104" i="3"/>
  <c r="B104" i="3"/>
  <c r="A104" i="3"/>
  <c r="I103" i="3"/>
  <c r="G103" i="3"/>
  <c r="F103" i="3"/>
  <c r="B103" i="3"/>
  <c r="A103" i="3"/>
  <c r="I102" i="3"/>
  <c r="G102" i="3"/>
  <c r="F102" i="3"/>
  <c r="B102" i="3"/>
  <c r="A102" i="3"/>
  <c r="I101" i="3"/>
  <c r="G101" i="3"/>
  <c r="F101" i="3"/>
  <c r="B101" i="3"/>
  <c r="A101" i="3"/>
  <c r="I100" i="3"/>
  <c r="G100" i="3"/>
  <c r="F100" i="3"/>
  <c r="B100" i="3"/>
  <c r="A100" i="3"/>
  <c r="I99" i="3"/>
  <c r="G99" i="3"/>
  <c r="F99" i="3"/>
  <c r="B99" i="3"/>
  <c r="A99" i="3"/>
  <c r="I98" i="3"/>
  <c r="G98" i="3"/>
  <c r="F98" i="3"/>
  <c r="B98" i="3"/>
  <c r="A98" i="3"/>
  <c r="I97" i="3"/>
  <c r="G97" i="3"/>
  <c r="F97" i="3"/>
  <c r="B97" i="3"/>
  <c r="A97" i="3"/>
  <c r="I96" i="3"/>
  <c r="G96" i="3"/>
  <c r="F96" i="3"/>
  <c r="B96" i="3"/>
  <c r="A96" i="3"/>
  <c r="I95" i="3"/>
  <c r="G95" i="3"/>
  <c r="F95" i="3"/>
  <c r="B95" i="3"/>
  <c r="A95" i="3"/>
  <c r="I94" i="3"/>
  <c r="G94" i="3"/>
  <c r="F94" i="3"/>
  <c r="B94" i="3"/>
  <c r="A94" i="3"/>
  <c r="I93" i="3"/>
  <c r="G93" i="3"/>
  <c r="F93" i="3"/>
  <c r="B93" i="3"/>
  <c r="A93" i="3"/>
  <c r="I92" i="3"/>
  <c r="G92" i="3"/>
  <c r="F92" i="3"/>
  <c r="B92" i="3"/>
  <c r="A92" i="3"/>
  <c r="I91" i="3"/>
  <c r="G91" i="3"/>
  <c r="F91" i="3"/>
  <c r="B91" i="3"/>
  <c r="A91" i="3"/>
  <c r="I90" i="3"/>
  <c r="G90" i="3"/>
  <c r="F90" i="3"/>
  <c r="B90" i="3"/>
  <c r="A90" i="3"/>
  <c r="I89" i="3"/>
  <c r="G89" i="3"/>
  <c r="F89" i="3"/>
  <c r="B89" i="3"/>
  <c r="A89" i="3"/>
  <c r="I88" i="3"/>
  <c r="G88" i="3"/>
  <c r="F88" i="3"/>
  <c r="B88" i="3"/>
  <c r="A88" i="3"/>
  <c r="I87" i="3"/>
  <c r="G87" i="3"/>
  <c r="F87" i="3"/>
  <c r="B87" i="3"/>
  <c r="A87" i="3"/>
  <c r="I86" i="3"/>
  <c r="G86" i="3"/>
  <c r="F86" i="3"/>
  <c r="B86" i="3"/>
  <c r="A86" i="3"/>
  <c r="I85" i="3"/>
  <c r="G85" i="3"/>
  <c r="F85" i="3"/>
  <c r="B85" i="3"/>
  <c r="A85" i="3"/>
  <c r="I84" i="3"/>
  <c r="G84" i="3"/>
  <c r="F84" i="3"/>
  <c r="B84" i="3"/>
  <c r="A84" i="3"/>
  <c r="I83" i="3"/>
  <c r="G83" i="3"/>
  <c r="F83" i="3"/>
  <c r="B83" i="3"/>
  <c r="A83" i="3"/>
  <c r="I82" i="3"/>
  <c r="G82" i="3"/>
  <c r="F82" i="3"/>
  <c r="B82" i="3"/>
  <c r="A82" i="3"/>
  <c r="I81" i="3"/>
  <c r="G81" i="3"/>
  <c r="F81" i="3"/>
  <c r="B81" i="3"/>
  <c r="A81" i="3"/>
  <c r="I80" i="3"/>
  <c r="G80" i="3"/>
  <c r="F80" i="3"/>
  <c r="B80" i="3"/>
  <c r="A80" i="3"/>
  <c r="I79" i="3"/>
  <c r="G79" i="3"/>
  <c r="F79" i="3"/>
  <c r="B79" i="3"/>
  <c r="A79" i="3"/>
  <c r="I78" i="3"/>
  <c r="G78" i="3"/>
  <c r="F78" i="3"/>
  <c r="B78" i="3"/>
  <c r="A78" i="3"/>
  <c r="I77" i="3"/>
  <c r="G77" i="3"/>
  <c r="F77" i="3"/>
  <c r="B77" i="3"/>
  <c r="A77" i="3"/>
  <c r="I76" i="3"/>
  <c r="G76" i="3"/>
  <c r="F76" i="3"/>
  <c r="B76" i="3"/>
  <c r="A76" i="3"/>
  <c r="I75" i="3"/>
  <c r="G75" i="3"/>
  <c r="F75" i="3"/>
  <c r="B75" i="3"/>
  <c r="A75" i="3"/>
  <c r="I74" i="3"/>
  <c r="G74" i="3"/>
  <c r="F74" i="3"/>
  <c r="B74" i="3"/>
  <c r="A74" i="3"/>
  <c r="I73" i="3"/>
  <c r="G73" i="3"/>
  <c r="F73" i="3"/>
  <c r="B73" i="3"/>
  <c r="A73" i="3"/>
  <c r="I72" i="3"/>
  <c r="G72" i="3"/>
  <c r="F72" i="3"/>
  <c r="B72" i="3"/>
  <c r="A72" i="3"/>
  <c r="I71" i="3"/>
  <c r="G71" i="3"/>
  <c r="F71" i="3"/>
  <c r="B71" i="3"/>
  <c r="A71" i="3"/>
  <c r="I70" i="3"/>
  <c r="G70" i="3"/>
  <c r="F70" i="3"/>
  <c r="B70" i="3"/>
  <c r="A70" i="3"/>
  <c r="I69" i="3"/>
  <c r="G69" i="3"/>
  <c r="F69" i="3"/>
  <c r="B69" i="3"/>
  <c r="A69" i="3"/>
  <c r="I68" i="3"/>
  <c r="G68" i="3"/>
  <c r="F68" i="3"/>
  <c r="B68" i="3"/>
  <c r="A68" i="3"/>
  <c r="I67" i="3"/>
  <c r="G67" i="3"/>
  <c r="F67" i="3"/>
  <c r="B67" i="3"/>
  <c r="A67" i="3"/>
  <c r="I66" i="3"/>
  <c r="G66" i="3"/>
  <c r="F66" i="3"/>
  <c r="B66" i="3"/>
  <c r="A66" i="3"/>
  <c r="I65" i="3"/>
  <c r="G65" i="3"/>
  <c r="F65" i="3"/>
  <c r="B65" i="3"/>
  <c r="A65" i="3"/>
  <c r="I64" i="3"/>
  <c r="G64" i="3"/>
  <c r="F64" i="3"/>
  <c r="B64" i="3"/>
  <c r="A64" i="3"/>
  <c r="I63" i="3"/>
  <c r="G63" i="3"/>
  <c r="F63" i="3"/>
  <c r="B63" i="3"/>
  <c r="A63" i="3"/>
  <c r="I62" i="3"/>
  <c r="G62" i="3"/>
  <c r="F62" i="3"/>
  <c r="B62" i="3"/>
  <c r="A62" i="3"/>
  <c r="I61" i="3"/>
  <c r="G61" i="3"/>
  <c r="F61" i="3"/>
  <c r="B61" i="3"/>
  <c r="A61" i="3"/>
  <c r="I60" i="3"/>
  <c r="G60" i="3"/>
  <c r="F60" i="3"/>
  <c r="B60" i="3"/>
  <c r="A60" i="3"/>
  <c r="I59" i="3"/>
  <c r="G59" i="3"/>
  <c r="F59" i="3"/>
  <c r="B59" i="3"/>
  <c r="A59" i="3"/>
  <c r="I58" i="3"/>
  <c r="G58" i="3"/>
  <c r="F58" i="3"/>
  <c r="B58" i="3"/>
  <c r="A58" i="3"/>
  <c r="I57" i="3"/>
  <c r="G57" i="3"/>
  <c r="F57" i="3"/>
  <c r="B57" i="3"/>
  <c r="A57" i="3"/>
  <c r="I56" i="3"/>
  <c r="G56" i="3"/>
  <c r="F56" i="3"/>
  <c r="B56" i="3"/>
  <c r="A56" i="3"/>
  <c r="I55" i="3"/>
  <c r="G55" i="3"/>
  <c r="F55" i="3"/>
  <c r="B55" i="3"/>
  <c r="A55" i="3"/>
  <c r="I54" i="3"/>
  <c r="G54" i="3"/>
  <c r="F54" i="3"/>
  <c r="B54" i="3"/>
  <c r="A54" i="3"/>
  <c r="I53" i="3"/>
  <c r="G53" i="3"/>
  <c r="F53" i="3"/>
  <c r="B53" i="3"/>
  <c r="A53" i="3"/>
  <c r="I52" i="3"/>
  <c r="G52" i="3"/>
  <c r="F52" i="3"/>
  <c r="B52" i="3"/>
  <c r="A52" i="3"/>
  <c r="I51" i="3"/>
  <c r="G51" i="3"/>
  <c r="F51" i="3"/>
  <c r="B51" i="3"/>
  <c r="A51" i="3"/>
  <c r="I50" i="3"/>
  <c r="G50" i="3"/>
  <c r="F50" i="3"/>
  <c r="B50" i="3"/>
  <c r="A50" i="3"/>
  <c r="I49" i="3"/>
  <c r="G49" i="3"/>
  <c r="F49" i="3"/>
  <c r="B49" i="3"/>
  <c r="A49" i="3"/>
  <c r="I48" i="3"/>
  <c r="G48" i="3"/>
  <c r="F48" i="3"/>
  <c r="B48" i="3"/>
  <c r="A48" i="3"/>
  <c r="I47" i="3"/>
  <c r="G47" i="3"/>
  <c r="F47" i="3"/>
  <c r="B47" i="3"/>
  <c r="A47" i="3"/>
  <c r="I46" i="3"/>
  <c r="G46" i="3"/>
  <c r="F46" i="3"/>
  <c r="B46" i="3"/>
  <c r="A46" i="3"/>
  <c r="I45" i="3"/>
  <c r="G45" i="3"/>
  <c r="F45" i="3"/>
  <c r="B45" i="3"/>
  <c r="A45" i="3"/>
  <c r="I44" i="3"/>
  <c r="G44" i="3"/>
  <c r="F44" i="3"/>
  <c r="B44" i="3"/>
  <c r="A44" i="3"/>
  <c r="I43" i="3"/>
  <c r="G43" i="3"/>
  <c r="F43" i="3"/>
  <c r="B43" i="3"/>
  <c r="A43" i="3"/>
  <c r="I42" i="3"/>
  <c r="G42" i="3"/>
  <c r="F42" i="3"/>
  <c r="B42" i="3"/>
  <c r="A42" i="3"/>
  <c r="I41" i="3"/>
  <c r="G41" i="3"/>
  <c r="F41" i="3"/>
  <c r="B41" i="3"/>
  <c r="A41" i="3"/>
  <c r="I40" i="3"/>
  <c r="G40" i="3"/>
  <c r="F40" i="3"/>
  <c r="B40" i="3"/>
  <c r="A40" i="3"/>
  <c r="I39" i="3"/>
  <c r="G39" i="3"/>
  <c r="F39" i="3"/>
  <c r="B39" i="3"/>
  <c r="A39" i="3"/>
  <c r="I38" i="3"/>
  <c r="G38" i="3"/>
  <c r="F38" i="3"/>
  <c r="B38" i="3"/>
  <c r="A38" i="3"/>
  <c r="I37" i="3"/>
  <c r="G37" i="3"/>
  <c r="F37" i="3"/>
  <c r="B37" i="3"/>
  <c r="A37" i="3"/>
  <c r="I36" i="3"/>
  <c r="G36" i="3"/>
  <c r="F36" i="3"/>
  <c r="B36" i="3"/>
  <c r="A36" i="3"/>
  <c r="I35" i="3"/>
  <c r="G35" i="3"/>
  <c r="F35" i="3"/>
  <c r="B35" i="3"/>
  <c r="A35" i="3"/>
  <c r="I34" i="3"/>
  <c r="G34" i="3"/>
  <c r="F34" i="3"/>
  <c r="B34" i="3"/>
  <c r="A34" i="3"/>
  <c r="I33" i="3"/>
  <c r="G33" i="3"/>
  <c r="F33" i="3"/>
  <c r="B33" i="3"/>
  <c r="A33" i="3"/>
  <c r="I32" i="3"/>
  <c r="G32" i="3"/>
  <c r="F32" i="3"/>
  <c r="B32" i="3"/>
  <c r="A32" i="3"/>
  <c r="I31" i="3"/>
  <c r="G31" i="3"/>
  <c r="F31" i="3"/>
  <c r="B31" i="3"/>
  <c r="A31" i="3"/>
  <c r="I30" i="3"/>
  <c r="G30" i="3"/>
  <c r="F30" i="3"/>
  <c r="B30" i="3"/>
  <c r="A30" i="3"/>
  <c r="I29" i="3"/>
  <c r="G29" i="3"/>
  <c r="F29" i="3"/>
  <c r="B29" i="3"/>
  <c r="A29" i="3"/>
  <c r="I28" i="3"/>
  <c r="G28" i="3"/>
  <c r="F28" i="3"/>
  <c r="B28" i="3"/>
  <c r="A28" i="3"/>
  <c r="I27" i="3"/>
  <c r="G27" i="3"/>
  <c r="F27" i="3"/>
  <c r="B27" i="3"/>
  <c r="A27" i="3"/>
  <c r="I26" i="3"/>
  <c r="G26" i="3"/>
  <c r="F26" i="3"/>
  <c r="B26" i="3"/>
  <c r="A26" i="3"/>
  <c r="I25" i="3"/>
  <c r="G25" i="3"/>
  <c r="F25" i="3"/>
  <c r="B25" i="3"/>
  <c r="A25" i="3"/>
  <c r="I24" i="3"/>
  <c r="G24" i="3"/>
  <c r="F24" i="3"/>
  <c r="B24" i="3"/>
  <c r="A24" i="3"/>
  <c r="I23" i="3"/>
  <c r="G23" i="3"/>
  <c r="F23" i="3"/>
  <c r="B23" i="3"/>
  <c r="A23" i="3"/>
  <c r="I22" i="3"/>
  <c r="H22" i="3" a="1"/>
  <c r="H22" i="3" s="1"/>
  <c r="G22" i="3"/>
  <c r="F22" i="3"/>
  <c r="B22" i="3"/>
  <c r="A22" i="3"/>
  <c r="I21" i="3"/>
  <c r="G21" i="3"/>
  <c r="F21" i="3"/>
  <c r="B21" i="3"/>
  <c r="A21" i="3"/>
  <c r="I20" i="3"/>
  <c r="G20" i="3"/>
  <c r="F20" i="3"/>
  <c r="B20" i="3"/>
  <c r="A20" i="3"/>
  <c r="I19" i="3"/>
  <c r="G19" i="3"/>
  <c r="F19" i="3"/>
  <c r="B19" i="3"/>
  <c r="A19" i="3"/>
  <c r="I18" i="3"/>
  <c r="G18" i="3"/>
  <c r="F18" i="3"/>
  <c r="B18" i="3"/>
  <c r="A18" i="3"/>
  <c r="I17" i="3"/>
  <c r="G17" i="3"/>
  <c r="F17" i="3"/>
  <c r="B17" i="3"/>
  <c r="A17" i="3"/>
  <c r="I16" i="3"/>
  <c r="G16" i="3"/>
  <c r="F16" i="3"/>
  <c r="B16" i="3"/>
  <c r="A16" i="3"/>
  <c r="I15" i="3"/>
  <c r="G15" i="3"/>
  <c r="F15" i="3"/>
  <c r="B15" i="3"/>
  <c r="A15" i="3"/>
  <c r="I14" i="3"/>
  <c r="G14" i="3"/>
  <c r="F14" i="3"/>
  <c r="B14" i="3"/>
  <c r="A14" i="3"/>
  <c r="I13" i="3"/>
  <c r="G13" i="3"/>
  <c r="F13" i="3"/>
  <c r="B13" i="3"/>
  <c r="A13" i="3"/>
  <c r="I12" i="3"/>
  <c r="G12" i="3"/>
  <c r="F12" i="3"/>
  <c r="B12" i="3"/>
  <c r="A12" i="3"/>
  <c r="I11" i="3"/>
  <c r="H11" i="3" a="1"/>
  <c r="H11" i="3" s="1"/>
  <c r="G11" i="3"/>
  <c r="F11" i="3"/>
  <c r="B11" i="3"/>
  <c r="A11" i="3"/>
  <c r="I10" i="3"/>
  <c r="H10" i="3" a="1"/>
  <c r="H10" i="3" s="1"/>
  <c r="G10" i="3"/>
  <c r="F10" i="3"/>
  <c r="B10" i="3"/>
  <c r="A10" i="3"/>
  <c r="I9" i="3"/>
  <c r="G9" i="3"/>
  <c r="F9" i="3"/>
  <c r="B9" i="3"/>
  <c r="A9" i="3"/>
  <c r="I8" i="3"/>
  <c r="G8" i="3"/>
  <c r="F8" i="3"/>
  <c r="B8" i="3"/>
  <c r="A8" i="3"/>
  <c r="I7" i="3"/>
  <c r="H7" i="3" a="1"/>
  <c r="H7" i="3" s="1"/>
  <c r="C7" i="2" s="1"/>
  <c r="G7" i="3"/>
  <c r="F7" i="3"/>
  <c r="B7" i="3"/>
  <c r="A7" i="3"/>
  <c r="I6" i="3"/>
  <c r="G6" i="3"/>
  <c r="F6" i="3"/>
  <c r="B6" i="3"/>
  <c r="A6" i="3"/>
  <c r="I5" i="3"/>
  <c r="G5" i="3"/>
  <c r="F5" i="3"/>
  <c r="B5" i="3"/>
  <c r="A5" i="3"/>
  <c r="I4" i="3"/>
  <c r="H4" i="3" a="1"/>
  <c r="H4" i="3" s="1"/>
  <c r="C4" i="2" s="1"/>
  <c r="G4" i="3"/>
  <c r="F4" i="3"/>
  <c r="B4" i="3"/>
  <c r="A4" i="3"/>
  <c r="I3" i="3"/>
  <c r="C15" i="3" s="1" a="1"/>
  <c r="C15" i="3" s="1"/>
  <c r="G3" i="3"/>
  <c r="H14" i="3" s="1" a="1"/>
  <c r="H14" i="3" s="1"/>
  <c r="F3" i="3"/>
  <c r="B3" i="3"/>
  <c r="A3" i="3"/>
  <c r="C22" i="2"/>
  <c r="C14" i="2"/>
  <c r="C11" i="2"/>
  <c r="C10" i="2"/>
  <c r="C993" i="3" l="1" a="1"/>
  <c r="C993" i="3" s="1"/>
  <c r="C979" i="3" a="1"/>
  <c r="C979" i="3" s="1"/>
  <c r="C965" i="3" a="1"/>
  <c r="C965" i="3" s="1"/>
  <c r="C951" i="3" a="1"/>
  <c r="C951" i="3" s="1"/>
  <c r="C937" i="3" a="1"/>
  <c r="C937" i="3" s="1"/>
  <c r="C923" i="3" a="1"/>
  <c r="C923" i="3" s="1"/>
  <c r="C909" i="3" a="1"/>
  <c r="C909" i="3" s="1"/>
  <c r="C895" i="3" a="1"/>
  <c r="C895" i="3" s="1"/>
  <c r="C881" i="3" a="1"/>
  <c r="C881" i="3" s="1"/>
  <c r="C867" i="3" a="1"/>
  <c r="C867" i="3" s="1"/>
  <c r="C853" i="3" a="1"/>
  <c r="C853" i="3" s="1"/>
  <c r="C839" i="3" a="1"/>
  <c r="C839" i="3" s="1"/>
  <c r="C825" i="3" a="1"/>
  <c r="C825" i="3" s="1"/>
  <c r="C811" i="3" a="1"/>
  <c r="C811" i="3" s="1"/>
  <c r="C998" i="3" a="1"/>
  <c r="C998" i="3" s="1"/>
  <c r="C989" i="3" a="1"/>
  <c r="C989" i="3" s="1"/>
  <c r="C975" i="3" a="1"/>
  <c r="C975" i="3" s="1"/>
  <c r="C961" i="3" a="1"/>
  <c r="C961" i="3" s="1"/>
  <c r="C947" i="3" a="1"/>
  <c r="C947" i="3" s="1"/>
  <c r="C933" i="3" a="1"/>
  <c r="C933" i="3" s="1"/>
  <c r="C919" i="3" a="1"/>
  <c r="C919" i="3" s="1"/>
  <c r="C905" i="3" a="1"/>
  <c r="C905" i="3" s="1"/>
  <c r="C891" i="3" a="1"/>
  <c r="C891" i="3" s="1"/>
  <c r="C877" i="3" a="1"/>
  <c r="C877" i="3" s="1"/>
  <c r="C863" i="3" a="1"/>
  <c r="C863" i="3" s="1"/>
  <c r="C849" i="3" a="1"/>
  <c r="C849" i="3" s="1"/>
  <c r="C835" i="3" a="1"/>
  <c r="C835" i="3" s="1"/>
  <c r="C821" i="3" a="1"/>
  <c r="C821" i="3" s="1"/>
  <c r="C807" i="3" a="1"/>
  <c r="C807" i="3" s="1"/>
  <c r="C994" i="3" a="1"/>
  <c r="C994" i="3" s="1"/>
  <c r="C980" i="3" a="1"/>
  <c r="C980" i="3" s="1"/>
  <c r="C966" i="3" a="1"/>
  <c r="C966" i="3" s="1"/>
  <c r="C952" i="3" a="1"/>
  <c r="C952" i="3" s="1"/>
  <c r="C938" i="3" a="1"/>
  <c r="C938" i="3" s="1"/>
  <c r="C924" i="3" a="1"/>
  <c r="C924" i="3" s="1"/>
  <c r="C910" i="3" a="1"/>
  <c r="C910" i="3" s="1"/>
  <c r="C896" i="3" a="1"/>
  <c r="C896" i="3" s="1"/>
  <c r="C882" i="3" a="1"/>
  <c r="C882" i="3" s="1"/>
  <c r="C868" i="3" a="1"/>
  <c r="C868" i="3" s="1"/>
  <c r="C854" i="3" a="1"/>
  <c r="C854" i="3" s="1"/>
  <c r="C840" i="3" a="1"/>
  <c r="C840" i="3" s="1"/>
  <c r="C826" i="3" a="1"/>
  <c r="C826" i="3" s="1"/>
  <c r="C812" i="3" a="1"/>
  <c r="C812" i="3" s="1"/>
  <c r="C999" i="3" a="1"/>
  <c r="C999" i="3" s="1"/>
  <c r="C990" i="3" a="1"/>
  <c r="C990" i="3" s="1"/>
  <c r="C976" i="3" a="1"/>
  <c r="C976" i="3" s="1"/>
  <c r="C962" i="3" a="1"/>
  <c r="C962" i="3" s="1"/>
  <c r="C948" i="3" a="1"/>
  <c r="C948" i="3" s="1"/>
  <c r="C934" i="3" a="1"/>
  <c r="C934" i="3" s="1"/>
  <c r="C920" i="3" a="1"/>
  <c r="C920" i="3" s="1"/>
  <c r="C906" i="3" a="1"/>
  <c r="C906" i="3" s="1"/>
  <c r="C892" i="3" a="1"/>
  <c r="C892" i="3" s="1"/>
  <c r="C878" i="3" a="1"/>
  <c r="C878" i="3" s="1"/>
  <c r="C864" i="3" a="1"/>
  <c r="C864" i="3" s="1"/>
  <c r="C850" i="3" a="1"/>
  <c r="C850" i="3" s="1"/>
  <c r="C836" i="3" a="1"/>
  <c r="C836" i="3" s="1"/>
  <c r="C822" i="3" a="1"/>
  <c r="C822" i="3" s="1"/>
  <c r="C808" i="3" a="1"/>
  <c r="C808" i="3" s="1"/>
  <c r="C995" i="3" a="1"/>
  <c r="C995" i="3" s="1"/>
  <c r="C981" i="3" a="1"/>
  <c r="C981" i="3" s="1"/>
  <c r="C967" i="3" a="1"/>
  <c r="C967" i="3" s="1"/>
  <c r="C953" i="3" a="1"/>
  <c r="C953" i="3" s="1"/>
  <c r="C939" i="3" a="1"/>
  <c r="C939" i="3" s="1"/>
  <c r="C925" i="3" a="1"/>
  <c r="C925" i="3" s="1"/>
  <c r="C911" i="3" a="1"/>
  <c r="C911" i="3" s="1"/>
  <c r="C897" i="3" a="1"/>
  <c r="C897" i="3" s="1"/>
  <c r="C883" i="3" a="1"/>
  <c r="C883" i="3" s="1"/>
  <c r="C869" i="3" a="1"/>
  <c r="C869" i="3" s="1"/>
  <c r="C855" i="3" a="1"/>
  <c r="C855" i="3" s="1"/>
  <c r="C841" i="3" a="1"/>
  <c r="C841" i="3" s="1"/>
  <c r="C827" i="3" a="1"/>
  <c r="C827" i="3" s="1"/>
  <c r="C813" i="3" a="1"/>
  <c r="C813" i="3" s="1"/>
  <c r="C1000" i="3" a="1"/>
  <c r="C1000" i="3" s="1"/>
  <c r="C986" i="3" a="1"/>
  <c r="C986" i="3" s="1"/>
  <c r="C972" i="3" a="1"/>
  <c r="C972" i="3" s="1"/>
  <c r="C958" i="3" a="1"/>
  <c r="C958" i="3" s="1"/>
  <c r="C944" i="3" a="1"/>
  <c r="C944" i="3" s="1"/>
  <c r="C930" i="3" a="1"/>
  <c r="C930" i="3" s="1"/>
  <c r="C916" i="3" a="1"/>
  <c r="C916" i="3" s="1"/>
  <c r="C902" i="3" a="1"/>
  <c r="C902" i="3" s="1"/>
  <c r="C888" i="3" a="1"/>
  <c r="C888" i="3" s="1"/>
  <c r="C874" i="3" a="1"/>
  <c r="C874" i="3" s="1"/>
  <c r="C860" i="3" a="1"/>
  <c r="C860" i="3" s="1"/>
  <c r="C846" i="3" a="1"/>
  <c r="C846" i="3" s="1"/>
  <c r="C832" i="3" a="1"/>
  <c r="C832" i="3" s="1"/>
  <c r="C818" i="3" a="1"/>
  <c r="C818" i="3" s="1"/>
  <c r="C991" i="3" a="1"/>
  <c r="C991" i="3" s="1"/>
  <c r="C996" i="3" a="1"/>
  <c r="C996" i="3" s="1"/>
  <c r="C982" i="3" a="1"/>
  <c r="C982" i="3" s="1"/>
  <c r="C968" i="3" a="1"/>
  <c r="C968" i="3" s="1"/>
  <c r="C954" i="3" a="1"/>
  <c r="C954" i="3" s="1"/>
  <c r="C940" i="3" a="1"/>
  <c r="C940" i="3" s="1"/>
  <c r="C926" i="3" a="1"/>
  <c r="C926" i="3" s="1"/>
  <c r="C912" i="3" a="1"/>
  <c r="C912" i="3" s="1"/>
  <c r="C898" i="3" a="1"/>
  <c r="C898" i="3" s="1"/>
  <c r="C884" i="3" a="1"/>
  <c r="C884" i="3" s="1"/>
  <c r="C870" i="3" a="1"/>
  <c r="C870" i="3" s="1"/>
  <c r="C856" i="3" a="1"/>
  <c r="C856" i="3" s="1"/>
  <c r="C842" i="3" a="1"/>
  <c r="C842" i="3" s="1"/>
  <c r="C828" i="3" a="1"/>
  <c r="C828" i="3" s="1"/>
  <c r="C814" i="3" a="1"/>
  <c r="C814" i="3" s="1"/>
  <c r="C987" i="3" a="1"/>
  <c r="C987" i="3" s="1"/>
  <c r="C973" i="3" a="1"/>
  <c r="C973" i="3" s="1"/>
  <c r="C959" i="3" a="1"/>
  <c r="C959" i="3" s="1"/>
  <c r="C945" i="3" a="1"/>
  <c r="C945" i="3" s="1"/>
  <c r="C931" i="3" a="1"/>
  <c r="C931" i="3" s="1"/>
  <c r="C917" i="3" a="1"/>
  <c r="C917" i="3" s="1"/>
  <c r="C903" i="3" a="1"/>
  <c r="C903" i="3" s="1"/>
  <c r="C889" i="3" a="1"/>
  <c r="C889" i="3" s="1"/>
  <c r="C875" i="3" a="1"/>
  <c r="C875" i="3" s="1"/>
  <c r="C861" i="3" a="1"/>
  <c r="C861" i="3" s="1"/>
  <c r="C847" i="3" a="1"/>
  <c r="C847" i="3" s="1"/>
  <c r="C833" i="3" a="1"/>
  <c r="C833" i="3" s="1"/>
  <c r="C819" i="3" a="1"/>
  <c r="C819" i="3" s="1"/>
  <c r="C992" i="3" a="1"/>
  <c r="C992" i="3" s="1"/>
  <c r="C978" i="3" a="1"/>
  <c r="C978" i="3" s="1"/>
  <c r="C964" i="3" a="1"/>
  <c r="C964" i="3" s="1"/>
  <c r="C950" i="3" a="1"/>
  <c r="C950" i="3" s="1"/>
  <c r="C936" i="3" a="1"/>
  <c r="C936" i="3" s="1"/>
  <c r="C922" i="3" a="1"/>
  <c r="C922" i="3" s="1"/>
  <c r="C908" i="3" a="1"/>
  <c r="C908" i="3" s="1"/>
  <c r="C894" i="3" a="1"/>
  <c r="C894" i="3" s="1"/>
  <c r="C880" i="3" a="1"/>
  <c r="C880" i="3" s="1"/>
  <c r="C866" i="3" a="1"/>
  <c r="C866" i="3" s="1"/>
  <c r="C852" i="3" a="1"/>
  <c r="C852" i="3" s="1"/>
  <c r="C838" i="3" a="1"/>
  <c r="C838" i="3" s="1"/>
  <c r="C824" i="3" a="1"/>
  <c r="C824" i="3" s="1"/>
  <c r="C810" i="3" a="1"/>
  <c r="C810" i="3" s="1"/>
  <c r="C997" i="3" a="1"/>
  <c r="C997" i="3" s="1"/>
  <c r="C983" i="3" a="1"/>
  <c r="C983" i="3" s="1"/>
  <c r="C969" i="3" a="1"/>
  <c r="C969" i="3" s="1"/>
  <c r="C955" i="3" a="1"/>
  <c r="C955" i="3" s="1"/>
  <c r="C941" i="3" a="1"/>
  <c r="C941" i="3" s="1"/>
  <c r="C927" i="3" a="1"/>
  <c r="C927" i="3" s="1"/>
  <c r="C913" i="3" a="1"/>
  <c r="C913" i="3" s="1"/>
  <c r="C899" i="3" a="1"/>
  <c r="C899" i="3" s="1"/>
  <c r="C885" i="3" a="1"/>
  <c r="C885" i="3" s="1"/>
  <c r="C871" i="3" a="1"/>
  <c r="C871" i="3" s="1"/>
  <c r="C857" i="3" a="1"/>
  <c r="C857" i="3" s="1"/>
  <c r="C843" i="3" a="1"/>
  <c r="C843" i="3" s="1"/>
  <c r="C988" i="3" a="1"/>
  <c r="C988" i="3" s="1"/>
  <c r="C974" i="3" a="1"/>
  <c r="C974" i="3" s="1"/>
  <c r="C960" i="3" a="1"/>
  <c r="C960" i="3" s="1"/>
  <c r="C946" i="3" a="1"/>
  <c r="C946" i="3" s="1"/>
  <c r="C932" i="3" a="1"/>
  <c r="C932" i="3" s="1"/>
  <c r="C918" i="3" a="1"/>
  <c r="C918" i="3" s="1"/>
  <c r="C904" i="3" a="1"/>
  <c r="C904" i="3" s="1"/>
  <c r="C890" i="3" a="1"/>
  <c r="C890" i="3" s="1"/>
  <c r="C876" i="3" a="1"/>
  <c r="C876" i="3" s="1"/>
  <c r="C862" i="3" a="1"/>
  <c r="C862" i="3" s="1"/>
  <c r="C848" i="3" a="1"/>
  <c r="C848" i="3" s="1"/>
  <c r="C834" i="3" a="1"/>
  <c r="C834" i="3" s="1"/>
  <c r="C820" i="3" a="1"/>
  <c r="C820" i="3" s="1"/>
  <c r="C806" i="3" a="1"/>
  <c r="C806" i="3" s="1"/>
  <c r="C957" i="3" a="1"/>
  <c r="C957" i="3" s="1"/>
  <c r="C935" i="3" a="1"/>
  <c r="C935" i="3" s="1"/>
  <c r="C859" i="3" a="1"/>
  <c r="C859" i="3" s="1"/>
  <c r="C801" i="3" a="1"/>
  <c r="C801" i="3" s="1"/>
  <c r="C787" i="3" a="1"/>
  <c r="C787" i="3" s="1"/>
  <c r="C773" i="3" a="1"/>
  <c r="C773" i="3" s="1"/>
  <c r="C759" i="3" a="1"/>
  <c r="C759" i="3" s="1"/>
  <c r="C745" i="3" a="1"/>
  <c r="C745" i="3" s="1"/>
  <c r="C731" i="3" a="1"/>
  <c r="C731" i="3" s="1"/>
  <c r="C717" i="3" a="1"/>
  <c r="C717" i="3" s="1"/>
  <c r="C703" i="3" a="1"/>
  <c r="C703" i="3" s="1"/>
  <c r="C689" i="3" a="1"/>
  <c r="C689" i="3" s="1"/>
  <c r="C928" i="3" a="1"/>
  <c r="C928" i="3" s="1"/>
  <c r="C837" i="3" a="1"/>
  <c r="C837" i="3" s="1"/>
  <c r="C816" i="3" a="1"/>
  <c r="C816" i="3" s="1"/>
  <c r="C792" i="3" a="1"/>
  <c r="C792" i="3" s="1"/>
  <c r="C778" i="3" a="1"/>
  <c r="C778" i="3" s="1"/>
  <c r="C764" i="3" a="1"/>
  <c r="C764" i="3" s="1"/>
  <c r="C750" i="3" a="1"/>
  <c r="C750" i="3" s="1"/>
  <c r="C736" i="3" a="1"/>
  <c r="C736" i="3" s="1"/>
  <c r="C722" i="3" a="1"/>
  <c r="C722" i="3" s="1"/>
  <c r="C708" i="3" a="1"/>
  <c r="C708" i="3" s="1"/>
  <c r="C694" i="3" a="1"/>
  <c r="C694" i="3" s="1"/>
  <c r="C977" i="3" a="1"/>
  <c r="C977" i="3" s="1"/>
  <c r="C901" i="3" a="1"/>
  <c r="C901" i="3" s="1"/>
  <c r="C879" i="3" a="1"/>
  <c r="C879" i="3" s="1"/>
  <c r="C797" i="3" a="1"/>
  <c r="C797" i="3" s="1"/>
  <c r="C783" i="3" a="1"/>
  <c r="C783" i="3" s="1"/>
  <c r="C769" i="3" a="1"/>
  <c r="C769" i="3" s="1"/>
  <c r="C755" i="3" a="1"/>
  <c r="C755" i="3" s="1"/>
  <c r="C741" i="3" a="1"/>
  <c r="C741" i="3" s="1"/>
  <c r="C727" i="3" a="1"/>
  <c r="C727" i="3" s="1"/>
  <c r="C713" i="3" a="1"/>
  <c r="C713" i="3" s="1"/>
  <c r="C699" i="3" a="1"/>
  <c r="C699" i="3" s="1"/>
  <c r="C685" i="3" a="1"/>
  <c r="C685" i="3" s="1"/>
  <c r="C671" i="3" a="1"/>
  <c r="C671" i="3" s="1"/>
  <c r="C657" i="3" a="1"/>
  <c r="C657" i="3" s="1"/>
  <c r="C970" i="3" a="1"/>
  <c r="C970" i="3" s="1"/>
  <c r="C872" i="3" a="1"/>
  <c r="C872" i="3" s="1"/>
  <c r="C809" i="3" a="1"/>
  <c r="C809" i="3" s="1"/>
  <c r="C802" i="3" a="1"/>
  <c r="C802" i="3" s="1"/>
  <c r="C788" i="3" a="1"/>
  <c r="C788" i="3" s="1"/>
  <c r="C774" i="3" a="1"/>
  <c r="C774" i="3" s="1"/>
  <c r="C760" i="3" a="1"/>
  <c r="C760" i="3" s="1"/>
  <c r="C746" i="3" a="1"/>
  <c r="C746" i="3" s="1"/>
  <c r="C732" i="3" a="1"/>
  <c r="C732" i="3" s="1"/>
  <c r="C718" i="3" a="1"/>
  <c r="C718" i="3" s="1"/>
  <c r="C704" i="3" a="1"/>
  <c r="C704" i="3" s="1"/>
  <c r="C690" i="3" a="1"/>
  <c r="C690" i="3" s="1"/>
  <c r="C943" i="3" a="1"/>
  <c r="C943" i="3" s="1"/>
  <c r="C921" i="3" a="1"/>
  <c r="C921" i="3" s="1"/>
  <c r="C845" i="3" a="1"/>
  <c r="C845" i="3" s="1"/>
  <c r="C793" i="3" a="1"/>
  <c r="C793" i="3" s="1"/>
  <c r="C779" i="3" a="1"/>
  <c r="C779" i="3" s="1"/>
  <c r="C765" i="3" a="1"/>
  <c r="C765" i="3" s="1"/>
  <c r="C751" i="3" a="1"/>
  <c r="C751" i="3" s="1"/>
  <c r="C737" i="3" a="1"/>
  <c r="C737" i="3" s="1"/>
  <c r="C723" i="3" a="1"/>
  <c r="C723" i="3" s="1"/>
  <c r="C709" i="3" a="1"/>
  <c r="C709" i="3" s="1"/>
  <c r="C695" i="3" a="1"/>
  <c r="C695" i="3" s="1"/>
  <c r="C681" i="3" a="1"/>
  <c r="C681" i="3" s="1"/>
  <c r="C667" i="3" a="1"/>
  <c r="C667" i="3" s="1"/>
  <c r="C914" i="3" a="1"/>
  <c r="C914" i="3" s="1"/>
  <c r="C830" i="3" a="1"/>
  <c r="C830" i="3" s="1"/>
  <c r="C798" i="3" a="1"/>
  <c r="C798" i="3" s="1"/>
  <c r="C784" i="3" a="1"/>
  <c r="C784" i="3" s="1"/>
  <c r="C770" i="3" a="1"/>
  <c r="C770" i="3" s="1"/>
  <c r="C756" i="3" a="1"/>
  <c r="C756" i="3" s="1"/>
  <c r="C742" i="3" a="1"/>
  <c r="C742" i="3" s="1"/>
  <c r="C728" i="3" a="1"/>
  <c r="C728" i="3" s="1"/>
  <c r="C714" i="3" a="1"/>
  <c r="C714" i="3" s="1"/>
  <c r="C700" i="3" a="1"/>
  <c r="C700" i="3" s="1"/>
  <c r="C686" i="3" a="1"/>
  <c r="C686" i="3" s="1"/>
  <c r="C985" i="3" a="1"/>
  <c r="C985" i="3" s="1"/>
  <c r="C963" i="3" a="1"/>
  <c r="C963" i="3" s="1"/>
  <c r="C887" i="3" a="1"/>
  <c r="C887" i="3" s="1"/>
  <c r="C865" i="3" a="1"/>
  <c r="C865" i="3" s="1"/>
  <c r="C803" i="3" a="1"/>
  <c r="C803" i="3" s="1"/>
  <c r="C789" i="3" a="1"/>
  <c r="C789" i="3" s="1"/>
  <c r="C775" i="3" a="1"/>
  <c r="C775" i="3" s="1"/>
  <c r="C761" i="3" a="1"/>
  <c r="C761" i="3" s="1"/>
  <c r="C747" i="3" a="1"/>
  <c r="C747" i="3" s="1"/>
  <c r="C733" i="3" a="1"/>
  <c r="C733" i="3" s="1"/>
  <c r="C719" i="3" a="1"/>
  <c r="C719" i="3" s="1"/>
  <c r="C705" i="3" a="1"/>
  <c r="C705" i="3" s="1"/>
  <c r="C691" i="3" a="1"/>
  <c r="C691" i="3" s="1"/>
  <c r="C956" i="3" a="1"/>
  <c r="C956" i="3" s="1"/>
  <c r="C858" i="3" a="1"/>
  <c r="C858" i="3" s="1"/>
  <c r="C794" i="3" a="1"/>
  <c r="C794" i="3" s="1"/>
  <c r="C780" i="3" a="1"/>
  <c r="C780" i="3" s="1"/>
  <c r="C766" i="3" a="1"/>
  <c r="C766" i="3" s="1"/>
  <c r="C752" i="3" a="1"/>
  <c r="C752" i="3" s="1"/>
  <c r="C738" i="3" a="1"/>
  <c r="C738" i="3" s="1"/>
  <c r="C724" i="3" a="1"/>
  <c r="C724" i="3" s="1"/>
  <c r="C710" i="3" a="1"/>
  <c r="C710" i="3" s="1"/>
  <c r="C696" i="3" a="1"/>
  <c r="C696" i="3" s="1"/>
  <c r="C682" i="3" a="1"/>
  <c r="C682" i="3" s="1"/>
  <c r="C929" i="3" a="1"/>
  <c r="C929" i="3" s="1"/>
  <c r="C907" i="3" a="1"/>
  <c r="C907" i="3" s="1"/>
  <c r="C817" i="3" a="1"/>
  <c r="C817" i="3" s="1"/>
  <c r="C815" i="3" a="1"/>
  <c r="C815" i="3" s="1"/>
  <c r="C799" i="3" a="1"/>
  <c r="C799" i="3" s="1"/>
  <c r="C785" i="3" a="1"/>
  <c r="C785" i="3" s="1"/>
  <c r="C771" i="3" a="1"/>
  <c r="C771" i="3" s="1"/>
  <c r="C757" i="3" a="1"/>
  <c r="C757" i="3" s="1"/>
  <c r="C743" i="3" a="1"/>
  <c r="C743" i="3" s="1"/>
  <c r="C729" i="3" a="1"/>
  <c r="C729" i="3" s="1"/>
  <c r="C715" i="3" a="1"/>
  <c r="C715" i="3" s="1"/>
  <c r="C701" i="3" a="1"/>
  <c r="C701" i="3" s="1"/>
  <c r="C687" i="3" a="1"/>
  <c r="C687" i="3" s="1"/>
  <c r="C900" i="3" a="1"/>
  <c r="C900" i="3" s="1"/>
  <c r="C804" i="3" a="1"/>
  <c r="C804" i="3" s="1"/>
  <c r="C790" i="3" a="1"/>
  <c r="C790" i="3" s="1"/>
  <c r="C776" i="3" a="1"/>
  <c r="C776" i="3" s="1"/>
  <c r="C762" i="3" a="1"/>
  <c r="C762" i="3" s="1"/>
  <c r="C748" i="3" a="1"/>
  <c r="C748" i="3" s="1"/>
  <c r="C734" i="3" a="1"/>
  <c r="C734" i="3" s="1"/>
  <c r="C942" i="3" a="1"/>
  <c r="C942" i="3" s="1"/>
  <c r="C844" i="3" a="1"/>
  <c r="C844" i="3" s="1"/>
  <c r="C823" i="3" a="1"/>
  <c r="C823" i="3" s="1"/>
  <c r="C800" i="3" a="1"/>
  <c r="C800" i="3" s="1"/>
  <c r="C786" i="3" a="1"/>
  <c r="C786" i="3" s="1"/>
  <c r="C772" i="3" a="1"/>
  <c r="C772" i="3" s="1"/>
  <c r="C758" i="3" a="1"/>
  <c r="C758" i="3" s="1"/>
  <c r="C744" i="3" a="1"/>
  <c r="C744" i="3" s="1"/>
  <c r="C730" i="3" a="1"/>
  <c r="C730" i="3" s="1"/>
  <c r="C716" i="3" a="1"/>
  <c r="C716" i="3" s="1"/>
  <c r="C702" i="3" a="1"/>
  <c r="C702" i="3" s="1"/>
  <c r="C688" i="3" a="1"/>
  <c r="C688" i="3" s="1"/>
  <c r="C915" i="3" a="1"/>
  <c r="C915" i="3" s="1"/>
  <c r="C893" i="3" a="1"/>
  <c r="C893" i="3" s="1"/>
  <c r="C831" i="3" a="1"/>
  <c r="C831" i="3" s="1"/>
  <c r="C829" i="3" a="1"/>
  <c r="C829" i="3" s="1"/>
  <c r="C791" i="3" a="1"/>
  <c r="C791" i="3" s="1"/>
  <c r="C777" i="3" a="1"/>
  <c r="C777" i="3" s="1"/>
  <c r="C763" i="3" a="1"/>
  <c r="C763" i="3" s="1"/>
  <c r="C749" i="3" a="1"/>
  <c r="C749" i="3" s="1"/>
  <c r="C735" i="3" a="1"/>
  <c r="C735" i="3" s="1"/>
  <c r="C721" i="3" a="1"/>
  <c r="C721" i="3" s="1"/>
  <c r="C707" i="3" a="1"/>
  <c r="C707" i="3" s="1"/>
  <c r="C693" i="3" a="1"/>
  <c r="C693" i="3" s="1"/>
  <c r="C971" i="3" a="1"/>
  <c r="C971" i="3" s="1"/>
  <c r="C781" i="3" a="1"/>
  <c r="C781" i="3" s="1"/>
  <c r="C680" i="3" a="1"/>
  <c r="C680" i="3" s="1"/>
  <c r="C662" i="3" a="1"/>
  <c r="C662" i="3" s="1"/>
  <c r="C653" i="3" a="1"/>
  <c r="C653" i="3" s="1"/>
  <c r="C639" i="3" a="1"/>
  <c r="C639" i="3" s="1"/>
  <c r="C625" i="3" a="1"/>
  <c r="C625" i="3" s="1"/>
  <c r="C611" i="3" a="1"/>
  <c r="C611" i="3" s="1"/>
  <c r="C597" i="3" a="1"/>
  <c r="C597" i="3" s="1"/>
  <c r="C583" i="3" a="1"/>
  <c r="C583" i="3" s="1"/>
  <c r="C569" i="3" a="1"/>
  <c r="C569" i="3" s="1"/>
  <c r="C555" i="3" a="1"/>
  <c r="C555" i="3" s="1"/>
  <c r="C541" i="3" a="1"/>
  <c r="C541" i="3" s="1"/>
  <c r="C527" i="3" a="1"/>
  <c r="C527" i="3" s="1"/>
  <c r="C513" i="3" a="1"/>
  <c r="C513" i="3" s="1"/>
  <c r="C499" i="3" a="1"/>
  <c r="C499" i="3" s="1"/>
  <c r="C485" i="3" a="1"/>
  <c r="C485" i="3" s="1"/>
  <c r="C471" i="3" a="1"/>
  <c r="C471" i="3" s="1"/>
  <c r="C457" i="3" a="1"/>
  <c r="C457" i="3" s="1"/>
  <c r="C443" i="3" a="1"/>
  <c r="C443" i="3" s="1"/>
  <c r="C429" i="3" a="1"/>
  <c r="C429" i="3" s="1"/>
  <c r="C415" i="3" a="1"/>
  <c r="C415" i="3" s="1"/>
  <c r="C401" i="3" a="1"/>
  <c r="C401" i="3" s="1"/>
  <c r="C387" i="3" a="1"/>
  <c r="C387" i="3" s="1"/>
  <c r="C373" i="3" a="1"/>
  <c r="C373" i="3" s="1"/>
  <c r="C711" i="3" a="1"/>
  <c r="C711" i="3" s="1"/>
  <c r="C677" i="3" a="1"/>
  <c r="C677" i="3" s="1"/>
  <c r="C644" i="3" a="1"/>
  <c r="C644" i="3" s="1"/>
  <c r="C630" i="3" a="1"/>
  <c r="C630" i="3" s="1"/>
  <c r="C616" i="3" a="1"/>
  <c r="C616" i="3" s="1"/>
  <c r="C602" i="3" a="1"/>
  <c r="C602" i="3" s="1"/>
  <c r="C588" i="3" a="1"/>
  <c r="C588" i="3" s="1"/>
  <c r="C574" i="3" a="1"/>
  <c r="C574" i="3" s="1"/>
  <c r="C560" i="3" a="1"/>
  <c r="C560" i="3" s="1"/>
  <c r="C546" i="3" a="1"/>
  <c r="C546" i="3" s="1"/>
  <c r="C532" i="3" a="1"/>
  <c r="C532" i="3" s="1"/>
  <c r="C518" i="3" a="1"/>
  <c r="C518" i="3" s="1"/>
  <c r="C984" i="3" a="1"/>
  <c r="C984" i="3" s="1"/>
  <c r="C795" i="3" a="1"/>
  <c r="C795" i="3" s="1"/>
  <c r="C740" i="3" a="1"/>
  <c r="C740" i="3" s="1"/>
  <c r="C706" i="3" a="1"/>
  <c r="C706" i="3" s="1"/>
  <c r="C684" i="3" a="1"/>
  <c r="C684" i="3" s="1"/>
  <c r="C670" i="3" a="1"/>
  <c r="C670" i="3" s="1"/>
  <c r="C666" i="3" a="1"/>
  <c r="C666" i="3" s="1"/>
  <c r="C658" i="3" a="1"/>
  <c r="C658" i="3" s="1"/>
  <c r="C649" i="3" a="1"/>
  <c r="C649" i="3" s="1"/>
  <c r="C635" i="3" a="1"/>
  <c r="C635" i="3" s="1"/>
  <c r="C621" i="3" a="1"/>
  <c r="C621" i="3" s="1"/>
  <c r="C607" i="3" a="1"/>
  <c r="C607" i="3" s="1"/>
  <c r="C593" i="3" a="1"/>
  <c r="C593" i="3" s="1"/>
  <c r="C579" i="3" a="1"/>
  <c r="C579" i="3" s="1"/>
  <c r="C565" i="3" a="1"/>
  <c r="C565" i="3" s="1"/>
  <c r="C551" i="3" a="1"/>
  <c r="C551" i="3" s="1"/>
  <c r="C537" i="3" a="1"/>
  <c r="C537" i="3" s="1"/>
  <c r="C523" i="3" a="1"/>
  <c r="C523" i="3" s="1"/>
  <c r="C509" i="3" a="1"/>
  <c r="C509" i="3" s="1"/>
  <c r="C495" i="3" a="1"/>
  <c r="C495" i="3" s="1"/>
  <c r="C481" i="3" a="1"/>
  <c r="C481" i="3" s="1"/>
  <c r="C467" i="3" a="1"/>
  <c r="C467" i="3" s="1"/>
  <c r="C453" i="3" a="1"/>
  <c r="C453" i="3" s="1"/>
  <c r="C873" i="3" a="1"/>
  <c r="C873" i="3" s="1"/>
  <c r="C754" i="3" a="1"/>
  <c r="C754" i="3" s="1"/>
  <c r="C726" i="3" a="1"/>
  <c r="C726" i="3" s="1"/>
  <c r="C663" i="3" a="1"/>
  <c r="C663" i="3" s="1"/>
  <c r="C645" i="3" a="1"/>
  <c r="C645" i="3" s="1"/>
  <c r="C631" i="3" a="1"/>
  <c r="C631" i="3" s="1"/>
  <c r="C617" i="3" a="1"/>
  <c r="C617" i="3" s="1"/>
  <c r="C603" i="3" a="1"/>
  <c r="C603" i="3" s="1"/>
  <c r="C589" i="3" a="1"/>
  <c r="C589" i="3" s="1"/>
  <c r="C575" i="3" a="1"/>
  <c r="C575" i="3" s="1"/>
  <c r="C561" i="3" a="1"/>
  <c r="C561" i="3" s="1"/>
  <c r="C547" i="3" a="1"/>
  <c r="C547" i="3" s="1"/>
  <c r="C533" i="3" a="1"/>
  <c r="C533" i="3" s="1"/>
  <c r="C519" i="3" a="1"/>
  <c r="C519" i="3" s="1"/>
  <c r="C505" i="3" a="1"/>
  <c r="C505" i="3" s="1"/>
  <c r="C949" i="3" a="1"/>
  <c r="C949" i="3" s="1"/>
  <c r="C886" i="3" a="1"/>
  <c r="C886" i="3" s="1"/>
  <c r="C768" i="3" a="1"/>
  <c r="C768" i="3" s="1"/>
  <c r="C692" i="3" a="1"/>
  <c r="C692" i="3" s="1"/>
  <c r="C655" i="3" a="1"/>
  <c r="C655" i="3" s="1"/>
  <c r="C641" i="3" a="1"/>
  <c r="C641" i="3" s="1"/>
  <c r="C627" i="3" a="1"/>
  <c r="C627" i="3" s="1"/>
  <c r="C613" i="3" a="1"/>
  <c r="C613" i="3" s="1"/>
  <c r="C599" i="3" a="1"/>
  <c r="C599" i="3" s="1"/>
  <c r="C585" i="3" a="1"/>
  <c r="C585" i="3" s="1"/>
  <c r="C571" i="3" a="1"/>
  <c r="C571" i="3" s="1"/>
  <c r="C557" i="3" a="1"/>
  <c r="C557" i="3" s="1"/>
  <c r="C543" i="3" a="1"/>
  <c r="C543" i="3" s="1"/>
  <c r="C675" i="3" a="1"/>
  <c r="C675" i="3" s="1"/>
  <c r="C646" i="3" a="1"/>
  <c r="C646" i="3" s="1"/>
  <c r="C632" i="3" a="1"/>
  <c r="C632" i="3" s="1"/>
  <c r="C618" i="3" a="1"/>
  <c r="C618" i="3" s="1"/>
  <c r="C604" i="3" a="1"/>
  <c r="C604" i="3" s="1"/>
  <c r="C590" i="3" a="1"/>
  <c r="C590" i="3" s="1"/>
  <c r="C576" i="3" a="1"/>
  <c r="C576" i="3" s="1"/>
  <c r="C562" i="3" a="1"/>
  <c r="C562" i="3" s="1"/>
  <c r="C548" i="3" a="1"/>
  <c r="C548" i="3" s="1"/>
  <c r="C534" i="3" a="1"/>
  <c r="C534" i="3" s="1"/>
  <c r="C520" i="3" a="1"/>
  <c r="C520" i="3" s="1"/>
  <c r="C506" i="3" a="1"/>
  <c r="C506" i="3" s="1"/>
  <c r="C672" i="3" a="1"/>
  <c r="C672" i="3" s="1"/>
  <c r="C668" i="3" a="1"/>
  <c r="C668" i="3" s="1"/>
  <c r="C656" i="3" a="1"/>
  <c r="C656" i="3" s="1"/>
  <c r="C642" i="3" a="1"/>
  <c r="C642" i="3" s="1"/>
  <c r="C628" i="3" a="1"/>
  <c r="C628" i="3" s="1"/>
  <c r="C614" i="3" a="1"/>
  <c r="C614" i="3" s="1"/>
  <c r="C600" i="3" a="1"/>
  <c r="C600" i="3" s="1"/>
  <c r="C586" i="3" a="1"/>
  <c r="C586" i="3" s="1"/>
  <c r="C572" i="3" a="1"/>
  <c r="C572" i="3" s="1"/>
  <c r="C558" i="3" a="1"/>
  <c r="C558" i="3" s="1"/>
  <c r="C544" i="3" a="1"/>
  <c r="C544" i="3" s="1"/>
  <c r="C530" i="3" a="1"/>
  <c r="C530" i="3" s="1"/>
  <c r="C725" i="3" a="1"/>
  <c r="C725" i="3" s="1"/>
  <c r="C676" i="3" a="1"/>
  <c r="C676" i="3" s="1"/>
  <c r="C661" i="3" a="1"/>
  <c r="C661" i="3" s="1"/>
  <c r="C652" i="3" a="1"/>
  <c r="C652" i="3" s="1"/>
  <c r="C638" i="3" a="1"/>
  <c r="C638" i="3" s="1"/>
  <c r="C624" i="3" a="1"/>
  <c r="C624" i="3" s="1"/>
  <c r="C610" i="3" a="1"/>
  <c r="C610" i="3" s="1"/>
  <c r="C596" i="3" a="1"/>
  <c r="C596" i="3" s="1"/>
  <c r="C582" i="3" a="1"/>
  <c r="C582" i="3" s="1"/>
  <c r="C568" i="3" a="1"/>
  <c r="C568" i="3" s="1"/>
  <c r="C554" i="3" a="1"/>
  <c r="C554" i="3" s="1"/>
  <c r="C540" i="3" a="1"/>
  <c r="C540" i="3" s="1"/>
  <c r="C767" i="3" a="1"/>
  <c r="C767" i="3" s="1"/>
  <c r="C720" i="3" a="1"/>
  <c r="C720" i="3" s="1"/>
  <c r="C698" i="3" a="1"/>
  <c r="C698" i="3" s="1"/>
  <c r="C683" i="3" a="1"/>
  <c r="C683" i="3" s="1"/>
  <c r="C665" i="3" a="1"/>
  <c r="C665" i="3" s="1"/>
  <c r="C643" i="3" a="1"/>
  <c r="C643" i="3" s="1"/>
  <c r="C629" i="3" a="1"/>
  <c r="C629" i="3" s="1"/>
  <c r="C615" i="3" a="1"/>
  <c r="C615" i="3" s="1"/>
  <c r="C601" i="3" a="1"/>
  <c r="C601" i="3" s="1"/>
  <c r="C587" i="3" a="1"/>
  <c r="C587" i="3" s="1"/>
  <c r="C573" i="3" a="1"/>
  <c r="C573" i="3" s="1"/>
  <c r="C559" i="3" a="1"/>
  <c r="C559" i="3" s="1"/>
  <c r="C545" i="3" a="1"/>
  <c r="C545" i="3" s="1"/>
  <c r="C805" i="3" a="1"/>
  <c r="C805" i="3" s="1"/>
  <c r="C673" i="3" a="1"/>
  <c r="C673" i="3" s="1"/>
  <c r="C669" i="3" a="1"/>
  <c r="C669" i="3" s="1"/>
  <c r="C648" i="3" a="1"/>
  <c r="C648" i="3" s="1"/>
  <c r="C634" i="3" a="1"/>
  <c r="C634" i="3" s="1"/>
  <c r="C620" i="3" a="1"/>
  <c r="C620" i="3" s="1"/>
  <c r="C606" i="3" a="1"/>
  <c r="C606" i="3" s="1"/>
  <c r="C592" i="3" a="1"/>
  <c r="C592" i="3" s="1"/>
  <c r="C578" i="3" a="1"/>
  <c r="C578" i="3" s="1"/>
  <c r="C564" i="3" a="1"/>
  <c r="C564" i="3" s="1"/>
  <c r="C550" i="3" a="1"/>
  <c r="C550" i="3" s="1"/>
  <c r="C536" i="3" a="1"/>
  <c r="C536" i="3" s="1"/>
  <c r="C522" i="3" a="1"/>
  <c r="C522" i="3" s="1"/>
  <c r="C637" i="3" a="1"/>
  <c r="C637" i="3" s="1"/>
  <c r="C591" i="3" a="1"/>
  <c r="C591" i="3" s="1"/>
  <c r="C566" i="3" a="1"/>
  <c r="C566" i="3" s="1"/>
  <c r="C479" i="3" a="1"/>
  <c r="C479" i="3" s="1"/>
  <c r="C450" i="3" a="1"/>
  <c r="C450" i="3" s="1"/>
  <c r="C446" i="3" a="1"/>
  <c r="C446" i="3" s="1"/>
  <c r="C434" i="3" a="1"/>
  <c r="C434" i="3" s="1"/>
  <c r="C413" i="3" a="1"/>
  <c r="C413" i="3" s="1"/>
  <c r="C409" i="3" a="1"/>
  <c r="C409" i="3" s="1"/>
  <c r="C393" i="3" a="1"/>
  <c r="C393" i="3" s="1"/>
  <c r="C712" i="3" a="1"/>
  <c r="C712" i="3" s="1"/>
  <c r="C612" i="3" a="1"/>
  <c r="C612" i="3" s="1"/>
  <c r="C539" i="3" a="1"/>
  <c r="C539" i="3" s="1"/>
  <c r="C511" i="3" a="1"/>
  <c r="C511" i="3" s="1"/>
  <c r="C487" i="3" a="1"/>
  <c r="C487" i="3" s="1"/>
  <c r="C483" i="3" a="1"/>
  <c r="C483" i="3" s="1"/>
  <c r="C476" i="3" a="1"/>
  <c r="C476" i="3" s="1"/>
  <c r="C458" i="3" a="1"/>
  <c r="C458" i="3" s="1"/>
  <c r="C454" i="3" a="1"/>
  <c r="C454" i="3" s="1"/>
  <c r="C442" i="3" a="1"/>
  <c r="C442" i="3" s="1"/>
  <c r="C397" i="3" a="1"/>
  <c r="C397" i="3" s="1"/>
  <c r="C660" i="3" a="1"/>
  <c r="C660" i="3" s="1"/>
  <c r="C647" i="3" a="1"/>
  <c r="C647" i="3" s="1"/>
  <c r="C622" i="3" a="1"/>
  <c r="C622" i="3" s="1"/>
  <c r="C595" i="3" a="1"/>
  <c r="C595" i="3" s="1"/>
  <c r="C549" i="3" a="1"/>
  <c r="C549" i="3" s="1"/>
  <c r="C525" i="3" a="1"/>
  <c r="C525" i="3" s="1"/>
  <c r="C498" i="3" a="1"/>
  <c r="C498" i="3" s="1"/>
  <c r="C494" i="3" a="1"/>
  <c r="C494" i="3" s="1"/>
  <c r="C465" i="3" a="1"/>
  <c r="C465" i="3" s="1"/>
  <c r="C438" i="3" a="1"/>
  <c r="C438" i="3" s="1"/>
  <c r="C430" i="3" a="1"/>
  <c r="C430" i="3" s="1"/>
  <c r="C426" i="3" a="1"/>
  <c r="C426" i="3" s="1"/>
  <c r="C422" i="3" a="1"/>
  <c r="C422" i="3" s="1"/>
  <c r="C418" i="3" a="1"/>
  <c r="C418" i="3" s="1"/>
  <c r="C664" i="3" a="1"/>
  <c r="C664" i="3" s="1"/>
  <c r="C570" i="3" a="1"/>
  <c r="C570" i="3" s="1"/>
  <c r="C517" i="3" a="1"/>
  <c r="C517" i="3" s="1"/>
  <c r="C514" i="3" a="1"/>
  <c r="C514" i="3" s="1"/>
  <c r="C508" i="3" a="1"/>
  <c r="C508" i="3" s="1"/>
  <c r="C502" i="3" a="1"/>
  <c r="C502" i="3" s="1"/>
  <c r="C491" i="3" a="1"/>
  <c r="C491" i="3" s="1"/>
  <c r="C473" i="3" a="1"/>
  <c r="C473" i="3" s="1"/>
  <c r="C469" i="3" a="1"/>
  <c r="C469" i="3" s="1"/>
  <c r="C462" i="3" a="1"/>
  <c r="C462" i="3" s="1"/>
  <c r="C447" i="3" a="1"/>
  <c r="C447" i="3" s="1"/>
  <c r="C651" i="3" a="1"/>
  <c r="C651" i="3" s="1"/>
  <c r="C605" i="3" a="1"/>
  <c r="C605" i="3" s="1"/>
  <c r="C580" i="3" a="1"/>
  <c r="C580" i="3" s="1"/>
  <c r="C553" i="3" a="1"/>
  <c r="C553" i="3" s="1"/>
  <c r="C484" i="3" a="1"/>
  <c r="C484" i="3" s="1"/>
  <c r="C480" i="3" a="1"/>
  <c r="C480" i="3" s="1"/>
  <c r="C451" i="3" a="1"/>
  <c r="C451" i="3" s="1"/>
  <c r="C435" i="3" a="1"/>
  <c r="C435" i="3" s="1"/>
  <c r="C753" i="3" a="1"/>
  <c r="C753" i="3" s="1"/>
  <c r="C679" i="3" a="1"/>
  <c r="C679" i="3" s="1"/>
  <c r="C626" i="3" a="1"/>
  <c r="C626" i="3" s="1"/>
  <c r="C488" i="3" a="1"/>
  <c r="C488" i="3" s="1"/>
  <c r="C477" i="3" a="1"/>
  <c r="C477" i="3" s="1"/>
  <c r="C459" i="3" a="1"/>
  <c r="C459" i="3" s="1"/>
  <c r="C455" i="3" a="1"/>
  <c r="C455" i="3" s="1"/>
  <c r="C439" i="3" a="1"/>
  <c r="C439" i="3" s="1"/>
  <c r="C796" i="3" a="1"/>
  <c r="C796" i="3" s="1"/>
  <c r="C636" i="3" a="1"/>
  <c r="C636" i="3" s="1"/>
  <c r="C609" i="3" a="1"/>
  <c r="C609" i="3" s="1"/>
  <c r="C563" i="3" a="1"/>
  <c r="C563" i="3" s="1"/>
  <c r="C535" i="3" a="1"/>
  <c r="C535" i="3" s="1"/>
  <c r="C512" i="3" a="1"/>
  <c r="C512" i="3" s="1"/>
  <c r="C470" i="3" a="1"/>
  <c r="C470" i="3" s="1"/>
  <c r="C466" i="3" a="1"/>
  <c r="C466" i="3" s="1"/>
  <c r="C448" i="3" a="1"/>
  <c r="C448" i="3" s="1"/>
  <c r="C427" i="3" a="1"/>
  <c r="C427" i="3" s="1"/>
  <c r="C423" i="3" a="1"/>
  <c r="C423" i="3" s="1"/>
  <c r="C407" i="3" a="1"/>
  <c r="C407" i="3" s="1"/>
  <c r="C382" i="3" a="1"/>
  <c r="C382" i="3" s="1"/>
  <c r="C374" i="3" a="1"/>
  <c r="C374" i="3" s="1"/>
  <c r="C584" i="3" a="1"/>
  <c r="C584" i="3" s="1"/>
  <c r="C528" i="3" a="1"/>
  <c r="C528" i="3" s="1"/>
  <c r="C503" i="3" a="1"/>
  <c r="C503" i="3" s="1"/>
  <c r="C492" i="3" a="1"/>
  <c r="C492" i="3" s="1"/>
  <c r="C474" i="3" a="1"/>
  <c r="C474" i="3" s="1"/>
  <c r="C463" i="3" a="1"/>
  <c r="C463" i="3" s="1"/>
  <c r="C411" i="3" a="1"/>
  <c r="C411" i="3" s="1"/>
  <c r="C678" i="3" a="1"/>
  <c r="C678" i="3" s="1"/>
  <c r="C598" i="3" a="1"/>
  <c r="C598" i="3" s="1"/>
  <c r="C521" i="3" a="1"/>
  <c r="C521" i="3" s="1"/>
  <c r="C486" i="3" a="1"/>
  <c r="C486" i="3" s="1"/>
  <c r="C482" i="3" a="1"/>
  <c r="C482" i="3" s="1"/>
  <c r="C475" i="3" a="1"/>
  <c r="C475" i="3" s="1"/>
  <c r="C464" i="3" a="1"/>
  <c r="C464" i="3" s="1"/>
  <c r="C445" i="3" a="1"/>
  <c r="C445" i="3" s="1"/>
  <c r="C433" i="3" a="1"/>
  <c r="C433" i="3" s="1"/>
  <c r="C697" i="3" a="1"/>
  <c r="C697" i="3" s="1"/>
  <c r="C633" i="3" a="1"/>
  <c r="C633" i="3" s="1"/>
  <c r="C608" i="3" a="1"/>
  <c r="C608" i="3" s="1"/>
  <c r="C581" i="3" a="1"/>
  <c r="C581" i="3" s="1"/>
  <c r="C531" i="3" a="1"/>
  <c r="C531" i="3" s="1"/>
  <c r="C516" i="3" a="1"/>
  <c r="C516" i="3" s="1"/>
  <c r="C504" i="3" a="1"/>
  <c r="C504" i="3" s="1"/>
  <c r="C493" i="3" a="1"/>
  <c r="C493" i="3" s="1"/>
  <c r="C441" i="3" a="1"/>
  <c r="C441" i="3" s="1"/>
  <c r="C437" i="3" a="1"/>
  <c r="C437" i="3" s="1"/>
  <c r="C421" i="3" a="1"/>
  <c r="C421" i="3" s="1"/>
  <c r="C396" i="3" a="1"/>
  <c r="C396" i="3" s="1"/>
  <c r="C388" i="3" a="1"/>
  <c r="C388" i="3" s="1"/>
  <c r="C384" i="3" a="1"/>
  <c r="C384" i="3" s="1"/>
  <c r="C380" i="3" a="1"/>
  <c r="C380" i="3" s="1"/>
  <c r="C851" i="3" a="1"/>
  <c r="C851" i="3" s="1"/>
  <c r="C654" i="3" a="1"/>
  <c r="C654" i="3" s="1"/>
  <c r="C556" i="3" a="1"/>
  <c r="C556" i="3" s="1"/>
  <c r="C529" i="3" a="1"/>
  <c r="C529" i="3" s="1"/>
  <c r="C507" i="3" a="1"/>
  <c r="C507" i="3" s="1"/>
  <c r="C501" i="3" a="1"/>
  <c r="C501" i="3" s="1"/>
  <c r="C497" i="3" a="1"/>
  <c r="C497" i="3" s="1"/>
  <c r="C490" i="3" a="1"/>
  <c r="C490" i="3" s="1"/>
  <c r="C472" i="3" a="1"/>
  <c r="C472" i="3" s="1"/>
  <c r="C468" i="3" a="1"/>
  <c r="C468" i="3" s="1"/>
  <c r="C496" i="3" a="1"/>
  <c r="C496" i="3" s="1"/>
  <c r="C444" i="3" a="1"/>
  <c r="C444" i="3" s="1"/>
  <c r="C390" i="3" a="1"/>
  <c r="C390" i="3" s="1"/>
  <c r="C377" i="3" a="1"/>
  <c r="C377" i="3" s="1"/>
  <c r="C359" i="3" a="1"/>
  <c r="C359" i="3" s="1"/>
  <c r="C345" i="3" a="1"/>
  <c r="C345" i="3" s="1"/>
  <c r="C331" i="3" a="1"/>
  <c r="C331" i="3" s="1"/>
  <c r="C317" i="3" a="1"/>
  <c r="C317" i="3" s="1"/>
  <c r="C303" i="3" a="1"/>
  <c r="C303" i="3" s="1"/>
  <c r="C289" i="3" a="1"/>
  <c r="C289" i="3" s="1"/>
  <c r="C275" i="3" a="1"/>
  <c r="C275" i="3" s="1"/>
  <c r="C261" i="3" a="1"/>
  <c r="C261" i="3" s="1"/>
  <c r="C247" i="3" a="1"/>
  <c r="C247" i="3" s="1"/>
  <c r="C623" i="3" a="1"/>
  <c r="C623" i="3" s="1"/>
  <c r="C489" i="3" a="1"/>
  <c r="C489" i="3" s="1"/>
  <c r="C410" i="3" a="1"/>
  <c r="C410" i="3" s="1"/>
  <c r="C399" i="3" a="1"/>
  <c r="C399" i="3" s="1"/>
  <c r="C364" i="3" a="1"/>
  <c r="C364" i="3" s="1"/>
  <c r="C350" i="3" a="1"/>
  <c r="C350" i="3" s="1"/>
  <c r="C336" i="3" a="1"/>
  <c r="C336" i="3" s="1"/>
  <c r="C322" i="3" a="1"/>
  <c r="C322" i="3" s="1"/>
  <c r="C308" i="3" a="1"/>
  <c r="C308" i="3" s="1"/>
  <c r="C294" i="3" a="1"/>
  <c r="C294" i="3" s="1"/>
  <c r="C280" i="3" a="1"/>
  <c r="C280" i="3" s="1"/>
  <c r="C266" i="3" a="1"/>
  <c r="C266" i="3" s="1"/>
  <c r="C594" i="3" a="1"/>
  <c r="C594" i="3" s="1"/>
  <c r="C500" i="3" a="1"/>
  <c r="C500" i="3" s="1"/>
  <c r="C424" i="3" a="1"/>
  <c r="C424" i="3" s="1"/>
  <c r="C420" i="3" a="1"/>
  <c r="C420" i="3" s="1"/>
  <c r="C405" i="3" a="1"/>
  <c r="C405" i="3" s="1"/>
  <c r="C402" i="3" a="1"/>
  <c r="C402" i="3" s="1"/>
  <c r="C381" i="3" a="1"/>
  <c r="C381" i="3" s="1"/>
  <c r="C369" i="3" a="1"/>
  <c r="C369" i="3" s="1"/>
  <c r="C355" i="3" a="1"/>
  <c r="C355" i="3" s="1"/>
  <c r="C341" i="3" a="1"/>
  <c r="C341" i="3" s="1"/>
  <c r="C327" i="3" a="1"/>
  <c r="C327" i="3" s="1"/>
  <c r="C313" i="3" a="1"/>
  <c r="C313" i="3" s="1"/>
  <c r="C542" i="3" a="1"/>
  <c r="C542" i="3" s="1"/>
  <c r="C461" i="3" a="1"/>
  <c r="C461" i="3" s="1"/>
  <c r="C452" i="3" a="1"/>
  <c r="C452" i="3" s="1"/>
  <c r="C431" i="3" a="1"/>
  <c r="C431" i="3" s="1"/>
  <c r="C378" i="3" a="1"/>
  <c r="C378" i="3" s="1"/>
  <c r="C360" i="3" a="1"/>
  <c r="C360" i="3" s="1"/>
  <c r="C346" i="3" a="1"/>
  <c r="C346" i="3" s="1"/>
  <c r="C332" i="3" a="1"/>
  <c r="C332" i="3" s="1"/>
  <c r="C318" i="3" a="1"/>
  <c r="C318" i="3" s="1"/>
  <c r="C304" i="3" a="1"/>
  <c r="C304" i="3" s="1"/>
  <c r="C290" i="3" a="1"/>
  <c r="C290" i="3" s="1"/>
  <c r="C276" i="3" a="1"/>
  <c r="C276" i="3" s="1"/>
  <c r="C262" i="3" a="1"/>
  <c r="C262" i="3" s="1"/>
  <c r="C408" i="3" a="1"/>
  <c r="C408" i="3" s="1"/>
  <c r="C391" i="3" a="1"/>
  <c r="C391" i="3" s="1"/>
  <c r="C365" i="3" a="1"/>
  <c r="C365" i="3" s="1"/>
  <c r="C351" i="3" a="1"/>
  <c r="C351" i="3" s="1"/>
  <c r="C337" i="3" a="1"/>
  <c r="C337" i="3" s="1"/>
  <c r="C323" i="3" a="1"/>
  <c r="C323" i="3" s="1"/>
  <c r="C309" i="3" a="1"/>
  <c r="C309" i="3" s="1"/>
  <c r="C295" i="3" a="1"/>
  <c r="C295" i="3" s="1"/>
  <c r="C281" i="3" a="1"/>
  <c r="C281" i="3" s="1"/>
  <c r="C267" i="3" a="1"/>
  <c r="C267" i="3" s="1"/>
  <c r="C253" i="3" a="1"/>
  <c r="C253" i="3" s="1"/>
  <c r="C239" i="3" a="1"/>
  <c r="C239" i="3" s="1"/>
  <c r="C225" i="3" a="1"/>
  <c r="C225" i="3" s="1"/>
  <c r="C659" i="3" a="1"/>
  <c r="C659" i="3" s="1"/>
  <c r="C552" i="3" a="1"/>
  <c r="C552" i="3" s="1"/>
  <c r="C524" i="3" a="1"/>
  <c r="C524" i="3" s="1"/>
  <c r="C394" i="3" a="1"/>
  <c r="C394" i="3" s="1"/>
  <c r="C370" i="3" a="1"/>
  <c r="C370" i="3" s="1"/>
  <c r="C356" i="3" a="1"/>
  <c r="C356" i="3" s="1"/>
  <c r="C342" i="3" a="1"/>
  <c r="C342" i="3" s="1"/>
  <c r="C328" i="3" a="1"/>
  <c r="C328" i="3" s="1"/>
  <c r="C314" i="3" a="1"/>
  <c r="C314" i="3" s="1"/>
  <c r="C300" i="3" a="1"/>
  <c r="C300" i="3" s="1"/>
  <c r="C286" i="3" a="1"/>
  <c r="C286" i="3" s="1"/>
  <c r="C782" i="3" a="1"/>
  <c r="C782" i="3" s="1"/>
  <c r="C416" i="3" a="1"/>
  <c r="C416" i="3" s="1"/>
  <c r="C403" i="3" a="1"/>
  <c r="C403" i="3" s="1"/>
  <c r="C400" i="3" a="1"/>
  <c r="C400" i="3" s="1"/>
  <c r="C385" i="3" a="1"/>
  <c r="C385" i="3" s="1"/>
  <c r="C361" i="3" a="1"/>
  <c r="C361" i="3" s="1"/>
  <c r="C347" i="3" a="1"/>
  <c r="C347" i="3" s="1"/>
  <c r="C333" i="3" a="1"/>
  <c r="C333" i="3" s="1"/>
  <c r="C319" i="3" a="1"/>
  <c r="C319" i="3" s="1"/>
  <c r="C305" i="3" a="1"/>
  <c r="C305" i="3" s="1"/>
  <c r="C291" i="3" a="1"/>
  <c r="C291" i="3" s="1"/>
  <c r="C277" i="3" a="1"/>
  <c r="C277" i="3" s="1"/>
  <c r="C263" i="3" a="1"/>
  <c r="C263" i="3" s="1"/>
  <c r="C249" i="3" a="1"/>
  <c r="C249" i="3" s="1"/>
  <c r="C674" i="3" a="1"/>
  <c r="C674" i="3" s="1"/>
  <c r="C567" i="3" a="1"/>
  <c r="C567" i="3" s="1"/>
  <c r="C414" i="3" a="1"/>
  <c r="C414" i="3" s="1"/>
  <c r="C375" i="3" a="1"/>
  <c r="C375" i="3" s="1"/>
  <c r="C371" i="3" a="1"/>
  <c r="C371" i="3" s="1"/>
  <c r="C357" i="3" a="1"/>
  <c r="C357" i="3" s="1"/>
  <c r="C343" i="3" a="1"/>
  <c r="C343" i="3" s="1"/>
  <c r="C329" i="3" a="1"/>
  <c r="C329" i="3" s="1"/>
  <c r="C315" i="3" a="1"/>
  <c r="C315" i="3" s="1"/>
  <c r="C301" i="3" a="1"/>
  <c r="C301" i="3" s="1"/>
  <c r="C287" i="3" a="1"/>
  <c r="C287" i="3" s="1"/>
  <c r="C273" i="3" a="1"/>
  <c r="C273" i="3" s="1"/>
  <c r="C259" i="3" a="1"/>
  <c r="C259" i="3" s="1"/>
  <c r="C245" i="3" a="1"/>
  <c r="C245" i="3" s="1"/>
  <c r="C640" i="3" a="1"/>
  <c r="C640" i="3" s="1"/>
  <c r="C619" i="3" a="1"/>
  <c r="C619" i="3" s="1"/>
  <c r="C577" i="3" a="1"/>
  <c r="C577" i="3" s="1"/>
  <c r="C398" i="3" a="1"/>
  <c r="C398" i="3" s="1"/>
  <c r="C392" i="3" a="1"/>
  <c r="C392" i="3" s="1"/>
  <c r="C362" i="3" a="1"/>
  <c r="C362" i="3" s="1"/>
  <c r="C348" i="3" a="1"/>
  <c r="C348" i="3" s="1"/>
  <c r="C334" i="3" a="1"/>
  <c r="C334" i="3" s="1"/>
  <c r="C320" i="3" a="1"/>
  <c r="C320" i="3" s="1"/>
  <c r="C306" i="3" a="1"/>
  <c r="C306" i="3" s="1"/>
  <c r="C292" i="3" a="1"/>
  <c r="C292" i="3" s="1"/>
  <c r="C278" i="3" a="1"/>
  <c r="C278" i="3" s="1"/>
  <c r="C264" i="3" a="1"/>
  <c r="C264" i="3" s="1"/>
  <c r="C250" i="3" a="1"/>
  <c r="C250" i="3" s="1"/>
  <c r="C236" i="3" a="1"/>
  <c r="C236" i="3" s="1"/>
  <c r="C650" i="3" a="1"/>
  <c r="C650" i="3" s="1"/>
  <c r="C538" i="3" a="1"/>
  <c r="C538" i="3" s="1"/>
  <c r="C417" i="3" a="1"/>
  <c r="C417" i="3" s="1"/>
  <c r="C412" i="3" a="1"/>
  <c r="C412" i="3" s="1"/>
  <c r="C404" i="3" a="1"/>
  <c r="C404" i="3" s="1"/>
  <c r="C386" i="3" a="1"/>
  <c r="C386" i="3" s="1"/>
  <c r="C383" i="3" a="1"/>
  <c r="C383" i="3" s="1"/>
  <c r="C376" i="3" a="1"/>
  <c r="C376" i="3" s="1"/>
  <c r="C372" i="3" a="1"/>
  <c r="C372" i="3" s="1"/>
  <c r="C358" i="3" a="1"/>
  <c r="C358" i="3" s="1"/>
  <c r="C344" i="3" a="1"/>
  <c r="C344" i="3" s="1"/>
  <c r="C330" i="3" a="1"/>
  <c r="C330" i="3" s="1"/>
  <c r="C316" i="3" a="1"/>
  <c r="C316" i="3" s="1"/>
  <c r="C302" i="3" a="1"/>
  <c r="C302" i="3" s="1"/>
  <c r="C288" i="3" a="1"/>
  <c r="C288" i="3" s="1"/>
  <c r="C274" i="3" a="1"/>
  <c r="C274" i="3" s="1"/>
  <c r="C260" i="3" a="1"/>
  <c r="C260" i="3" s="1"/>
  <c r="C478" i="3" a="1"/>
  <c r="C478" i="3" s="1"/>
  <c r="C440" i="3" a="1"/>
  <c r="C440" i="3" s="1"/>
  <c r="C428" i="3" a="1"/>
  <c r="C428" i="3" s="1"/>
  <c r="C363" i="3" a="1"/>
  <c r="C363" i="3" s="1"/>
  <c r="C349" i="3" a="1"/>
  <c r="C349" i="3" s="1"/>
  <c r="C335" i="3" a="1"/>
  <c r="C335" i="3" s="1"/>
  <c r="C321" i="3" a="1"/>
  <c r="C321" i="3" s="1"/>
  <c r="C307" i="3" a="1"/>
  <c r="C307" i="3" s="1"/>
  <c r="C293" i="3" a="1"/>
  <c r="C293" i="3" s="1"/>
  <c r="C279" i="3" a="1"/>
  <c r="C279" i="3" s="1"/>
  <c r="C265" i="3" a="1"/>
  <c r="C265" i="3" s="1"/>
  <c r="C251" i="3" a="1"/>
  <c r="C251" i="3" s="1"/>
  <c r="C425" i="3" a="1"/>
  <c r="C425" i="3" s="1"/>
  <c r="C242" i="3" a="1"/>
  <c r="C242" i="3" s="1"/>
  <c r="C238" i="3" a="1"/>
  <c r="C238" i="3" s="1"/>
  <c r="C234" i="3" a="1"/>
  <c r="C234" i="3" s="1"/>
  <c r="C226" i="3" a="1"/>
  <c r="C226" i="3" s="1"/>
  <c r="C222" i="3" a="1"/>
  <c r="C222" i="3" s="1"/>
  <c r="C208" i="3" a="1"/>
  <c r="C208" i="3" s="1"/>
  <c r="C194" i="3" a="1"/>
  <c r="C194" i="3" s="1"/>
  <c r="C180" i="3" a="1"/>
  <c r="C180" i="3" s="1"/>
  <c r="C166" i="3" a="1"/>
  <c r="C166" i="3" s="1"/>
  <c r="C368" i="3" a="1"/>
  <c r="C368" i="3" s="1"/>
  <c r="C339" i="3" a="1"/>
  <c r="C339" i="3" s="1"/>
  <c r="C310" i="3" a="1"/>
  <c r="C310" i="3" s="1"/>
  <c r="C283" i="3" a="1"/>
  <c r="C283" i="3" s="1"/>
  <c r="C213" i="3" a="1"/>
  <c r="C213" i="3" s="1"/>
  <c r="C199" i="3" a="1"/>
  <c r="C199" i="3" s="1"/>
  <c r="C185" i="3" a="1"/>
  <c r="C185" i="3" s="1"/>
  <c r="C171" i="3" a="1"/>
  <c r="C171" i="3" s="1"/>
  <c r="C157" i="3" a="1"/>
  <c r="C157" i="3" s="1"/>
  <c r="C143" i="3" a="1"/>
  <c r="C143" i="3" s="1"/>
  <c r="C129" i="3" a="1"/>
  <c r="C129" i="3" s="1"/>
  <c r="C115" i="3" a="1"/>
  <c r="C115" i="3" s="1"/>
  <c r="C285" i="3" a="1"/>
  <c r="C285" i="3" s="1"/>
  <c r="C231" i="3" a="1"/>
  <c r="C231" i="3" s="1"/>
  <c r="C218" i="3" a="1"/>
  <c r="C218" i="3" s="1"/>
  <c r="C204" i="3" a="1"/>
  <c r="C204" i="3" s="1"/>
  <c r="C190" i="3" a="1"/>
  <c r="C190" i="3" s="1"/>
  <c r="C176" i="3" a="1"/>
  <c r="C176" i="3" s="1"/>
  <c r="C162" i="3" a="1"/>
  <c r="C162" i="3" s="1"/>
  <c r="C148" i="3" a="1"/>
  <c r="C148" i="3" s="1"/>
  <c r="C134" i="3" a="1"/>
  <c r="C134" i="3" s="1"/>
  <c r="C432" i="3" a="1"/>
  <c r="C432" i="3" s="1"/>
  <c r="C352" i="3" a="1"/>
  <c r="C352" i="3" s="1"/>
  <c r="C312" i="3" a="1"/>
  <c r="C312" i="3" s="1"/>
  <c r="C269" i="3" a="1"/>
  <c r="C269" i="3" s="1"/>
  <c r="C248" i="3" a="1"/>
  <c r="C248" i="3" s="1"/>
  <c r="C235" i="3" a="1"/>
  <c r="C235" i="3" s="1"/>
  <c r="C227" i="3" a="1"/>
  <c r="C227" i="3" s="1"/>
  <c r="C209" i="3" a="1"/>
  <c r="C209" i="3" s="1"/>
  <c r="C195" i="3" a="1"/>
  <c r="C195" i="3" s="1"/>
  <c r="C181" i="3" a="1"/>
  <c r="C181" i="3" s="1"/>
  <c r="C460" i="3" a="1"/>
  <c r="C460" i="3" s="1"/>
  <c r="C379" i="3" a="1"/>
  <c r="C379" i="3" s="1"/>
  <c r="C297" i="3" a="1"/>
  <c r="C297" i="3" s="1"/>
  <c r="C271" i="3" a="1"/>
  <c r="C271" i="3" s="1"/>
  <c r="C258" i="3" a="1"/>
  <c r="C258" i="3" s="1"/>
  <c r="C256" i="3" a="1"/>
  <c r="C256" i="3" s="1"/>
  <c r="C223" i="3" a="1"/>
  <c r="C223" i="3" s="1"/>
  <c r="C214" i="3" a="1"/>
  <c r="C214" i="3" s="1"/>
  <c r="C200" i="3" a="1"/>
  <c r="C200" i="3" s="1"/>
  <c r="C186" i="3" a="1"/>
  <c r="C186" i="3" s="1"/>
  <c r="C172" i="3" a="1"/>
  <c r="C172" i="3" s="1"/>
  <c r="C158" i="3" a="1"/>
  <c r="C158" i="3" s="1"/>
  <c r="C144" i="3" a="1"/>
  <c r="C144" i="3" s="1"/>
  <c r="C130" i="3" a="1"/>
  <c r="C130" i="3" s="1"/>
  <c r="C116" i="3" a="1"/>
  <c r="C116" i="3" s="1"/>
  <c r="C419" i="3" a="1"/>
  <c r="C419" i="3" s="1"/>
  <c r="C395" i="3" a="1"/>
  <c r="C395" i="3" s="1"/>
  <c r="C354" i="3" a="1"/>
  <c r="C354" i="3" s="1"/>
  <c r="C325" i="3" a="1"/>
  <c r="C325" i="3" s="1"/>
  <c r="C254" i="3" a="1"/>
  <c r="C254" i="3" s="1"/>
  <c r="C243" i="3" a="1"/>
  <c r="C243" i="3" s="1"/>
  <c r="C219" i="3" a="1"/>
  <c r="C219" i="3" s="1"/>
  <c r="C205" i="3" a="1"/>
  <c r="C205" i="3" s="1"/>
  <c r="C299" i="3" a="1"/>
  <c r="C299" i="3" s="1"/>
  <c r="C246" i="3" a="1"/>
  <c r="C246" i="3" s="1"/>
  <c r="C232" i="3" a="1"/>
  <c r="C232" i="3" s="1"/>
  <c r="C228" i="3" a="1"/>
  <c r="C228" i="3" s="1"/>
  <c r="C210" i="3" a="1"/>
  <c r="C210" i="3" s="1"/>
  <c r="C196" i="3" a="1"/>
  <c r="C196" i="3" s="1"/>
  <c r="C182" i="3" a="1"/>
  <c r="C182" i="3" s="1"/>
  <c r="C168" i="3" a="1"/>
  <c r="C168" i="3" s="1"/>
  <c r="C154" i="3" a="1"/>
  <c r="C154" i="3" s="1"/>
  <c r="C140" i="3" a="1"/>
  <c r="C140" i="3" s="1"/>
  <c r="C126" i="3" a="1"/>
  <c r="C126" i="3" s="1"/>
  <c r="C510" i="3" a="1"/>
  <c r="C510" i="3" s="1"/>
  <c r="C367" i="3" a="1"/>
  <c r="C367" i="3" s="1"/>
  <c r="C338" i="3" a="1"/>
  <c r="C338" i="3" s="1"/>
  <c r="C252" i="3" a="1"/>
  <c r="C252" i="3" s="1"/>
  <c r="C240" i="3" a="1"/>
  <c r="C240" i="3" s="1"/>
  <c r="C224" i="3" a="1"/>
  <c r="C224" i="3" s="1"/>
  <c r="C215" i="3" a="1"/>
  <c r="C215" i="3" s="1"/>
  <c r="C201" i="3" a="1"/>
  <c r="C201" i="3" s="1"/>
  <c r="C187" i="3" a="1"/>
  <c r="C187" i="3" s="1"/>
  <c r="C173" i="3" a="1"/>
  <c r="C173" i="3" s="1"/>
  <c r="C159" i="3" a="1"/>
  <c r="C159" i="3" s="1"/>
  <c r="C145" i="3" a="1"/>
  <c r="C145" i="3" s="1"/>
  <c r="C131" i="3" a="1"/>
  <c r="C131" i="3" s="1"/>
  <c r="C353" i="3" a="1"/>
  <c r="C353" i="3" s="1"/>
  <c r="C324" i="3" a="1"/>
  <c r="C324" i="3" s="1"/>
  <c r="C296" i="3" a="1"/>
  <c r="C296" i="3" s="1"/>
  <c r="C255" i="3" a="1"/>
  <c r="C255" i="3" s="1"/>
  <c r="C237" i="3" a="1"/>
  <c r="C237" i="3" s="1"/>
  <c r="C221" i="3" a="1"/>
  <c r="C221" i="3" s="1"/>
  <c r="C207" i="3" a="1"/>
  <c r="C207" i="3" s="1"/>
  <c r="C193" i="3" a="1"/>
  <c r="C193" i="3" s="1"/>
  <c r="C179" i="3" a="1"/>
  <c r="C179" i="3" s="1"/>
  <c r="C165" i="3" a="1"/>
  <c r="C165" i="3" s="1"/>
  <c r="C151" i="3" a="1"/>
  <c r="C151" i="3" s="1"/>
  <c r="C137" i="3" a="1"/>
  <c r="C137" i="3" s="1"/>
  <c r="C123" i="3" a="1"/>
  <c r="C123" i="3" s="1"/>
  <c r="C109" i="3" a="1"/>
  <c r="C109" i="3" s="1"/>
  <c r="C456" i="3" a="1"/>
  <c r="C456" i="3" s="1"/>
  <c r="C389" i="3" a="1"/>
  <c r="C389" i="3" s="1"/>
  <c r="C298" i="3" a="1"/>
  <c r="C298" i="3" s="1"/>
  <c r="C272" i="3" a="1"/>
  <c r="C272" i="3" s="1"/>
  <c r="C257" i="3" a="1"/>
  <c r="C257" i="3" s="1"/>
  <c r="C230" i="3" a="1"/>
  <c r="C230" i="3" s="1"/>
  <c r="C212" i="3" a="1"/>
  <c r="C212" i="3" s="1"/>
  <c r="C198" i="3" a="1"/>
  <c r="C198" i="3" s="1"/>
  <c r="C184" i="3" a="1"/>
  <c r="C184" i="3" s="1"/>
  <c r="C170" i="3" a="1"/>
  <c r="C170" i="3" s="1"/>
  <c r="C156" i="3" a="1"/>
  <c r="C156" i="3" s="1"/>
  <c r="C142" i="3" a="1"/>
  <c r="C142" i="3" s="1"/>
  <c r="C366" i="3" a="1"/>
  <c r="C366" i="3" s="1"/>
  <c r="C326" i="3" a="1"/>
  <c r="C326" i="3" s="1"/>
  <c r="C217" i="3" a="1"/>
  <c r="C217" i="3" s="1"/>
  <c r="C203" i="3" a="1"/>
  <c r="C203" i="3" s="1"/>
  <c r="C189" i="3" a="1"/>
  <c r="C189" i="3" s="1"/>
  <c r="C175" i="3" a="1"/>
  <c r="C175" i="3" s="1"/>
  <c r="C161" i="3" a="1"/>
  <c r="C161" i="3" s="1"/>
  <c r="C147" i="3" a="1"/>
  <c r="C147" i="3" s="1"/>
  <c r="C133" i="3" a="1"/>
  <c r="C133" i="3" s="1"/>
  <c r="C119" i="3" a="1"/>
  <c r="C119" i="3" s="1"/>
  <c r="C105" i="3" a="1"/>
  <c r="C105" i="3" s="1"/>
  <c r="C233" i="3" a="1"/>
  <c r="C233" i="3" s="1"/>
  <c r="C206" i="3" a="1"/>
  <c r="C206" i="3" s="1"/>
  <c r="C114" i="3" a="1"/>
  <c r="C114" i="3" s="1"/>
  <c r="C93" i="3" a="1"/>
  <c r="C93" i="3" s="1"/>
  <c r="C79" i="3" a="1"/>
  <c r="C79" i="3" s="1"/>
  <c r="C65" i="3" a="1"/>
  <c r="C65" i="3" s="1"/>
  <c r="C311" i="3" a="1"/>
  <c r="C311" i="3" s="1"/>
  <c r="C183" i="3" a="1"/>
  <c r="C183" i="3" s="1"/>
  <c r="C117" i="3" a="1"/>
  <c r="C117" i="3" s="1"/>
  <c r="C111" i="3" a="1"/>
  <c r="C111" i="3" s="1"/>
  <c r="C107" i="3" a="1"/>
  <c r="C107" i="3" s="1"/>
  <c r="C98" i="3" a="1"/>
  <c r="C98" i="3" s="1"/>
  <c r="C84" i="3" a="1"/>
  <c r="C84" i="3" s="1"/>
  <c r="C70" i="3" a="1"/>
  <c r="C70" i="3" s="1"/>
  <c r="C56" i="3" a="1"/>
  <c r="C56" i="3" s="1"/>
  <c r="C42" i="3" a="1"/>
  <c r="C42" i="3" s="1"/>
  <c r="C28" i="3" a="1"/>
  <c r="C28" i="3" s="1"/>
  <c r="C14" i="3" a="1"/>
  <c r="C14" i="3" s="1"/>
  <c r="C191" i="3" a="1"/>
  <c r="C191" i="3" s="1"/>
  <c r="C169" i="3" a="1"/>
  <c r="C169" i="3" s="1"/>
  <c r="C167" i="3" a="1"/>
  <c r="C167" i="3" s="1"/>
  <c r="C163" i="3" a="1"/>
  <c r="C163" i="3" s="1"/>
  <c r="C150" i="3" a="1"/>
  <c r="C150" i="3" s="1"/>
  <c r="C103" i="3" a="1"/>
  <c r="C103" i="3" s="1"/>
  <c r="C89" i="3" a="1"/>
  <c r="C89" i="3" s="1"/>
  <c r="C75" i="3" a="1"/>
  <c r="C75" i="3" s="1"/>
  <c r="C61" i="3" a="1"/>
  <c r="C61" i="3" s="1"/>
  <c r="C47" i="3" a="1"/>
  <c r="C47" i="3" s="1"/>
  <c r="C282" i="3" a="1"/>
  <c r="C282" i="3" s="1"/>
  <c r="C244" i="3" a="1"/>
  <c r="C244" i="3" s="1"/>
  <c r="C152" i="3" a="1"/>
  <c r="C152" i="3" s="1"/>
  <c r="C141" i="3" a="1"/>
  <c r="C141" i="3" s="1"/>
  <c r="C121" i="3" a="1"/>
  <c r="C121" i="3" s="1"/>
  <c r="C94" i="3" a="1"/>
  <c r="C94" i="3" s="1"/>
  <c r="C80" i="3" a="1"/>
  <c r="C80" i="3" s="1"/>
  <c r="C66" i="3" a="1"/>
  <c r="C66" i="3" s="1"/>
  <c r="C52" i="3" a="1"/>
  <c r="C52" i="3" s="1"/>
  <c r="C38" i="3" a="1"/>
  <c r="C38" i="3" s="1"/>
  <c r="C24" i="3" a="1"/>
  <c r="C24" i="3" s="1"/>
  <c r="C10" i="3" a="1"/>
  <c r="C10" i="3" s="1"/>
  <c r="C139" i="3" a="1"/>
  <c r="C139" i="3" s="1"/>
  <c r="C108" i="3" a="1"/>
  <c r="C108" i="3" s="1"/>
  <c r="C99" i="3" a="1"/>
  <c r="C99" i="3" s="1"/>
  <c r="C85" i="3" a="1"/>
  <c r="C85" i="3" s="1"/>
  <c r="C71" i="3" a="1"/>
  <c r="C71" i="3" s="1"/>
  <c r="C57" i="3" a="1"/>
  <c r="C57" i="3" s="1"/>
  <c r="C43" i="3" a="1"/>
  <c r="C43" i="3" s="1"/>
  <c r="C29" i="3" a="1"/>
  <c r="C29" i="3" s="1"/>
  <c r="C340" i="3" a="1"/>
  <c r="C340" i="3" s="1"/>
  <c r="C197" i="3" a="1"/>
  <c r="C197" i="3" s="1"/>
  <c r="C132" i="3" a="1"/>
  <c r="C132" i="3" s="1"/>
  <c r="C118" i="3" a="1"/>
  <c r="C118" i="3" s="1"/>
  <c r="C112" i="3" a="1"/>
  <c r="C112" i="3" s="1"/>
  <c r="C104" i="3" a="1"/>
  <c r="C104" i="3" s="1"/>
  <c r="C90" i="3" a="1"/>
  <c r="C90" i="3" s="1"/>
  <c r="C76" i="3" a="1"/>
  <c r="C76" i="3" s="1"/>
  <c r="C62" i="3" a="1"/>
  <c r="C62" i="3" s="1"/>
  <c r="C48" i="3" a="1"/>
  <c r="C48" i="3" s="1"/>
  <c r="C34" i="3" a="1"/>
  <c r="C34" i="3" s="1"/>
  <c r="C284" i="3" a="1"/>
  <c r="C284" i="3" s="1"/>
  <c r="C178" i="3" a="1"/>
  <c r="C178" i="3" s="1"/>
  <c r="C146" i="3" a="1"/>
  <c r="C146" i="3" s="1"/>
  <c r="C124" i="3" a="1"/>
  <c r="C124" i="3" s="1"/>
  <c r="C95" i="3" a="1"/>
  <c r="C95" i="3" s="1"/>
  <c r="C81" i="3" a="1"/>
  <c r="C81" i="3" s="1"/>
  <c r="C67" i="3" a="1"/>
  <c r="C67" i="3" s="1"/>
  <c r="C53" i="3" a="1"/>
  <c r="C53" i="3" s="1"/>
  <c r="C39" i="3" a="1"/>
  <c r="C39" i="3" s="1"/>
  <c r="C25" i="3" a="1"/>
  <c r="C25" i="3" s="1"/>
  <c r="C739" i="3" a="1"/>
  <c r="C739" i="3" s="1"/>
  <c r="C241" i="3" a="1"/>
  <c r="C241" i="3" s="1"/>
  <c r="C135" i="3" a="1"/>
  <c r="C135" i="3" s="1"/>
  <c r="C127" i="3" a="1"/>
  <c r="C127" i="3" s="1"/>
  <c r="C100" i="3" a="1"/>
  <c r="C100" i="3" s="1"/>
  <c r="C86" i="3" a="1"/>
  <c r="C86" i="3" s="1"/>
  <c r="C72" i="3" a="1"/>
  <c r="C72" i="3" s="1"/>
  <c r="C436" i="3" a="1"/>
  <c r="C436" i="3" s="1"/>
  <c r="C216" i="3" a="1"/>
  <c r="C216" i="3" s="1"/>
  <c r="C174" i="3" a="1"/>
  <c r="C174" i="3" s="1"/>
  <c r="C164" i="3" a="1"/>
  <c r="C164" i="3" s="1"/>
  <c r="C122" i="3" a="1"/>
  <c r="C122" i="3" s="1"/>
  <c r="C91" i="3" a="1"/>
  <c r="C91" i="3" s="1"/>
  <c r="C77" i="3" a="1"/>
  <c r="C77" i="3" s="1"/>
  <c r="C406" i="3" a="1"/>
  <c r="C406" i="3" s="1"/>
  <c r="C268" i="3" a="1"/>
  <c r="C268" i="3" s="1"/>
  <c r="C192" i="3" a="1"/>
  <c r="C192" i="3" s="1"/>
  <c r="C188" i="3" a="1"/>
  <c r="C188" i="3" s="1"/>
  <c r="C155" i="3" a="1"/>
  <c r="C155" i="3" s="1"/>
  <c r="C153" i="3" a="1"/>
  <c r="C153" i="3" s="1"/>
  <c r="C113" i="3" a="1"/>
  <c r="C113" i="3" s="1"/>
  <c r="C96" i="3" a="1"/>
  <c r="C96" i="3" s="1"/>
  <c r="C82" i="3" a="1"/>
  <c r="C82" i="3" s="1"/>
  <c r="C68" i="3" a="1"/>
  <c r="C68" i="3" s="1"/>
  <c r="C449" i="3" a="1"/>
  <c r="C449" i="3" s="1"/>
  <c r="C229" i="3" a="1"/>
  <c r="C229" i="3" s="1"/>
  <c r="C211" i="3" a="1"/>
  <c r="C211" i="3" s="1"/>
  <c r="C125" i="3" a="1"/>
  <c r="C125" i="3" s="1"/>
  <c r="C110" i="3" a="1"/>
  <c r="C110" i="3" s="1"/>
  <c r="C92" i="3" a="1"/>
  <c r="C92" i="3" s="1"/>
  <c r="C78" i="3" a="1"/>
  <c r="C78" i="3" s="1"/>
  <c r="C64" i="3" a="1"/>
  <c r="C64" i="3" s="1"/>
  <c r="C50" i="3" a="1"/>
  <c r="C50" i="3" s="1"/>
  <c r="C36" i="3" a="1"/>
  <c r="C36" i="3" s="1"/>
  <c r="C22" i="3" a="1"/>
  <c r="C22" i="3" s="1"/>
  <c r="C8" i="3" a="1"/>
  <c r="C8" i="3" s="1"/>
  <c r="C526" i="3" a="1"/>
  <c r="C526" i="3" s="1"/>
  <c r="C515" i="3" a="1"/>
  <c r="C515" i="3" s="1"/>
  <c r="C270" i="3" a="1"/>
  <c r="C270" i="3" s="1"/>
  <c r="C160" i="3" a="1"/>
  <c r="C160" i="3" s="1"/>
  <c r="C138" i="3" a="1"/>
  <c r="C138" i="3" s="1"/>
  <c r="C136" i="3" a="1"/>
  <c r="C136" i="3" s="1"/>
  <c r="C128" i="3" a="1"/>
  <c r="C128" i="3" s="1"/>
  <c r="C120" i="3" a="1"/>
  <c r="C120" i="3" s="1"/>
  <c r="C106" i="3" a="1"/>
  <c r="C106" i="3" s="1"/>
  <c r="C97" i="3" a="1"/>
  <c r="C97" i="3" s="1"/>
  <c r="C83" i="3" a="1"/>
  <c r="C83" i="3" s="1"/>
  <c r="C69" i="3" a="1"/>
  <c r="C69" i="3" s="1"/>
  <c r="C55" i="3" a="1"/>
  <c r="C55" i="3" s="1"/>
  <c r="C177" i="3" a="1"/>
  <c r="C177" i="3" s="1"/>
  <c r="C74" i="3" a="1"/>
  <c r="C74" i="3" s="1"/>
  <c r="C49" i="3" a="1"/>
  <c r="C49" i="3" s="1"/>
  <c r="C32" i="3" a="1"/>
  <c r="C32" i="3" s="1"/>
  <c r="C23" i="3" a="1"/>
  <c r="C23" i="3" s="1"/>
  <c r="C88" i="3" a="1"/>
  <c r="C88" i="3" s="1"/>
  <c r="C54" i="3" a="1"/>
  <c r="C54" i="3" s="1"/>
  <c r="C27" i="3" a="1"/>
  <c r="C27" i="3" s="1"/>
  <c r="C17" i="3" a="1"/>
  <c r="C17" i="3" s="1"/>
  <c r="C102" i="3" a="1"/>
  <c r="C102" i="3" s="1"/>
  <c r="C45" i="3" a="1"/>
  <c r="C45" i="3" s="1"/>
  <c r="C35" i="3" a="1"/>
  <c r="C35" i="3" s="1"/>
  <c r="C21" i="3" a="1"/>
  <c r="C21" i="3" s="1"/>
  <c r="C73" i="3" a="1"/>
  <c r="C73" i="3" s="1"/>
  <c r="C63" i="3" a="1"/>
  <c r="C63" i="3" s="1"/>
  <c r="C59" i="3" a="1"/>
  <c r="C59" i="3" s="1"/>
  <c r="C87" i="3" a="1"/>
  <c r="C87" i="3" s="1"/>
  <c r="C41" i="3" a="1"/>
  <c r="C41" i="3" s="1"/>
  <c r="C31" i="3" a="1"/>
  <c r="C31" i="3" s="1"/>
  <c r="C4" i="3" a="1"/>
  <c r="C4" i="3" s="1"/>
  <c r="C149" i="3" a="1"/>
  <c r="C149" i="3" s="1"/>
  <c r="C44" i="3" a="1"/>
  <c r="C44" i="3" s="1"/>
  <c r="C20" i="3" a="1"/>
  <c r="C20" i="3" s="1"/>
  <c r="C58" i="3" a="1"/>
  <c r="C58" i="3" s="1"/>
  <c r="C18" i="3" a="1"/>
  <c r="C18" i="3" s="1"/>
  <c r="C60" i="3" a="1"/>
  <c r="C60" i="3" s="1"/>
  <c r="C46" i="3" a="1"/>
  <c r="C46" i="3" s="1"/>
  <c r="C202" i="3" a="1"/>
  <c r="C202" i="3" s="1"/>
  <c r="C37" i="3" a="1"/>
  <c r="C37" i="3" s="1"/>
  <c r="C220" i="3" a="1"/>
  <c r="C220" i="3" s="1"/>
  <c r="C51" i="3" a="1"/>
  <c r="C51" i="3" s="1"/>
  <c r="C13" i="3" a="1"/>
  <c r="C13" i="3" s="1"/>
  <c r="C9" i="3" a="1"/>
  <c r="C9" i="3" s="1"/>
  <c r="C101" i="3" a="1"/>
  <c r="C101" i="3" s="1"/>
  <c r="C30" i="3" a="1"/>
  <c r="C30" i="3" s="1"/>
  <c r="C26" i="3" a="1"/>
  <c r="C26" i="3" s="1"/>
  <c r="C19" i="3" a="1"/>
  <c r="C19" i="3" s="1"/>
  <c r="C7" i="3" a="1"/>
  <c r="C7" i="3" s="1"/>
  <c r="C6" i="3" a="1"/>
  <c r="C6" i="3" s="1"/>
  <c r="C33" i="3" a="1"/>
  <c r="C33" i="3" s="1"/>
  <c r="C40" i="3" a="1"/>
  <c r="C40" i="3" s="1"/>
  <c r="C5" i="3" a="1"/>
  <c r="C5" i="3" s="1"/>
  <c r="C3" i="3" a="1"/>
  <c r="C3" i="3" s="1"/>
  <c r="C16" i="3" a="1"/>
  <c r="C16" i="3" s="1"/>
  <c r="C11" i="3" a="1"/>
  <c r="C11" i="3" s="1"/>
  <c r="C12" i="3" a="1"/>
  <c r="C12" i="3" s="1"/>
  <c r="H990" i="3" a="1"/>
  <c r="H990" i="3" s="1"/>
  <c r="C990" i="2" s="1"/>
  <c r="H976" i="3" a="1"/>
  <c r="H976" i="3" s="1"/>
  <c r="C976" i="2" s="1"/>
  <c r="H962" i="3" a="1"/>
  <c r="H962" i="3" s="1"/>
  <c r="C962" i="2" s="1"/>
  <c r="H948" i="3" a="1"/>
  <c r="H948" i="3" s="1"/>
  <c r="C948" i="2" s="1"/>
  <c r="H934" i="3" a="1"/>
  <c r="H934" i="3" s="1"/>
  <c r="C934" i="2" s="1"/>
  <c r="H920" i="3" a="1"/>
  <c r="H920" i="3" s="1"/>
  <c r="C920" i="2" s="1"/>
  <c r="H906" i="3" a="1"/>
  <c r="H906" i="3" s="1"/>
  <c r="C906" i="2" s="1"/>
  <c r="H892" i="3" a="1"/>
  <c r="H892" i="3" s="1"/>
  <c r="C892" i="2" s="1"/>
  <c r="H878" i="3" a="1"/>
  <c r="H878" i="3" s="1"/>
  <c r="C878" i="2" s="1"/>
  <c r="H864" i="3" a="1"/>
  <c r="H864" i="3" s="1"/>
  <c r="C864" i="2" s="1"/>
  <c r="H850" i="3" a="1"/>
  <c r="H850" i="3" s="1"/>
  <c r="C850" i="2" s="1"/>
  <c r="H836" i="3" a="1"/>
  <c r="H836" i="3" s="1"/>
  <c r="C836" i="2" s="1"/>
  <c r="H822" i="3" a="1"/>
  <c r="H822" i="3" s="1"/>
  <c r="C822" i="2" s="1"/>
  <c r="H808" i="3" a="1"/>
  <c r="H808" i="3" s="1"/>
  <c r="C808" i="2" s="1"/>
  <c r="H1000" i="3" a="1"/>
  <c r="H1000" i="3" s="1"/>
  <c r="C1000" i="2" s="1"/>
  <c r="H986" i="3" a="1"/>
  <c r="H986" i="3" s="1"/>
  <c r="C986" i="2" s="1"/>
  <c r="H972" i="3" a="1"/>
  <c r="H972" i="3" s="1"/>
  <c r="C972" i="2" s="1"/>
  <c r="H958" i="3" a="1"/>
  <c r="H958" i="3" s="1"/>
  <c r="C958" i="2" s="1"/>
  <c r="H944" i="3" a="1"/>
  <c r="H944" i="3" s="1"/>
  <c r="C944" i="2" s="1"/>
  <c r="H930" i="3" a="1"/>
  <c r="H930" i="3" s="1"/>
  <c r="C930" i="2" s="1"/>
  <c r="H916" i="3" a="1"/>
  <c r="H916" i="3" s="1"/>
  <c r="C916" i="2" s="1"/>
  <c r="H902" i="3" a="1"/>
  <c r="H902" i="3" s="1"/>
  <c r="C902" i="2" s="1"/>
  <c r="H888" i="3" a="1"/>
  <c r="H888" i="3" s="1"/>
  <c r="C888" i="2" s="1"/>
  <c r="H874" i="3" a="1"/>
  <c r="H874" i="3" s="1"/>
  <c r="C874" i="2" s="1"/>
  <c r="H860" i="3" a="1"/>
  <c r="H860" i="3" s="1"/>
  <c r="C860" i="2" s="1"/>
  <c r="H846" i="3" a="1"/>
  <c r="H846" i="3" s="1"/>
  <c r="C846" i="2" s="1"/>
  <c r="H832" i="3" a="1"/>
  <c r="H832" i="3" s="1"/>
  <c r="C832" i="2" s="1"/>
  <c r="H818" i="3" a="1"/>
  <c r="H818" i="3" s="1"/>
  <c r="C818" i="2" s="1"/>
  <c r="H991" i="3" a="1"/>
  <c r="H991" i="3" s="1"/>
  <c r="C991" i="2" s="1"/>
  <c r="H977" i="3" a="1"/>
  <c r="H977" i="3" s="1"/>
  <c r="C977" i="2" s="1"/>
  <c r="H963" i="3" a="1"/>
  <c r="H963" i="3" s="1"/>
  <c r="C963" i="2" s="1"/>
  <c r="H949" i="3" a="1"/>
  <c r="H949" i="3" s="1"/>
  <c r="C949" i="2" s="1"/>
  <c r="H935" i="3" a="1"/>
  <c r="H935" i="3" s="1"/>
  <c r="C935" i="2" s="1"/>
  <c r="H921" i="3" a="1"/>
  <c r="H921" i="3" s="1"/>
  <c r="C921" i="2" s="1"/>
  <c r="H907" i="3" a="1"/>
  <c r="H907" i="3" s="1"/>
  <c r="C907" i="2" s="1"/>
  <c r="H893" i="3" a="1"/>
  <c r="H893" i="3" s="1"/>
  <c r="C893" i="2" s="1"/>
  <c r="H879" i="3" a="1"/>
  <c r="H879" i="3" s="1"/>
  <c r="C879" i="2" s="1"/>
  <c r="H865" i="3" a="1"/>
  <c r="H865" i="3" s="1"/>
  <c r="C865" i="2" s="1"/>
  <c r="H851" i="3" a="1"/>
  <c r="H851" i="3" s="1"/>
  <c r="C851" i="2" s="1"/>
  <c r="H837" i="3" a="1"/>
  <c r="H837" i="3" s="1"/>
  <c r="C837" i="2" s="1"/>
  <c r="H823" i="3" a="1"/>
  <c r="H823" i="3" s="1"/>
  <c r="C823" i="2" s="1"/>
  <c r="H987" i="3" a="1"/>
  <c r="H987" i="3" s="1"/>
  <c r="C987" i="2" s="1"/>
  <c r="H973" i="3" a="1"/>
  <c r="H973" i="3" s="1"/>
  <c r="C973" i="2" s="1"/>
  <c r="H959" i="3" a="1"/>
  <c r="H959" i="3" s="1"/>
  <c r="C959" i="2" s="1"/>
  <c r="H945" i="3" a="1"/>
  <c r="H945" i="3" s="1"/>
  <c r="C945" i="2" s="1"/>
  <c r="H931" i="3" a="1"/>
  <c r="H931" i="3" s="1"/>
  <c r="C931" i="2" s="1"/>
  <c r="H917" i="3" a="1"/>
  <c r="H917" i="3" s="1"/>
  <c r="C917" i="2" s="1"/>
  <c r="H903" i="3" a="1"/>
  <c r="H903" i="3" s="1"/>
  <c r="C903" i="2" s="1"/>
  <c r="H889" i="3" a="1"/>
  <c r="H889" i="3" s="1"/>
  <c r="C889" i="2" s="1"/>
  <c r="H875" i="3" a="1"/>
  <c r="H875" i="3" s="1"/>
  <c r="C875" i="2" s="1"/>
  <c r="H861" i="3" a="1"/>
  <c r="H861" i="3" s="1"/>
  <c r="C861" i="2" s="1"/>
  <c r="H847" i="3" a="1"/>
  <c r="H847" i="3" s="1"/>
  <c r="C847" i="2" s="1"/>
  <c r="H833" i="3" a="1"/>
  <c r="H833" i="3" s="1"/>
  <c r="C833" i="2" s="1"/>
  <c r="H819" i="3" a="1"/>
  <c r="H819" i="3" s="1"/>
  <c r="C819" i="2" s="1"/>
  <c r="H992" i="3" a="1"/>
  <c r="H992" i="3" s="1"/>
  <c r="C992" i="2" s="1"/>
  <c r="H978" i="3" a="1"/>
  <c r="H978" i="3" s="1"/>
  <c r="C978" i="2" s="1"/>
  <c r="H964" i="3" a="1"/>
  <c r="H964" i="3" s="1"/>
  <c r="C964" i="2" s="1"/>
  <c r="H950" i="3" a="1"/>
  <c r="H950" i="3" s="1"/>
  <c r="C950" i="2" s="1"/>
  <c r="H936" i="3" a="1"/>
  <c r="H936" i="3" s="1"/>
  <c r="C936" i="2" s="1"/>
  <c r="H922" i="3" a="1"/>
  <c r="H922" i="3" s="1"/>
  <c r="C922" i="2" s="1"/>
  <c r="H908" i="3" a="1"/>
  <c r="H908" i="3" s="1"/>
  <c r="C908" i="2" s="1"/>
  <c r="H894" i="3" a="1"/>
  <c r="H894" i="3" s="1"/>
  <c r="C894" i="2" s="1"/>
  <c r="H880" i="3" a="1"/>
  <c r="H880" i="3" s="1"/>
  <c r="C880" i="2" s="1"/>
  <c r="H866" i="3" a="1"/>
  <c r="H866" i="3" s="1"/>
  <c r="C866" i="2" s="1"/>
  <c r="H852" i="3" a="1"/>
  <c r="H852" i="3" s="1"/>
  <c r="C852" i="2" s="1"/>
  <c r="H838" i="3" a="1"/>
  <c r="H838" i="3" s="1"/>
  <c r="C838" i="2" s="1"/>
  <c r="H824" i="3" a="1"/>
  <c r="H824" i="3" s="1"/>
  <c r="C824" i="2" s="1"/>
  <c r="H810" i="3" a="1"/>
  <c r="H810" i="3" s="1"/>
  <c r="C810" i="2" s="1"/>
  <c r="H997" i="3" a="1"/>
  <c r="H997" i="3" s="1"/>
  <c r="C997" i="2" s="1"/>
  <c r="H983" i="3" a="1"/>
  <c r="H983" i="3" s="1"/>
  <c r="C983" i="2" s="1"/>
  <c r="H969" i="3" a="1"/>
  <c r="H969" i="3" s="1"/>
  <c r="C969" i="2" s="1"/>
  <c r="H955" i="3" a="1"/>
  <c r="H955" i="3" s="1"/>
  <c r="C955" i="2" s="1"/>
  <c r="H941" i="3" a="1"/>
  <c r="H941" i="3" s="1"/>
  <c r="C941" i="2" s="1"/>
  <c r="H927" i="3" a="1"/>
  <c r="H927" i="3" s="1"/>
  <c r="C927" i="2" s="1"/>
  <c r="H913" i="3" a="1"/>
  <c r="H913" i="3" s="1"/>
  <c r="C913" i="2" s="1"/>
  <c r="H899" i="3" a="1"/>
  <c r="H899" i="3" s="1"/>
  <c r="C899" i="2" s="1"/>
  <c r="H885" i="3" a="1"/>
  <c r="H885" i="3" s="1"/>
  <c r="C885" i="2" s="1"/>
  <c r="H871" i="3" a="1"/>
  <c r="H871" i="3" s="1"/>
  <c r="C871" i="2" s="1"/>
  <c r="H857" i="3" a="1"/>
  <c r="H857" i="3" s="1"/>
  <c r="C857" i="2" s="1"/>
  <c r="H843" i="3" a="1"/>
  <c r="H843" i="3" s="1"/>
  <c r="C843" i="2" s="1"/>
  <c r="H829" i="3" a="1"/>
  <c r="H829" i="3" s="1"/>
  <c r="C829" i="2" s="1"/>
  <c r="H815" i="3" a="1"/>
  <c r="H815" i="3" s="1"/>
  <c r="C815" i="2" s="1"/>
  <c r="H993" i="3" a="1"/>
  <c r="H993" i="3" s="1"/>
  <c r="C993" i="2" s="1"/>
  <c r="H979" i="3" a="1"/>
  <c r="H979" i="3" s="1"/>
  <c r="C979" i="2" s="1"/>
  <c r="H965" i="3" a="1"/>
  <c r="H965" i="3" s="1"/>
  <c r="C965" i="2" s="1"/>
  <c r="H951" i="3" a="1"/>
  <c r="H951" i="3" s="1"/>
  <c r="C951" i="2" s="1"/>
  <c r="H937" i="3" a="1"/>
  <c r="H937" i="3" s="1"/>
  <c r="C937" i="2" s="1"/>
  <c r="H923" i="3" a="1"/>
  <c r="H923" i="3" s="1"/>
  <c r="C923" i="2" s="1"/>
  <c r="H909" i="3" a="1"/>
  <c r="H909" i="3" s="1"/>
  <c r="C909" i="2" s="1"/>
  <c r="H895" i="3" a="1"/>
  <c r="H895" i="3" s="1"/>
  <c r="C895" i="2" s="1"/>
  <c r="H881" i="3" a="1"/>
  <c r="H881" i="3" s="1"/>
  <c r="C881" i="2" s="1"/>
  <c r="H867" i="3" a="1"/>
  <c r="H867" i="3" s="1"/>
  <c r="C867" i="2" s="1"/>
  <c r="H853" i="3" a="1"/>
  <c r="H853" i="3" s="1"/>
  <c r="C853" i="2" s="1"/>
  <c r="H839" i="3" a="1"/>
  <c r="H839" i="3" s="1"/>
  <c r="C839" i="2" s="1"/>
  <c r="H825" i="3" a="1"/>
  <c r="H825" i="3" s="1"/>
  <c r="C825" i="2" s="1"/>
  <c r="H998" i="3" a="1"/>
  <c r="H998" i="3" s="1"/>
  <c r="C998" i="2" s="1"/>
  <c r="H984" i="3" a="1"/>
  <c r="H984" i="3" s="1"/>
  <c r="C984" i="2" s="1"/>
  <c r="H970" i="3" a="1"/>
  <c r="H970" i="3" s="1"/>
  <c r="C970" i="2" s="1"/>
  <c r="H956" i="3" a="1"/>
  <c r="H956" i="3" s="1"/>
  <c r="C956" i="2" s="1"/>
  <c r="H942" i="3" a="1"/>
  <c r="H942" i="3" s="1"/>
  <c r="C942" i="2" s="1"/>
  <c r="H928" i="3" a="1"/>
  <c r="H928" i="3" s="1"/>
  <c r="C928" i="2" s="1"/>
  <c r="H914" i="3" a="1"/>
  <c r="H914" i="3" s="1"/>
  <c r="C914" i="2" s="1"/>
  <c r="H900" i="3" a="1"/>
  <c r="H900" i="3" s="1"/>
  <c r="C900" i="2" s="1"/>
  <c r="H886" i="3" a="1"/>
  <c r="H886" i="3" s="1"/>
  <c r="C886" i="2" s="1"/>
  <c r="H872" i="3" a="1"/>
  <c r="H872" i="3" s="1"/>
  <c r="C872" i="2" s="1"/>
  <c r="H858" i="3" a="1"/>
  <c r="H858" i="3" s="1"/>
  <c r="C858" i="2" s="1"/>
  <c r="H844" i="3" a="1"/>
  <c r="H844" i="3" s="1"/>
  <c r="C844" i="2" s="1"/>
  <c r="H830" i="3" a="1"/>
  <c r="H830" i="3" s="1"/>
  <c r="C830" i="2" s="1"/>
  <c r="H816" i="3" a="1"/>
  <c r="H816" i="3" s="1"/>
  <c r="C816" i="2" s="1"/>
  <c r="H989" i="3" a="1"/>
  <c r="H989" i="3" s="1"/>
  <c r="C989" i="2" s="1"/>
  <c r="H975" i="3" a="1"/>
  <c r="H975" i="3" s="1"/>
  <c r="C975" i="2" s="1"/>
  <c r="H961" i="3" a="1"/>
  <c r="H961" i="3" s="1"/>
  <c r="C961" i="2" s="1"/>
  <c r="H947" i="3" a="1"/>
  <c r="H947" i="3" s="1"/>
  <c r="C947" i="2" s="1"/>
  <c r="H933" i="3" a="1"/>
  <c r="H933" i="3" s="1"/>
  <c r="C933" i="2" s="1"/>
  <c r="H919" i="3" a="1"/>
  <c r="H919" i="3" s="1"/>
  <c r="C919" i="2" s="1"/>
  <c r="H905" i="3" a="1"/>
  <c r="H905" i="3" s="1"/>
  <c r="C905" i="2" s="1"/>
  <c r="H891" i="3" a="1"/>
  <c r="H891" i="3" s="1"/>
  <c r="C891" i="2" s="1"/>
  <c r="H877" i="3" a="1"/>
  <c r="H877" i="3" s="1"/>
  <c r="C877" i="2" s="1"/>
  <c r="H863" i="3" a="1"/>
  <c r="H863" i="3" s="1"/>
  <c r="C863" i="2" s="1"/>
  <c r="H849" i="3" a="1"/>
  <c r="H849" i="3" s="1"/>
  <c r="C849" i="2" s="1"/>
  <c r="H835" i="3" a="1"/>
  <c r="H835" i="3" s="1"/>
  <c r="C835" i="2" s="1"/>
  <c r="H821" i="3" a="1"/>
  <c r="H821" i="3" s="1"/>
  <c r="C821" i="2" s="1"/>
  <c r="H807" i="3" a="1"/>
  <c r="H807" i="3" s="1"/>
  <c r="C807" i="2" s="1"/>
  <c r="H994" i="3" a="1"/>
  <c r="H994" i="3" s="1"/>
  <c r="C994" i="2" s="1"/>
  <c r="H980" i="3" a="1"/>
  <c r="H980" i="3" s="1"/>
  <c r="C980" i="2" s="1"/>
  <c r="H966" i="3" a="1"/>
  <c r="H966" i="3" s="1"/>
  <c r="C966" i="2" s="1"/>
  <c r="H952" i="3" a="1"/>
  <c r="H952" i="3" s="1"/>
  <c r="C952" i="2" s="1"/>
  <c r="H938" i="3" a="1"/>
  <c r="H938" i="3" s="1"/>
  <c r="C938" i="2" s="1"/>
  <c r="H924" i="3" a="1"/>
  <c r="H924" i="3" s="1"/>
  <c r="C924" i="2" s="1"/>
  <c r="H910" i="3" a="1"/>
  <c r="H910" i="3" s="1"/>
  <c r="C910" i="2" s="1"/>
  <c r="H896" i="3" a="1"/>
  <c r="H896" i="3" s="1"/>
  <c r="C896" i="2" s="1"/>
  <c r="H882" i="3" a="1"/>
  <c r="H882" i="3" s="1"/>
  <c r="C882" i="2" s="1"/>
  <c r="H868" i="3" a="1"/>
  <c r="H868" i="3" s="1"/>
  <c r="C868" i="2" s="1"/>
  <c r="H854" i="3" a="1"/>
  <c r="H854" i="3" s="1"/>
  <c r="C854" i="2" s="1"/>
  <c r="H840" i="3" a="1"/>
  <c r="H840" i="3" s="1"/>
  <c r="C840" i="2" s="1"/>
  <c r="H999" i="3" a="1"/>
  <c r="H999" i="3" s="1"/>
  <c r="C999" i="2" s="1"/>
  <c r="H985" i="3" a="1"/>
  <c r="H985" i="3" s="1"/>
  <c r="C985" i="2" s="1"/>
  <c r="H971" i="3" a="1"/>
  <c r="H971" i="3" s="1"/>
  <c r="C971" i="2" s="1"/>
  <c r="H957" i="3" a="1"/>
  <c r="H957" i="3" s="1"/>
  <c r="C957" i="2" s="1"/>
  <c r="H943" i="3" a="1"/>
  <c r="H943" i="3" s="1"/>
  <c r="C943" i="2" s="1"/>
  <c r="H929" i="3" a="1"/>
  <c r="H929" i="3" s="1"/>
  <c r="C929" i="2" s="1"/>
  <c r="H915" i="3" a="1"/>
  <c r="H915" i="3" s="1"/>
  <c r="C915" i="2" s="1"/>
  <c r="H901" i="3" a="1"/>
  <c r="H901" i="3" s="1"/>
  <c r="C901" i="2" s="1"/>
  <c r="H887" i="3" a="1"/>
  <c r="H887" i="3" s="1"/>
  <c r="C887" i="2" s="1"/>
  <c r="H873" i="3" a="1"/>
  <c r="H873" i="3" s="1"/>
  <c r="C873" i="2" s="1"/>
  <c r="H859" i="3" a="1"/>
  <c r="H859" i="3" s="1"/>
  <c r="C859" i="2" s="1"/>
  <c r="H845" i="3" a="1"/>
  <c r="H845" i="3" s="1"/>
  <c r="C845" i="2" s="1"/>
  <c r="H831" i="3" a="1"/>
  <c r="H831" i="3" s="1"/>
  <c r="C831" i="2" s="1"/>
  <c r="H817" i="3" a="1"/>
  <c r="H817" i="3" s="1"/>
  <c r="C817" i="2" s="1"/>
  <c r="H939" i="3" a="1"/>
  <c r="H939" i="3" s="1"/>
  <c r="C939" i="2" s="1"/>
  <c r="H841" i="3" a="1"/>
  <c r="H841" i="3" s="1"/>
  <c r="C841" i="2" s="1"/>
  <c r="H812" i="3" a="1"/>
  <c r="H812" i="3" s="1"/>
  <c r="C812" i="2" s="1"/>
  <c r="H798" i="3" a="1"/>
  <c r="H798" i="3" s="1"/>
  <c r="C798" i="2" s="1"/>
  <c r="H784" i="3" a="1"/>
  <c r="H784" i="3" s="1"/>
  <c r="C784" i="2" s="1"/>
  <c r="H770" i="3" a="1"/>
  <c r="H770" i="3" s="1"/>
  <c r="C770" i="2" s="1"/>
  <c r="H756" i="3" a="1"/>
  <c r="H756" i="3" s="1"/>
  <c r="C756" i="2" s="1"/>
  <c r="H742" i="3" a="1"/>
  <c r="H742" i="3" s="1"/>
  <c r="C742" i="2" s="1"/>
  <c r="H728" i="3" a="1"/>
  <c r="H728" i="3" s="1"/>
  <c r="C728" i="2" s="1"/>
  <c r="H714" i="3" a="1"/>
  <c r="H714" i="3" s="1"/>
  <c r="C714" i="2" s="1"/>
  <c r="H700" i="3" a="1"/>
  <c r="H700" i="3" s="1"/>
  <c r="C700" i="2" s="1"/>
  <c r="H686" i="3" a="1"/>
  <c r="H686" i="3" s="1"/>
  <c r="C686" i="2" s="1"/>
  <c r="H988" i="3" a="1"/>
  <c r="H988" i="3" s="1"/>
  <c r="C988" i="2" s="1"/>
  <c r="H912" i="3" a="1"/>
  <c r="H912" i="3" s="1"/>
  <c r="C912" i="2" s="1"/>
  <c r="H890" i="3" a="1"/>
  <c r="H890" i="3" s="1"/>
  <c r="C890" i="2" s="1"/>
  <c r="H826" i="3" a="1"/>
  <c r="H826" i="3" s="1"/>
  <c r="C826" i="2" s="1"/>
  <c r="H803" i="3" a="1"/>
  <c r="H803" i="3" s="1"/>
  <c r="C803" i="2" s="1"/>
  <c r="H789" i="3" a="1"/>
  <c r="H789" i="3" s="1"/>
  <c r="C789" i="2" s="1"/>
  <c r="H775" i="3" a="1"/>
  <c r="H775" i="3" s="1"/>
  <c r="C775" i="2" s="1"/>
  <c r="H761" i="3" a="1"/>
  <c r="H761" i="3" s="1"/>
  <c r="C761" i="2" s="1"/>
  <c r="H747" i="3" a="1"/>
  <c r="H747" i="3" s="1"/>
  <c r="C747" i="2" s="1"/>
  <c r="H733" i="3" a="1"/>
  <c r="H733" i="3" s="1"/>
  <c r="C733" i="2" s="1"/>
  <c r="H719" i="3" a="1"/>
  <c r="H719" i="3" s="1"/>
  <c r="C719" i="2" s="1"/>
  <c r="H705" i="3" a="1"/>
  <c r="H705" i="3" s="1"/>
  <c r="C705" i="2" s="1"/>
  <c r="H691" i="3" a="1"/>
  <c r="H691" i="3" s="1"/>
  <c r="C691" i="2" s="1"/>
  <c r="H981" i="3" a="1"/>
  <c r="H981" i="3" s="1"/>
  <c r="C981" i="2" s="1"/>
  <c r="H883" i="3" a="1"/>
  <c r="H883" i="3" s="1"/>
  <c r="C883" i="2" s="1"/>
  <c r="H828" i="3" a="1"/>
  <c r="H828" i="3" s="1"/>
  <c r="C828" i="2" s="1"/>
  <c r="H820" i="3" a="1"/>
  <c r="H820" i="3" s="1"/>
  <c r="C820" i="2" s="1"/>
  <c r="H794" i="3" a="1"/>
  <c r="H794" i="3" s="1"/>
  <c r="C794" i="2" s="1"/>
  <c r="H780" i="3" a="1"/>
  <c r="H780" i="3" s="1"/>
  <c r="C780" i="2" s="1"/>
  <c r="H766" i="3" a="1"/>
  <c r="H766" i="3" s="1"/>
  <c r="C766" i="2" s="1"/>
  <c r="H752" i="3" a="1"/>
  <c r="H752" i="3" s="1"/>
  <c r="C752" i="2" s="1"/>
  <c r="H738" i="3" a="1"/>
  <c r="H738" i="3" s="1"/>
  <c r="C738" i="2" s="1"/>
  <c r="H724" i="3" a="1"/>
  <c r="H724" i="3" s="1"/>
  <c r="C724" i="2" s="1"/>
  <c r="H710" i="3" a="1"/>
  <c r="H710" i="3" s="1"/>
  <c r="C710" i="2" s="1"/>
  <c r="H696" i="3" a="1"/>
  <c r="H696" i="3" s="1"/>
  <c r="C696" i="2" s="1"/>
  <c r="H682" i="3" a="1"/>
  <c r="H682" i="3" s="1"/>
  <c r="C682" i="2" s="1"/>
  <c r="H668" i="3" a="1"/>
  <c r="H668" i="3" s="1"/>
  <c r="C668" i="2" s="1"/>
  <c r="H954" i="3" a="1"/>
  <c r="H954" i="3" s="1"/>
  <c r="C954" i="2" s="1"/>
  <c r="H932" i="3" a="1"/>
  <c r="H932" i="3" s="1"/>
  <c r="C932" i="2" s="1"/>
  <c r="H856" i="3" a="1"/>
  <c r="H856" i="3" s="1"/>
  <c r="C856" i="2" s="1"/>
  <c r="H799" i="3" a="1"/>
  <c r="H799" i="3" s="1"/>
  <c r="C799" i="2" s="1"/>
  <c r="H785" i="3" a="1"/>
  <c r="H785" i="3" s="1"/>
  <c r="C785" i="2" s="1"/>
  <c r="H771" i="3" a="1"/>
  <c r="H771" i="3" s="1"/>
  <c r="C771" i="2" s="1"/>
  <c r="H757" i="3" a="1"/>
  <c r="H757" i="3" s="1"/>
  <c r="C757" i="2" s="1"/>
  <c r="H743" i="3" a="1"/>
  <c r="H743" i="3" s="1"/>
  <c r="C743" i="2" s="1"/>
  <c r="H729" i="3" a="1"/>
  <c r="H729" i="3" s="1"/>
  <c r="C729" i="2" s="1"/>
  <c r="H715" i="3" a="1"/>
  <c r="H715" i="3" s="1"/>
  <c r="C715" i="2" s="1"/>
  <c r="H701" i="3" a="1"/>
  <c r="H701" i="3" s="1"/>
  <c r="C701" i="2" s="1"/>
  <c r="H687" i="3" a="1"/>
  <c r="H687" i="3" s="1"/>
  <c r="C687" i="2" s="1"/>
  <c r="H925" i="3" a="1"/>
  <c r="H925" i="3" s="1"/>
  <c r="C925" i="2" s="1"/>
  <c r="H804" i="3" a="1"/>
  <c r="H804" i="3" s="1"/>
  <c r="C804" i="2" s="1"/>
  <c r="H790" i="3" a="1"/>
  <c r="H790" i="3" s="1"/>
  <c r="C790" i="2" s="1"/>
  <c r="H776" i="3" a="1"/>
  <c r="H776" i="3" s="1"/>
  <c r="C776" i="2" s="1"/>
  <c r="H762" i="3" a="1"/>
  <c r="H762" i="3" s="1"/>
  <c r="C762" i="2" s="1"/>
  <c r="H748" i="3" a="1"/>
  <c r="H748" i="3" s="1"/>
  <c r="C748" i="2" s="1"/>
  <c r="H734" i="3" a="1"/>
  <c r="H734" i="3" s="1"/>
  <c r="C734" i="2" s="1"/>
  <c r="H720" i="3" a="1"/>
  <c r="H720" i="3" s="1"/>
  <c r="C720" i="2" s="1"/>
  <c r="H706" i="3" a="1"/>
  <c r="H706" i="3" s="1"/>
  <c r="C706" i="2" s="1"/>
  <c r="H692" i="3" a="1"/>
  <c r="H692" i="3" s="1"/>
  <c r="C692" i="2" s="1"/>
  <c r="H678" i="3" a="1"/>
  <c r="H678" i="3" s="1"/>
  <c r="C678" i="2" s="1"/>
  <c r="H974" i="3" a="1"/>
  <c r="H974" i="3" s="1"/>
  <c r="C974" i="2" s="1"/>
  <c r="H898" i="3" a="1"/>
  <c r="H898" i="3" s="1"/>
  <c r="C898" i="2" s="1"/>
  <c r="H876" i="3" a="1"/>
  <c r="H876" i="3" s="1"/>
  <c r="C876" i="2" s="1"/>
  <c r="H795" i="3" a="1"/>
  <c r="H795" i="3" s="1"/>
  <c r="C795" i="2" s="1"/>
  <c r="H781" i="3" a="1"/>
  <c r="H781" i="3" s="1"/>
  <c r="C781" i="2" s="1"/>
  <c r="H767" i="3" a="1"/>
  <c r="H767" i="3" s="1"/>
  <c r="C767" i="2" s="1"/>
  <c r="H753" i="3" a="1"/>
  <c r="H753" i="3" s="1"/>
  <c r="C753" i="2" s="1"/>
  <c r="H739" i="3" a="1"/>
  <c r="H739" i="3" s="1"/>
  <c r="C739" i="2" s="1"/>
  <c r="H725" i="3" a="1"/>
  <c r="H725" i="3" s="1"/>
  <c r="C725" i="2" s="1"/>
  <c r="H711" i="3" a="1"/>
  <c r="H711" i="3" s="1"/>
  <c r="C711" i="2" s="1"/>
  <c r="H697" i="3" a="1"/>
  <c r="H697" i="3" s="1"/>
  <c r="C697" i="2" s="1"/>
  <c r="H683" i="3" a="1"/>
  <c r="H683" i="3" s="1"/>
  <c r="C683" i="2" s="1"/>
  <c r="H967" i="3" a="1"/>
  <c r="H967" i="3" s="1"/>
  <c r="C967" i="2" s="1"/>
  <c r="H869" i="3" a="1"/>
  <c r="H869" i="3" s="1"/>
  <c r="C869" i="2" s="1"/>
  <c r="H834" i="3" a="1"/>
  <c r="H834" i="3" s="1"/>
  <c r="C834" i="2" s="1"/>
  <c r="H813" i="3" a="1"/>
  <c r="H813" i="3" s="1"/>
  <c r="C813" i="2" s="1"/>
  <c r="H800" i="3" a="1"/>
  <c r="H800" i="3" s="1"/>
  <c r="C800" i="2" s="1"/>
  <c r="H786" i="3" a="1"/>
  <c r="H786" i="3" s="1"/>
  <c r="C786" i="2" s="1"/>
  <c r="H772" i="3" a="1"/>
  <c r="H772" i="3" s="1"/>
  <c r="C772" i="2" s="1"/>
  <c r="H758" i="3" a="1"/>
  <c r="H758" i="3" s="1"/>
  <c r="C758" i="2" s="1"/>
  <c r="H744" i="3" a="1"/>
  <c r="H744" i="3" s="1"/>
  <c r="C744" i="2" s="1"/>
  <c r="H730" i="3" a="1"/>
  <c r="H730" i="3" s="1"/>
  <c r="C730" i="2" s="1"/>
  <c r="H716" i="3" a="1"/>
  <c r="H716" i="3" s="1"/>
  <c r="C716" i="2" s="1"/>
  <c r="H702" i="3" a="1"/>
  <c r="H702" i="3" s="1"/>
  <c r="C702" i="2" s="1"/>
  <c r="H996" i="3" a="1"/>
  <c r="H996" i="3" s="1"/>
  <c r="C996" i="2" s="1"/>
  <c r="H940" i="3" a="1"/>
  <c r="H940" i="3" s="1"/>
  <c r="C940" i="2" s="1"/>
  <c r="H918" i="3" a="1"/>
  <c r="H918" i="3" s="1"/>
  <c r="C918" i="2" s="1"/>
  <c r="H842" i="3" a="1"/>
  <c r="H842" i="3" s="1"/>
  <c r="C842" i="2" s="1"/>
  <c r="H791" i="3" a="1"/>
  <c r="H791" i="3" s="1"/>
  <c r="C791" i="2" s="1"/>
  <c r="H777" i="3" a="1"/>
  <c r="H777" i="3" s="1"/>
  <c r="C777" i="2" s="1"/>
  <c r="H763" i="3" a="1"/>
  <c r="H763" i="3" s="1"/>
  <c r="C763" i="2" s="1"/>
  <c r="H749" i="3" a="1"/>
  <c r="H749" i="3" s="1"/>
  <c r="C749" i="2" s="1"/>
  <c r="H735" i="3" a="1"/>
  <c r="H735" i="3" s="1"/>
  <c r="C735" i="2" s="1"/>
  <c r="H721" i="3" a="1"/>
  <c r="H721" i="3" s="1"/>
  <c r="C721" i="2" s="1"/>
  <c r="H707" i="3" a="1"/>
  <c r="H707" i="3" s="1"/>
  <c r="C707" i="2" s="1"/>
  <c r="H693" i="3" a="1"/>
  <c r="H693" i="3" s="1"/>
  <c r="C693" i="2" s="1"/>
  <c r="H911" i="3" a="1"/>
  <c r="H911" i="3" s="1"/>
  <c r="C911" i="2" s="1"/>
  <c r="H811" i="3" a="1"/>
  <c r="H811" i="3" s="1"/>
  <c r="C811" i="2" s="1"/>
  <c r="H805" i="3" a="1"/>
  <c r="H805" i="3" s="1"/>
  <c r="C805" i="2" s="1"/>
  <c r="H796" i="3" a="1"/>
  <c r="H796" i="3" s="1"/>
  <c r="C796" i="2" s="1"/>
  <c r="H782" i="3" a="1"/>
  <c r="H782" i="3" s="1"/>
  <c r="C782" i="2" s="1"/>
  <c r="H768" i="3" a="1"/>
  <c r="H768" i="3" s="1"/>
  <c r="C768" i="2" s="1"/>
  <c r="H754" i="3" a="1"/>
  <c r="H754" i="3" s="1"/>
  <c r="C754" i="2" s="1"/>
  <c r="H740" i="3" a="1"/>
  <c r="H740" i="3" s="1"/>
  <c r="C740" i="2" s="1"/>
  <c r="H726" i="3" a="1"/>
  <c r="H726" i="3" s="1"/>
  <c r="C726" i="2" s="1"/>
  <c r="H712" i="3" a="1"/>
  <c r="H712" i="3" s="1"/>
  <c r="C712" i="2" s="1"/>
  <c r="H698" i="3" a="1"/>
  <c r="H698" i="3" s="1"/>
  <c r="C698" i="2" s="1"/>
  <c r="H982" i="3" a="1"/>
  <c r="H982" i="3" s="1"/>
  <c r="C982" i="2" s="1"/>
  <c r="H960" i="3" a="1"/>
  <c r="H960" i="3" s="1"/>
  <c r="C960" i="2" s="1"/>
  <c r="H884" i="3" a="1"/>
  <c r="H884" i="3" s="1"/>
  <c r="C884" i="2" s="1"/>
  <c r="H862" i="3" a="1"/>
  <c r="H862" i="3" s="1"/>
  <c r="C862" i="2" s="1"/>
  <c r="H827" i="3" a="1"/>
  <c r="H827" i="3" s="1"/>
  <c r="C827" i="2" s="1"/>
  <c r="H801" i="3" a="1"/>
  <c r="H801" i="3" s="1"/>
  <c r="C801" i="2" s="1"/>
  <c r="H787" i="3" a="1"/>
  <c r="H787" i="3" s="1"/>
  <c r="C787" i="2" s="1"/>
  <c r="H773" i="3" a="1"/>
  <c r="H773" i="3" s="1"/>
  <c r="C773" i="2" s="1"/>
  <c r="H759" i="3" a="1"/>
  <c r="H759" i="3" s="1"/>
  <c r="C759" i="2" s="1"/>
  <c r="H745" i="3" a="1"/>
  <c r="H745" i="3" s="1"/>
  <c r="C745" i="2" s="1"/>
  <c r="H926" i="3" a="1"/>
  <c r="H926" i="3" s="1"/>
  <c r="C926" i="2" s="1"/>
  <c r="H904" i="3" a="1"/>
  <c r="H904" i="3" s="1"/>
  <c r="C904" i="2" s="1"/>
  <c r="H797" i="3" a="1"/>
  <c r="H797" i="3" s="1"/>
  <c r="C797" i="2" s="1"/>
  <c r="H783" i="3" a="1"/>
  <c r="H783" i="3" s="1"/>
  <c r="C783" i="2" s="1"/>
  <c r="H769" i="3" a="1"/>
  <c r="H769" i="3" s="1"/>
  <c r="C769" i="2" s="1"/>
  <c r="H755" i="3" a="1"/>
  <c r="H755" i="3" s="1"/>
  <c r="C755" i="2" s="1"/>
  <c r="H741" i="3" a="1"/>
  <c r="H741" i="3" s="1"/>
  <c r="C741" i="2" s="1"/>
  <c r="H727" i="3" a="1"/>
  <c r="H727" i="3" s="1"/>
  <c r="C727" i="2" s="1"/>
  <c r="H713" i="3" a="1"/>
  <c r="H713" i="3" s="1"/>
  <c r="C713" i="2" s="1"/>
  <c r="H699" i="3" a="1"/>
  <c r="H699" i="3" s="1"/>
  <c r="C699" i="2" s="1"/>
  <c r="H897" i="3" a="1"/>
  <c r="H897" i="3" s="1"/>
  <c r="C897" i="2" s="1"/>
  <c r="H814" i="3" a="1"/>
  <c r="H814" i="3" s="1"/>
  <c r="C814" i="2" s="1"/>
  <c r="H809" i="3" a="1"/>
  <c r="H809" i="3" s="1"/>
  <c r="C809" i="2" s="1"/>
  <c r="H802" i="3" a="1"/>
  <c r="H802" i="3" s="1"/>
  <c r="C802" i="2" s="1"/>
  <c r="H788" i="3" a="1"/>
  <c r="H788" i="3" s="1"/>
  <c r="C788" i="2" s="1"/>
  <c r="H774" i="3" a="1"/>
  <c r="H774" i="3" s="1"/>
  <c r="C774" i="2" s="1"/>
  <c r="H760" i="3" a="1"/>
  <c r="H760" i="3" s="1"/>
  <c r="C760" i="2" s="1"/>
  <c r="H746" i="3" a="1"/>
  <c r="H746" i="3" s="1"/>
  <c r="C746" i="2" s="1"/>
  <c r="H732" i="3" a="1"/>
  <c r="H732" i="3" s="1"/>
  <c r="C732" i="2" s="1"/>
  <c r="H718" i="3" a="1"/>
  <c r="H718" i="3" s="1"/>
  <c r="C718" i="2" s="1"/>
  <c r="H704" i="3" a="1"/>
  <c r="H704" i="3" s="1"/>
  <c r="C704" i="2" s="1"/>
  <c r="H690" i="3" a="1"/>
  <c r="H690" i="3" s="1"/>
  <c r="C690" i="2" s="1"/>
  <c r="H695" i="3" a="1"/>
  <c r="H695" i="3" s="1"/>
  <c r="C695" i="2" s="1"/>
  <c r="H663" i="3" a="1"/>
  <c r="H663" i="3" s="1"/>
  <c r="C663" i="2" s="1"/>
  <c r="H659" i="3" a="1"/>
  <c r="H659" i="3" s="1"/>
  <c r="C659" i="2" s="1"/>
  <c r="H650" i="3" a="1"/>
  <c r="H650" i="3" s="1"/>
  <c r="C650" i="2" s="1"/>
  <c r="H636" i="3" a="1"/>
  <c r="H636" i="3" s="1"/>
  <c r="C636" i="2" s="1"/>
  <c r="H622" i="3" a="1"/>
  <c r="H622" i="3" s="1"/>
  <c r="C622" i="2" s="1"/>
  <c r="H608" i="3" a="1"/>
  <c r="H608" i="3" s="1"/>
  <c r="C608" i="2" s="1"/>
  <c r="H594" i="3" a="1"/>
  <c r="H594" i="3" s="1"/>
  <c r="C594" i="2" s="1"/>
  <c r="H580" i="3" a="1"/>
  <c r="H580" i="3" s="1"/>
  <c r="C580" i="2" s="1"/>
  <c r="H566" i="3" a="1"/>
  <c r="H566" i="3" s="1"/>
  <c r="C566" i="2" s="1"/>
  <c r="H552" i="3" a="1"/>
  <c r="H552" i="3" s="1"/>
  <c r="C552" i="2" s="1"/>
  <c r="H538" i="3" a="1"/>
  <c r="H538" i="3" s="1"/>
  <c r="C538" i="2" s="1"/>
  <c r="H524" i="3" a="1"/>
  <c r="H524" i="3" s="1"/>
  <c r="C524" i="2" s="1"/>
  <c r="H510" i="3" a="1"/>
  <c r="H510" i="3" s="1"/>
  <c r="C510" i="2" s="1"/>
  <c r="H496" i="3" a="1"/>
  <c r="H496" i="3" s="1"/>
  <c r="C496" i="2" s="1"/>
  <c r="H482" i="3" a="1"/>
  <c r="H482" i="3" s="1"/>
  <c r="C482" i="2" s="1"/>
  <c r="H468" i="3" a="1"/>
  <c r="H468" i="3" s="1"/>
  <c r="C468" i="2" s="1"/>
  <c r="H454" i="3" a="1"/>
  <c r="H454" i="3" s="1"/>
  <c r="C454" i="2" s="1"/>
  <c r="H440" i="3" a="1"/>
  <c r="H440" i="3" s="1"/>
  <c r="C440" i="2" s="1"/>
  <c r="H426" i="3" a="1"/>
  <c r="H426" i="3" s="1"/>
  <c r="C426" i="2" s="1"/>
  <c r="H412" i="3" a="1"/>
  <c r="H412" i="3" s="1"/>
  <c r="C412" i="2" s="1"/>
  <c r="H398" i="3" a="1"/>
  <c r="H398" i="3" s="1"/>
  <c r="C398" i="2" s="1"/>
  <c r="H384" i="3" a="1"/>
  <c r="H384" i="3" s="1"/>
  <c r="C384" i="2" s="1"/>
  <c r="H968" i="3" a="1"/>
  <c r="H968" i="3" s="1"/>
  <c r="C968" i="2" s="1"/>
  <c r="H778" i="3" a="1"/>
  <c r="H778" i="3" s="1"/>
  <c r="C778" i="2" s="1"/>
  <c r="H685" i="3" a="1"/>
  <c r="H685" i="3" s="1"/>
  <c r="C685" i="2" s="1"/>
  <c r="H671" i="3" a="1"/>
  <c r="H671" i="3" s="1"/>
  <c r="C671" i="2" s="1"/>
  <c r="H667" i="3" a="1"/>
  <c r="H667" i="3" s="1"/>
  <c r="C667" i="2" s="1"/>
  <c r="H655" i="3" a="1"/>
  <c r="H655" i="3" s="1"/>
  <c r="C655" i="2" s="1"/>
  <c r="H641" i="3" a="1"/>
  <c r="H641" i="3" s="1"/>
  <c r="C641" i="2" s="1"/>
  <c r="H627" i="3" a="1"/>
  <c r="H627" i="3" s="1"/>
  <c r="C627" i="2" s="1"/>
  <c r="H613" i="3" a="1"/>
  <c r="H613" i="3" s="1"/>
  <c r="C613" i="2" s="1"/>
  <c r="H599" i="3" a="1"/>
  <c r="H599" i="3" s="1"/>
  <c r="C599" i="2" s="1"/>
  <c r="H585" i="3" a="1"/>
  <c r="H585" i="3" s="1"/>
  <c r="C585" i="2" s="1"/>
  <c r="H571" i="3" a="1"/>
  <c r="H571" i="3" s="1"/>
  <c r="C571" i="2" s="1"/>
  <c r="H557" i="3" a="1"/>
  <c r="H557" i="3" s="1"/>
  <c r="C557" i="2" s="1"/>
  <c r="H543" i="3" a="1"/>
  <c r="H543" i="3" s="1"/>
  <c r="C543" i="2" s="1"/>
  <c r="H529" i="3" a="1"/>
  <c r="H529" i="3" s="1"/>
  <c r="C529" i="2" s="1"/>
  <c r="H717" i="3" a="1"/>
  <c r="H717" i="3" s="1"/>
  <c r="C717" i="2" s="1"/>
  <c r="H708" i="3" a="1"/>
  <c r="H708" i="3" s="1"/>
  <c r="C708" i="2" s="1"/>
  <c r="H675" i="3" a="1"/>
  <c r="H675" i="3" s="1"/>
  <c r="C675" i="2" s="1"/>
  <c r="H646" i="3" a="1"/>
  <c r="H646" i="3" s="1"/>
  <c r="C646" i="2" s="1"/>
  <c r="H632" i="3" a="1"/>
  <c r="H632" i="3" s="1"/>
  <c r="C632" i="2" s="1"/>
  <c r="H618" i="3" a="1"/>
  <c r="H618" i="3" s="1"/>
  <c r="C618" i="2" s="1"/>
  <c r="H604" i="3" a="1"/>
  <c r="H604" i="3" s="1"/>
  <c r="C604" i="2" s="1"/>
  <c r="H590" i="3" a="1"/>
  <c r="H590" i="3" s="1"/>
  <c r="C590" i="2" s="1"/>
  <c r="H576" i="3" a="1"/>
  <c r="H576" i="3" s="1"/>
  <c r="C576" i="2" s="1"/>
  <c r="H562" i="3" a="1"/>
  <c r="H562" i="3" s="1"/>
  <c r="C562" i="2" s="1"/>
  <c r="H548" i="3" a="1"/>
  <c r="H548" i="3" s="1"/>
  <c r="C548" i="2" s="1"/>
  <c r="H534" i="3" a="1"/>
  <c r="H534" i="3" s="1"/>
  <c r="C534" i="2" s="1"/>
  <c r="H520" i="3" a="1"/>
  <c r="H520" i="3" s="1"/>
  <c r="C520" i="2" s="1"/>
  <c r="H506" i="3" a="1"/>
  <c r="H506" i="3" s="1"/>
  <c r="C506" i="2" s="1"/>
  <c r="H492" i="3" a="1"/>
  <c r="H492" i="3" s="1"/>
  <c r="C492" i="2" s="1"/>
  <c r="H478" i="3" a="1"/>
  <c r="H478" i="3" s="1"/>
  <c r="C478" i="2" s="1"/>
  <c r="H464" i="3" a="1"/>
  <c r="H464" i="3" s="1"/>
  <c r="C464" i="2" s="1"/>
  <c r="H656" i="3" a="1"/>
  <c r="H656" i="3" s="1"/>
  <c r="C656" i="2" s="1"/>
  <c r="H642" i="3" a="1"/>
  <c r="H642" i="3" s="1"/>
  <c r="C642" i="2" s="1"/>
  <c r="H628" i="3" a="1"/>
  <c r="H628" i="3" s="1"/>
  <c r="C628" i="2" s="1"/>
  <c r="H614" i="3" a="1"/>
  <c r="H614" i="3" s="1"/>
  <c r="C614" i="2" s="1"/>
  <c r="H600" i="3" a="1"/>
  <c r="H600" i="3" s="1"/>
  <c r="C600" i="2" s="1"/>
  <c r="H586" i="3" a="1"/>
  <c r="H586" i="3" s="1"/>
  <c r="C586" i="2" s="1"/>
  <c r="H572" i="3" a="1"/>
  <c r="H572" i="3" s="1"/>
  <c r="C572" i="2" s="1"/>
  <c r="H558" i="3" a="1"/>
  <c r="H558" i="3" s="1"/>
  <c r="C558" i="2" s="1"/>
  <c r="H544" i="3" a="1"/>
  <c r="H544" i="3" s="1"/>
  <c r="C544" i="2" s="1"/>
  <c r="H530" i="3" a="1"/>
  <c r="H530" i="3" s="1"/>
  <c r="C530" i="2" s="1"/>
  <c r="H516" i="3" a="1"/>
  <c r="H516" i="3" s="1"/>
  <c r="C516" i="2" s="1"/>
  <c r="H946" i="3" a="1"/>
  <c r="H946" i="3" s="1"/>
  <c r="C946" i="2" s="1"/>
  <c r="H723" i="3" a="1"/>
  <c r="H723" i="3" s="1"/>
  <c r="C723" i="2" s="1"/>
  <c r="H703" i="3" a="1"/>
  <c r="H703" i="3" s="1"/>
  <c r="C703" i="2" s="1"/>
  <c r="H694" i="3" a="1"/>
  <c r="H694" i="3" s="1"/>
  <c r="C694" i="2" s="1"/>
  <c r="H661" i="3" a="1"/>
  <c r="H661" i="3" s="1"/>
  <c r="C661" i="2" s="1"/>
  <c r="H652" i="3" a="1"/>
  <c r="H652" i="3" s="1"/>
  <c r="C652" i="2" s="1"/>
  <c r="H638" i="3" a="1"/>
  <c r="H638" i="3" s="1"/>
  <c r="C638" i="2" s="1"/>
  <c r="H624" i="3" a="1"/>
  <c r="H624" i="3" s="1"/>
  <c r="C624" i="2" s="1"/>
  <c r="H610" i="3" a="1"/>
  <c r="H610" i="3" s="1"/>
  <c r="C610" i="2" s="1"/>
  <c r="H596" i="3" a="1"/>
  <c r="H596" i="3" s="1"/>
  <c r="C596" i="2" s="1"/>
  <c r="H582" i="3" a="1"/>
  <c r="H582" i="3" s="1"/>
  <c r="C582" i="2" s="1"/>
  <c r="H568" i="3" a="1"/>
  <c r="H568" i="3" s="1"/>
  <c r="C568" i="2" s="1"/>
  <c r="H554" i="3" a="1"/>
  <c r="H554" i="3" s="1"/>
  <c r="C554" i="2" s="1"/>
  <c r="H540" i="3" a="1"/>
  <c r="H540" i="3" s="1"/>
  <c r="C540" i="2" s="1"/>
  <c r="H765" i="3" a="1"/>
  <c r="H765" i="3" s="1"/>
  <c r="C765" i="2" s="1"/>
  <c r="H676" i="3" a="1"/>
  <c r="H676" i="3" s="1"/>
  <c r="C676" i="2" s="1"/>
  <c r="H665" i="3" a="1"/>
  <c r="H665" i="3" s="1"/>
  <c r="C665" i="2" s="1"/>
  <c r="H643" i="3" a="1"/>
  <c r="H643" i="3" s="1"/>
  <c r="C643" i="2" s="1"/>
  <c r="H629" i="3" a="1"/>
  <c r="H629" i="3" s="1"/>
  <c r="C629" i="2" s="1"/>
  <c r="H615" i="3" a="1"/>
  <c r="H615" i="3" s="1"/>
  <c r="C615" i="2" s="1"/>
  <c r="H601" i="3" a="1"/>
  <c r="H601" i="3" s="1"/>
  <c r="C601" i="2" s="1"/>
  <c r="H587" i="3" a="1"/>
  <c r="H587" i="3" s="1"/>
  <c r="C587" i="2" s="1"/>
  <c r="H573" i="3" a="1"/>
  <c r="H573" i="3" s="1"/>
  <c r="C573" i="2" s="1"/>
  <c r="H559" i="3" a="1"/>
  <c r="H559" i="3" s="1"/>
  <c r="C559" i="2" s="1"/>
  <c r="H545" i="3" a="1"/>
  <c r="H545" i="3" s="1"/>
  <c r="C545" i="2" s="1"/>
  <c r="H531" i="3" a="1"/>
  <c r="H531" i="3" s="1"/>
  <c r="C531" i="2" s="1"/>
  <c r="H517" i="3" a="1"/>
  <c r="H517" i="3" s="1"/>
  <c r="C517" i="2" s="1"/>
  <c r="H503" i="3" a="1"/>
  <c r="H503" i="3" s="1"/>
  <c r="C503" i="2" s="1"/>
  <c r="H953" i="3" a="1"/>
  <c r="H953" i="3" s="1"/>
  <c r="C953" i="2" s="1"/>
  <c r="H779" i="3" a="1"/>
  <c r="H779" i="3" s="1"/>
  <c r="C779" i="2" s="1"/>
  <c r="H736" i="3" a="1"/>
  <c r="H736" i="3" s="1"/>
  <c r="C736" i="2" s="1"/>
  <c r="H680" i="3" a="1"/>
  <c r="H680" i="3" s="1"/>
  <c r="C680" i="2" s="1"/>
  <c r="H673" i="3" a="1"/>
  <c r="H673" i="3" s="1"/>
  <c r="C673" i="2" s="1"/>
  <c r="H653" i="3" a="1"/>
  <c r="H653" i="3" s="1"/>
  <c r="C653" i="2" s="1"/>
  <c r="H639" i="3" a="1"/>
  <c r="H639" i="3" s="1"/>
  <c r="C639" i="2" s="1"/>
  <c r="H625" i="3" a="1"/>
  <c r="H625" i="3" s="1"/>
  <c r="C625" i="2" s="1"/>
  <c r="H611" i="3" a="1"/>
  <c r="H611" i="3" s="1"/>
  <c r="C611" i="2" s="1"/>
  <c r="H597" i="3" a="1"/>
  <c r="H597" i="3" s="1"/>
  <c r="C597" i="2" s="1"/>
  <c r="H583" i="3" a="1"/>
  <c r="H583" i="3" s="1"/>
  <c r="C583" i="2" s="1"/>
  <c r="H569" i="3" a="1"/>
  <c r="H569" i="3" s="1"/>
  <c r="C569" i="2" s="1"/>
  <c r="H555" i="3" a="1"/>
  <c r="H555" i="3" s="1"/>
  <c r="C555" i="2" s="1"/>
  <c r="H541" i="3" a="1"/>
  <c r="H541" i="3" s="1"/>
  <c r="C541" i="2" s="1"/>
  <c r="H793" i="3" a="1"/>
  <c r="H793" i="3" s="1"/>
  <c r="C793" i="2" s="1"/>
  <c r="H750" i="3" a="1"/>
  <c r="H750" i="3" s="1"/>
  <c r="C750" i="2" s="1"/>
  <c r="H684" i="3" a="1"/>
  <c r="H684" i="3" s="1"/>
  <c r="C684" i="2" s="1"/>
  <c r="H677" i="3" a="1"/>
  <c r="H677" i="3" s="1"/>
  <c r="C677" i="2" s="1"/>
  <c r="H670" i="3" a="1"/>
  <c r="H670" i="3" s="1"/>
  <c r="C670" i="2" s="1"/>
  <c r="H666" i="3" a="1"/>
  <c r="H666" i="3" s="1"/>
  <c r="C666" i="2" s="1"/>
  <c r="H658" i="3" a="1"/>
  <c r="H658" i="3" s="1"/>
  <c r="C658" i="2" s="1"/>
  <c r="H649" i="3" a="1"/>
  <c r="H649" i="3" s="1"/>
  <c r="C649" i="2" s="1"/>
  <c r="H635" i="3" a="1"/>
  <c r="H635" i="3" s="1"/>
  <c r="C635" i="2" s="1"/>
  <c r="H621" i="3" a="1"/>
  <c r="H621" i="3" s="1"/>
  <c r="C621" i="2" s="1"/>
  <c r="H607" i="3" a="1"/>
  <c r="H607" i="3" s="1"/>
  <c r="C607" i="2" s="1"/>
  <c r="H593" i="3" a="1"/>
  <c r="H593" i="3" s="1"/>
  <c r="C593" i="2" s="1"/>
  <c r="H579" i="3" a="1"/>
  <c r="H579" i="3" s="1"/>
  <c r="C579" i="2" s="1"/>
  <c r="H565" i="3" a="1"/>
  <c r="H565" i="3" s="1"/>
  <c r="C565" i="2" s="1"/>
  <c r="H551" i="3" a="1"/>
  <c r="H551" i="3" s="1"/>
  <c r="C551" i="2" s="1"/>
  <c r="H995" i="3" a="1"/>
  <c r="H995" i="3" s="1"/>
  <c r="C995" i="2" s="1"/>
  <c r="H731" i="3" a="1"/>
  <c r="H731" i="3" s="1"/>
  <c r="C731" i="2" s="1"/>
  <c r="H722" i="3" a="1"/>
  <c r="H722" i="3" s="1"/>
  <c r="C722" i="2" s="1"/>
  <c r="H674" i="3" a="1"/>
  <c r="H674" i="3" s="1"/>
  <c r="C674" i="2" s="1"/>
  <c r="H654" i="3" a="1"/>
  <c r="H654" i="3" s="1"/>
  <c r="C654" i="2" s="1"/>
  <c r="H640" i="3" a="1"/>
  <c r="H640" i="3" s="1"/>
  <c r="C640" i="2" s="1"/>
  <c r="H626" i="3" a="1"/>
  <c r="H626" i="3" s="1"/>
  <c r="C626" i="2" s="1"/>
  <c r="H612" i="3" a="1"/>
  <c r="H612" i="3" s="1"/>
  <c r="C612" i="2" s="1"/>
  <c r="H598" i="3" a="1"/>
  <c r="H598" i="3" s="1"/>
  <c r="C598" i="2" s="1"/>
  <c r="H584" i="3" a="1"/>
  <c r="H584" i="3" s="1"/>
  <c r="C584" i="2" s="1"/>
  <c r="H570" i="3" a="1"/>
  <c r="H570" i="3" s="1"/>
  <c r="C570" i="2" s="1"/>
  <c r="H556" i="3" a="1"/>
  <c r="H556" i="3" s="1"/>
  <c r="C556" i="2" s="1"/>
  <c r="H542" i="3" a="1"/>
  <c r="H542" i="3" s="1"/>
  <c r="C542" i="2" s="1"/>
  <c r="H855" i="3" a="1"/>
  <c r="H855" i="3" s="1"/>
  <c r="C855" i="2" s="1"/>
  <c r="H764" i="3" a="1"/>
  <c r="H764" i="3" s="1"/>
  <c r="C764" i="2" s="1"/>
  <c r="H681" i="3" a="1"/>
  <c r="H681" i="3" s="1"/>
  <c r="C681" i="2" s="1"/>
  <c r="H645" i="3" a="1"/>
  <c r="H645" i="3" s="1"/>
  <c r="C645" i="2" s="1"/>
  <c r="H631" i="3" a="1"/>
  <c r="H631" i="3" s="1"/>
  <c r="C631" i="2" s="1"/>
  <c r="H617" i="3" a="1"/>
  <c r="H617" i="3" s="1"/>
  <c r="C617" i="2" s="1"/>
  <c r="H603" i="3" a="1"/>
  <c r="H603" i="3" s="1"/>
  <c r="C603" i="2" s="1"/>
  <c r="H589" i="3" a="1"/>
  <c r="H589" i="3" s="1"/>
  <c r="C589" i="2" s="1"/>
  <c r="H575" i="3" a="1"/>
  <c r="H575" i="3" s="1"/>
  <c r="C575" i="2" s="1"/>
  <c r="H561" i="3" a="1"/>
  <c r="H561" i="3" s="1"/>
  <c r="C561" i="2" s="1"/>
  <c r="H547" i="3" a="1"/>
  <c r="H547" i="3" s="1"/>
  <c r="C547" i="2" s="1"/>
  <c r="H533" i="3" a="1"/>
  <c r="H533" i="3" s="1"/>
  <c r="C533" i="2" s="1"/>
  <c r="H519" i="3" a="1"/>
  <c r="H519" i="3" s="1"/>
  <c r="C519" i="2" s="1"/>
  <c r="H751" i="3" a="1"/>
  <c r="H751" i="3" s="1"/>
  <c r="C751" i="2" s="1"/>
  <c r="H664" i="3" a="1"/>
  <c r="H664" i="3" s="1"/>
  <c r="C664" i="2" s="1"/>
  <c r="H578" i="3" a="1"/>
  <c r="H578" i="3" s="1"/>
  <c r="C578" i="2" s="1"/>
  <c r="H532" i="3" a="1"/>
  <c r="H532" i="3" s="1"/>
  <c r="C532" i="2" s="1"/>
  <c r="H488" i="3" a="1"/>
  <c r="H488" i="3" s="1"/>
  <c r="C488" i="2" s="1"/>
  <c r="H455" i="3" a="1"/>
  <c r="H455" i="3" s="1"/>
  <c r="C455" i="2" s="1"/>
  <c r="H443" i="3" a="1"/>
  <c r="H443" i="3" s="1"/>
  <c r="C443" i="2" s="1"/>
  <c r="H439" i="3" a="1"/>
  <c r="H439" i="3" s="1"/>
  <c r="C439" i="2" s="1"/>
  <c r="H435" i="3" a="1"/>
  <c r="H435" i="3" s="1"/>
  <c r="C435" i="2" s="1"/>
  <c r="H431" i="3" a="1"/>
  <c r="H431" i="3" s="1"/>
  <c r="C431" i="2" s="1"/>
  <c r="H419" i="3" a="1"/>
  <c r="H419" i="3" s="1"/>
  <c r="C419" i="2" s="1"/>
  <c r="H386" i="3" a="1"/>
  <c r="H386" i="3" s="1"/>
  <c r="C386" i="2" s="1"/>
  <c r="H709" i="3" a="1"/>
  <c r="H709" i="3" s="1"/>
  <c r="C709" i="2" s="1"/>
  <c r="H662" i="3" a="1"/>
  <c r="H662" i="3" s="1"/>
  <c r="C662" i="2" s="1"/>
  <c r="H651" i="3" a="1"/>
  <c r="H651" i="3" s="1"/>
  <c r="C651" i="2" s="1"/>
  <c r="H605" i="3" a="1"/>
  <c r="H605" i="3" s="1"/>
  <c r="C605" i="2" s="1"/>
  <c r="H574" i="3" a="1"/>
  <c r="H574" i="3" s="1"/>
  <c r="C574" i="2" s="1"/>
  <c r="H553" i="3" a="1"/>
  <c r="H553" i="3" s="1"/>
  <c r="C553" i="2" s="1"/>
  <c r="H499" i="3" a="1"/>
  <c r="H499" i="3" s="1"/>
  <c r="C499" i="2" s="1"/>
  <c r="H495" i="3" a="1"/>
  <c r="H495" i="3" s="1"/>
  <c r="C495" i="2" s="1"/>
  <c r="H477" i="3" a="1"/>
  <c r="H477" i="3" s="1"/>
  <c r="C477" i="2" s="1"/>
  <c r="H470" i="3" a="1"/>
  <c r="H470" i="3" s="1"/>
  <c r="C470" i="2" s="1"/>
  <c r="H466" i="3" a="1"/>
  <c r="H466" i="3" s="1"/>
  <c r="C466" i="2" s="1"/>
  <c r="H459" i="3" a="1"/>
  <c r="H459" i="3" s="1"/>
  <c r="C459" i="2" s="1"/>
  <c r="H427" i="3" a="1"/>
  <c r="H427" i="3" s="1"/>
  <c r="C427" i="2" s="1"/>
  <c r="H423" i="3" a="1"/>
  <c r="H423" i="3" s="1"/>
  <c r="C423" i="2" s="1"/>
  <c r="H688" i="3" a="1"/>
  <c r="H688" i="3" s="1"/>
  <c r="C688" i="2" s="1"/>
  <c r="H679" i="3" a="1"/>
  <c r="H679" i="3" s="1"/>
  <c r="C679" i="2" s="1"/>
  <c r="H634" i="3" a="1"/>
  <c r="H634" i="3" s="1"/>
  <c r="C634" i="2" s="1"/>
  <c r="H535" i="3" a="1"/>
  <c r="H535" i="3" s="1"/>
  <c r="C535" i="2" s="1"/>
  <c r="H523" i="3" a="1"/>
  <c r="H523" i="3" s="1"/>
  <c r="C523" i="2" s="1"/>
  <c r="H512" i="3" a="1"/>
  <c r="H512" i="3" s="1"/>
  <c r="C512" i="2" s="1"/>
  <c r="H509" i="3" a="1"/>
  <c r="H509" i="3" s="1"/>
  <c r="C509" i="2" s="1"/>
  <c r="H474" i="3" a="1"/>
  <c r="H474" i="3" s="1"/>
  <c r="C474" i="2" s="1"/>
  <c r="H448" i="3" a="1"/>
  <c r="H448" i="3" s="1"/>
  <c r="C448" i="2" s="1"/>
  <c r="H415" i="3" a="1"/>
  <c r="H415" i="3" s="1"/>
  <c r="C415" i="2" s="1"/>
  <c r="H630" i="3" a="1"/>
  <c r="H630" i="3" s="1"/>
  <c r="C630" i="2" s="1"/>
  <c r="H609" i="3" a="1"/>
  <c r="H609" i="3" s="1"/>
  <c r="C609" i="2" s="1"/>
  <c r="H563" i="3" a="1"/>
  <c r="H563" i="3" s="1"/>
  <c r="C563" i="2" s="1"/>
  <c r="H485" i="3" a="1"/>
  <c r="H485" i="3" s="1"/>
  <c r="C485" i="2" s="1"/>
  <c r="H481" i="3" a="1"/>
  <c r="H481" i="3" s="1"/>
  <c r="C481" i="2" s="1"/>
  <c r="H463" i="3" a="1"/>
  <c r="H463" i="3" s="1"/>
  <c r="C463" i="2" s="1"/>
  <c r="H456" i="3" a="1"/>
  <c r="H456" i="3" s="1"/>
  <c r="C456" i="2" s="1"/>
  <c r="H452" i="3" a="1"/>
  <c r="H452" i="3" s="1"/>
  <c r="C452" i="2" s="1"/>
  <c r="H444" i="3" a="1"/>
  <c r="H444" i="3" s="1"/>
  <c r="C444" i="2" s="1"/>
  <c r="H436" i="3" a="1"/>
  <c r="H436" i="3" s="1"/>
  <c r="C436" i="2" s="1"/>
  <c r="H672" i="3" a="1"/>
  <c r="H672" i="3" s="1"/>
  <c r="C672" i="2" s="1"/>
  <c r="H657" i="3" a="1"/>
  <c r="H657" i="3" s="1"/>
  <c r="C657" i="2" s="1"/>
  <c r="H592" i="3" a="1"/>
  <c r="H592" i="3" s="1"/>
  <c r="C592" i="2" s="1"/>
  <c r="H528" i="3" a="1"/>
  <c r="H528" i="3" s="1"/>
  <c r="C528" i="2" s="1"/>
  <c r="H526" i="3" a="1"/>
  <c r="H526" i="3" s="1"/>
  <c r="C526" i="2" s="1"/>
  <c r="H515" i="3" a="1"/>
  <c r="H515" i="3" s="1"/>
  <c r="C515" i="2" s="1"/>
  <c r="H489" i="3" a="1"/>
  <c r="H489" i="3" s="1"/>
  <c r="C489" i="2" s="1"/>
  <c r="H460" i="3" a="1"/>
  <c r="H460" i="3" s="1"/>
  <c r="C460" i="2" s="1"/>
  <c r="H428" i="3" a="1"/>
  <c r="H428" i="3" s="1"/>
  <c r="C428" i="2" s="1"/>
  <c r="H806" i="3" a="1"/>
  <c r="H806" i="3" s="1"/>
  <c r="C806" i="2" s="1"/>
  <c r="H737" i="3" a="1"/>
  <c r="H737" i="3" s="1"/>
  <c r="C737" i="2" s="1"/>
  <c r="H619" i="3" a="1"/>
  <c r="H619" i="3" s="1"/>
  <c r="C619" i="2" s="1"/>
  <c r="H588" i="3" a="1"/>
  <c r="H588" i="3" s="1"/>
  <c r="C588" i="2" s="1"/>
  <c r="H567" i="3" a="1"/>
  <c r="H567" i="3" s="1"/>
  <c r="C567" i="2" s="1"/>
  <c r="H518" i="3" a="1"/>
  <c r="H518" i="3" s="1"/>
  <c r="C518" i="2" s="1"/>
  <c r="H500" i="3" a="1"/>
  <c r="H500" i="3" s="1"/>
  <c r="C500" i="2" s="1"/>
  <c r="H471" i="3" a="1"/>
  <c r="H471" i="3" s="1"/>
  <c r="C471" i="2" s="1"/>
  <c r="H467" i="3" a="1"/>
  <c r="H467" i="3" s="1"/>
  <c r="C467" i="2" s="1"/>
  <c r="H648" i="3" a="1"/>
  <c r="H648" i="3" s="1"/>
  <c r="C648" i="2" s="1"/>
  <c r="H550" i="3" a="1"/>
  <c r="H550" i="3" s="1"/>
  <c r="C550" i="2" s="1"/>
  <c r="H521" i="3" a="1"/>
  <c r="H521" i="3" s="1"/>
  <c r="C521" i="2" s="1"/>
  <c r="H475" i="3" a="1"/>
  <c r="H475" i="3" s="1"/>
  <c r="C475" i="2" s="1"/>
  <c r="H449" i="3" a="1"/>
  <c r="H449" i="3" s="1"/>
  <c r="C449" i="2" s="1"/>
  <c r="H445" i="3" a="1"/>
  <c r="H445" i="3" s="1"/>
  <c r="C445" i="2" s="1"/>
  <c r="H433" i="3" a="1"/>
  <c r="H433" i="3" s="1"/>
  <c r="C433" i="2" s="1"/>
  <c r="H400" i="3" a="1"/>
  <c r="H400" i="3" s="1"/>
  <c r="C400" i="2" s="1"/>
  <c r="H392" i="3" a="1"/>
  <c r="H392" i="3" s="1"/>
  <c r="C392" i="2" s="1"/>
  <c r="H644" i="3" a="1"/>
  <c r="H644" i="3" s="1"/>
  <c r="C644" i="2" s="1"/>
  <c r="H623" i="3" a="1"/>
  <c r="H623" i="3" s="1"/>
  <c r="C623" i="2" s="1"/>
  <c r="H577" i="3" a="1"/>
  <c r="H577" i="3" s="1"/>
  <c r="C577" i="2" s="1"/>
  <c r="H546" i="3" a="1"/>
  <c r="H546" i="3" s="1"/>
  <c r="C546" i="2" s="1"/>
  <c r="H513" i="3" a="1"/>
  <c r="H513" i="3" s="1"/>
  <c r="C513" i="2" s="1"/>
  <c r="H493" i="3" a="1"/>
  <c r="H493" i="3" s="1"/>
  <c r="C493" i="2" s="1"/>
  <c r="H486" i="3" a="1"/>
  <c r="H486" i="3" s="1"/>
  <c r="C486" i="2" s="1"/>
  <c r="H457" i="3" a="1"/>
  <c r="H457" i="3" s="1"/>
  <c r="C457" i="2" s="1"/>
  <c r="H453" i="3" a="1"/>
  <c r="H453" i="3" s="1"/>
  <c r="C453" i="2" s="1"/>
  <c r="H441" i="3" a="1"/>
  <c r="H441" i="3" s="1"/>
  <c r="C441" i="2" s="1"/>
  <c r="H437" i="3" a="1"/>
  <c r="H437" i="3" s="1"/>
  <c r="C437" i="2" s="1"/>
  <c r="H792" i="3" a="1"/>
  <c r="H792" i="3" s="1"/>
  <c r="C792" i="2" s="1"/>
  <c r="H637" i="3" a="1"/>
  <c r="H637" i="3" s="1"/>
  <c r="C637" i="2" s="1"/>
  <c r="H591" i="3" a="1"/>
  <c r="H591" i="3" s="1"/>
  <c r="C591" i="2" s="1"/>
  <c r="H560" i="3" a="1"/>
  <c r="H560" i="3" s="1"/>
  <c r="C560" i="2" s="1"/>
  <c r="H527" i="3" a="1"/>
  <c r="H527" i="3" s="1"/>
  <c r="C527" i="2" s="1"/>
  <c r="H522" i="3" a="1"/>
  <c r="H522" i="3" s="1"/>
  <c r="C522" i="2" s="1"/>
  <c r="H498" i="3" a="1"/>
  <c r="H498" i="3" s="1"/>
  <c r="C498" i="2" s="1"/>
  <c r="H494" i="3" a="1"/>
  <c r="H494" i="3" s="1"/>
  <c r="C494" i="2" s="1"/>
  <c r="H487" i="3" a="1"/>
  <c r="H487" i="3" s="1"/>
  <c r="C487" i="2" s="1"/>
  <c r="H476" i="3" a="1"/>
  <c r="H476" i="3" s="1"/>
  <c r="C476" i="2" s="1"/>
  <c r="H465" i="3" a="1"/>
  <c r="H465" i="3" s="1"/>
  <c r="C465" i="2" s="1"/>
  <c r="H458" i="3" a="1"/>
  <c r="H458" i="3" s="1"/>
  <c r="C458" i="2" s="1"/>
  <c r="H438" i="3" a="1"/>
  <c r="H438" i="3" s="1"/>
  <c r="C438" i="2" s="1"/>
  <c r="H430" i="3" a="1"/>
  <c r="H430" i="3" s="1"/>
  <c r="C430" i="2" s="1"/>
  <c r="H422" i="3" a="1"/>
  <c r="H422" i="3" s="1"/>
  <c r="C422" i="2" s="1"/>
  <c r="H418" i="3" a="1"/>
  <c r="H418" i="3" s="1"/>
  <c r="C418" i="2" s="1"/>
  <c r="H870" i="3" a="1"/>
  <c r="H870" i="3" s="1"/>
  <c r="C870" i="2" s="1"/>
  <c r="H620" i="3" a="1"/>
  <c r="H620" i="3" s="1"/>
  <c r="C620" i="2" s="1"/>
  <c r="H539" i="3" a="1"/>
  <c r="H539" i="3" s="1"/>
  <c r="C539" i="2" s="1"/>
  <c r="H511" i="3" a="1"/>
  <c r="H511" i="3" s="1"/>
  <c r="C511" i="2" s="1"/>
  <c r="H508" i="3" a="1"/>
  <c r="H508" i="3" s="1"/>
  <c r="C508" i="2" s="1"/>
  <c r="H502" i="3" a="1"/>
  <c r="H502" i="3" s="1"/>
  <c r="C502" i="2" s="1"/>
  <c r="H469" i="3" a="1"/>
  <c r="H469" i="3" s="1"/>
  <c r="C469" i="2" s="1"/>
  <c r="H447" i="3" a="1"/>
  <c r="H447" i="3" s="1"/>
  <c r="C447" i="2" s="1"/>
  <c r="H414" i="3" a="1"/>
  <c r="H414" i="3" s="1"/>
  <c r="C414" i="2" s="1"/>
  <c r="H406" i="3" a="1"/>
  <c r="H406" i="3" s="1"/>
  <c r="C406" i="2" s="1"/>
  <c r="H848" i="3" a="1"/>
  <c r="H848" i="3" s="1"/>
  <c r="C848" i="2" s="1"/>
  <c r="H660" i="3" a="1"/>
  <c r="H660" i="3" s="1"/>
  <c r="C660" i="2" s="1"/>
  <c r="H647" i="3" a="1"/>
  <c r="H647" i="3" s="1"/>
  <c r="C647" i="2" s="1"/>
  <c r="H616" i="3" a="1"/>
  <c r="H616" i="3" s="1"/>
  <c r="C616" i="2" s="1"/>
  <c r="H595" i="3" a="1"/>
  <c r="H595" i="3" s="1"/>
  <c r="C595" i="2" s="1"/>
  <c r="H549" i="3" a="1"/>
  <c r="H549" i="3" s="1"/>
  <c r="C549" i="2" s="1"/>
  <c r="H537" i="3" a="1"/>
  <c r="H537" i="3" s="1"/>
  <c r="C537" i="2" s="1"/>
  <c r="H525" i="3" a="1"/>
  <c r="H525" i="3" s="1"/>
  <c r="C525" i="2" s="1"/>
  <c r="H514" i="3" a="1"/>
  <c r="H514" i="3" s="1"/>
  <c r="C514" i="2" s="1"/>
  <c r="H505" i="3" a="1"/>
  <c r="H505" i="3" s="1"/>
  <c r="C505" i="2" s="1"/>
  <c r="H491" i="3" a="1"/>
  <c r="H491" i="3" s="1"/>
  <c r="C491" i="2" s="1"/>
  <c r="H484" i="3" a="1"/>
  <c r="H484" i="3" s="1"/>
  <c r="C484" i="2" s="1"/>
  <c r="H480" i="3" a="1"/>
  <c r="H480" i="3" s="1"/>
  <c r="C480" i="2" s="1"/>
  <c r="H473" i="3" a="1"/>
  <c r="H473" i="3" s="1"/>
  <c r="C473" i="2" s="1"/>
  <c r="H462" i="3" a="1"/>
  <c r="H462" i="3" s="1"/>
  <c r="C462" i="2" s="1"/>
  <c r="H507" i="3" a="1"/>
  <c r="H507" i="3" s="1"/>
  <c r="C507" i="2" s="1"/>
  <c r="H429" i="3" a="1"/>
  <c r="H429" i="3" s="1"/>
  <c r="C429" i="2" s="1"/>
  <c r="H408" i="3" a="1"/>
  <c r="H408" i="3" s="1"/>
  <c r="C408" i="2" s="1"/>
  <c r="H391" i="3" a="1"/>
  <c r="H391" i="3" s="1"/>
  <c r="C391" i="2" s="1"/>
  <c r="H374" i="3" a="1"/>
  <c r="H374" i="3" s="1"/>
  <c r="C374" i="2" s="1"/>
  <c r="H370" i="3" a="1"/>
  <c r="H370" i="3" s="1"/>
  <c r="C370" i="2" s="1"/>
  <c r="H356" i="3" a="1"/>
  <c r="H356" i="3" s="1"/>
  <c r="C356" i="2" s="1"/>
  <c r="H342" i="3" a="1"/>
  <c r="H342" i="3" s="1"/>
  <c r="C342" i="2" s="1"/>
  <c r="H328" i="3" a="1"/>
  <c r="H328" i="3" s="1"/>
  <c r="C328" i="2" s="1"/>
  <c r="H314" i="3" a="1"/>
  <c r="H314" i="3" s="1"/>
  <c r="C314" i="2" s="1"/>
  <c r="H300" i="3" a="1"/>
  <c r="H300" i="3" s="1"/>
  <c r="C300" i="2" s="1"/>
  <c r="H286" i="3" a="1"/>
  <c r="H286" i="3" s="1"/>
  <c r="C286" i="2" s="1"/>
  <c r="H272" i="3" a="1"/>
  <c r="H272" i="3" s="1"/>
  <c r="C272" i="2" s="1"/>
  <c r="H258" i="3" a="1"/>
  <c r="H258" i="3" s="1"/>
  <c r="C258" i="2" s="1"/>
  <c r="H244" i="3" a="1"/>
  <c r="H244" i="3" s="1"/>
  <c r="C244" i="2" s="1"/>
  <c r="H633" i="3" a="1"/>
  <c r="H633" i="3" s="1"/>
  <c r="C633" i="2" s="1"/>
  <c r="H397" i="3" a="1"/>
  <c r="H397" i="3" s="1"/>
  <c r="C397" i="2" s="1"/>
  <c r="H394" i="3" a="1"/>
  <c r="H394" i="3" s="1"/>
  <c r="C394" i="2" s="1"/>
  <c r="H361" i="3" a="1"/>
  <c r="H361" i="3" s="1"/>
  <c r="C361" i="2" s="1"/>
  <c r="H347" i="3" a="1"/>
  <c r="H347" i="3" s="1"/>
  <c r="C347" i="2" s="1"/>
  <c r="H333" i="3" a="1"/>
  <c r="H333" i="3" s="1"/>
  <c r="C333" i="2" s="1"/>
  <c r="H319" i="3" a="1"/>
  <c r="H319" i="3" s="1"/>
  <c r="C319" i="2" s="1"/>
  <c r="H305" i="3" a="1"/>
  <c r="H305" i="3" s="1"/>
  <c r="C305" i="2" s="1"/>
  <c r="H291" i="3" a="1"/>
  <c r="H291" i="3" s="1"/>
  <c r="C291" i="2" s="1"/>
  <c r="H277" i="3" a="1"/>
  <c r="H277" i="3" s="1"/>
  <c r="C277" i="2" s="1"/>
  <c r="H479" i="3" a="1"/>
  <c r="H479" i="3" s="1"/>
  <c r="C479" i="2" s="1"/>
  <c r="H416" i="3" a="1"/>
  <c r="H416" i="3" s="1"/>
  <c r="C416" i="2" s="1"/>
  <c r="H411" i="3" a="1"/>
  <c r="H411" i="3" s="1"/>
  <c r="C411" i="2" s="1"/>
  <c r="H403" i="3" a="1"/>
  <c r="H403" i="3" s="1"/>
  <c r="C403" i="2" s="1"/>
  <c r="H388" i="3" a="1"/>
  <c r="H388" i="3" s="1"/>
  <c r="C388" i="2" s="1"/>
  <c r="H385" i="3" a="1"/>
  <c r="H385" i="3" s="1"/>
  <c r="C385" i="2" s="1"/>
  <c r="H366" i="3" a="1"/>
  <c r="H366" i="3" s="1"/>
  <c r="C366" i="2" s="1"/>
  <c r="H352" i="3" a="1"/>
  <c r="H352" i="3" s="1"/>
  <c r="C352" i="2" s="1"/>
  <c r="H338" i="3" a="1"/>
  <c r="H338" i="3" s="1"/>
  <c r="C338" i="2" s="1"/>
  <c r="H324" i="3" a="1"/>
  <c r="H324" i="3" s="1"/>
  <c r="C324" i="2" s="1"/>
  <c r="H310" i="3" a="1"/>
  <c r="H310" i="3" s="1"/>
  <c r="C310" i="2" s="1"/>
  <c r="H472" i="3" a="1"/>
  <c r="H472" i="3" s="1"/>
  <c r="C472" i="2" s="1"/>
  <c r="H425" i="3" a="1"/>
  <c r="H425" i="3" s="1"/>
  <c r="C425" i="2" s="1"/>
  <c r="H382" i="3" a="1"/>
  <c r="H382" i="3" s="1"/>
  <c r="C382" i="2" s="1"/>
  <c r="H379" i="3" a="1"/>
  <c r="H379" i="3" s="1"/>
  <c r="C379" i="2" s="1"/>
  <c r="H375" i="3" a="1"/>
  <c r="H375" i="3" s="1"/>
  <c r="C375" i="2" s="1"/>
  <c r="H371" i="3" a="1"/>
  <c r="H371" i="3" s="1"/>
  <c r="C371" i="2" s="1"/>
  <c r="H357" i="3" a="1"/>
  <c r="H357" i="3" s="1"/>
  <c r="C357" i="2" s="1"/>
  <c r="H343" i="3" a="1"/>
  <c r="H343" i="3" s="1"/>
  <c r="C343" i="2" s="1"/>
  <c r="H329" i="3" a="1"/>
  <c r="H329" i="3" s="1"/>
  <c r="C329" i="2" s="1"/>
  <c r="H315" i="3" a="1"/>
  <c r="H315" i="3" s="1"/>
  <c r="C315" i="2" s="1"/>
  <c r="H301" i="3" a="1"/>
  <c r="H301" i="3" s="1"/>
  <c r="C301" i="2" s="1"/>
  <c r="H287" i="3" a="1"/>
  <c r="H287" i="3" s="1"/>
  <c r="C287" i="2" s="1"/>
  <c r="H273" i="3" a="1"/>
  <c r="H273" i="3" s="1"/>
  <c r="C273" i="2" s="1"/>
  <c r="H259" i="3" a="1"/>
  <c r="H259" i="3" s="1"/>
  <c r="C259" i="2" s="1"/>
  <c r="H669" i="3" a="1"/>
  <c r="H669" i="3" s="1"/>
  <c r="C669" i="2" s="1"/>
  <c r="H504" i="3" a="1"/>
  <c r="H504" i="3" s="1"/>
  <c r="C504" i="2" s="1"/>
  <c r="H497" i="3" a="1"/>
  <c r="H497" i="3" s="1"/>
  <c r="C497" i="2" s="1"/>
  <c r="H362" i="3" a="1"/>
  <c r="H362" i="3" s="1"/>
  <c r="C362" i="2" s="1"/>
  <c r="H348" i="3" a="1"/>
  <c r="H348" i="3" s="1"/>
  <c r="C348" i="2" s="1"/>
  <c r="H334" i="3" a="1"/>
  <c r="H334" i="3" s="1"/>
  <c r="C334" i="2" s="1"/>
  <c r="H320" i="3" a="1"/>
  <c r="H320" i="3" s="1"/>
  <c r="C320" i="2" s="1"/>
  <c r="H306" i="3" a="1"/>
  <c r="H306" i="3" s="1"/>
  <c r="C306" i="2" s="1"/>
  <c r="H292" i="3" a="1"/>
  <c r="H292" i="3" s="1"/>
  <c r="C292" i="2" s="1"/>
  <c r="H278" i="3" a="1"/>
  <c r="H278" i="3" s="1"/>
  <c r="C278" i="2" s="1"/>
  <c r="H264" i="3" a="1"/>
  <c r="H264" i="3" s="1"/>
  <c r="C264" i="2" s="1"/>
  <c r="H250" i="3" a="1"/>
  <c r="H250" i="3" s="1"/>
  <c r="C250" i="2" s="1"/>
  <c r="H236" i="3" a="1"/>
  <c r="H236" i="3" s="1"/>
  <c r="C236" i="2" s="1"/>
  <c r="H222" i="3" a="1"/>
  <c r="H222" i="3" s="1"/>
  <c r="C222" i="2" s="1"/>
  <c r="H606" i="3" a="1"/>
  <c r="H606" i="3" s="1"/>
  <c r="C606" i="2" s="1"/>
  <c r="H490" i="3" a="1"/>
  <c r="H490" i="3" s="1"/>
  <c r="C490" i="2" s="1"/>
  <c r="H421" i="3" a="1"/>
  <c r="H421" i="3" s="1"/>
  <c r="C421" i="2" s="1"/>
  <c r="H395" i="3" a="1"/>
  <c r="H395" i="3" s="1"/>
  <c r="C395" i="2" s="1"/>
  <c r="H367" i="3" a="1"/>
  <c r="H367" i="3" s="1"/>
  <c r="C367" i="2" s="1"/>
  <c r="H353" i="3" a="1"/>
  <c r="H353" i="3" s="1"/>
  <c r="C353" i="2" s="1"/>
  <c r="H339" i="3" a="1"/>
  <c r="H339" i="3" s="1"/>
  <c r="C339" i="2" s="1"/>
  <c r="H325" i="3" a="1"/>
  <c r="H325" i="3" s="1"/>
  <c r="C325" i="2" s="1"/>
  <c r="H311" i="3" a="1"/>
  <c r="H311" i="3" s="1"/>
  <c r="C311" i="2" s="1"/>
  <c r="H297" i="3" a="1"/>
  <c r="H297" i="3" s="1"/>
  <c r="C297" i="2" s="1"/>
  <c r="H409" i="3" a="1"/>
  <c r="H409" i="3" s="1"/>
  <c r="C409" i="2" s="1"/>
  <c r="H389" i="3" a="1"/>
  <c r="H389" i="3" s="1"/>
  <c r="C389" i="2" s="1"/>
  <c r="H383" i="3" a="1"/>
  <c r="H383" i="3" s="1"/>
  <c r="C383" i="2" s="1"/>
  <c r="H376" i="3" a="1"/>
  <c r="H376" i="3" s="1"/>
  <c r="C376" i="2" s="1"/>
  <c r="H372" i="3" a="1"/>
  <c r="H372" i="3" s="1"/>
  <c r="C372" i="2" s="1"/>
  <c r="H358" i="3" a="1"/>
  <c r="H358" i="3" s="1"/>
  <c r="C358" i="2" s="1"/>
  <c r="H344" i="3" a="1"/>
  <c r="H344" i="3" s="1"/>
  <c r="C344" i="2" s="1"/>
  <c r="H330" i="3" a="1"/>
  <c r="H330" i="3" s="1"/>
  <c r="C330" i="2" s="1"/>
  <c r="H316" i="3" a="1"/>
  <c r="H316" i="3" s="1"/>
  <c r="C316" i="2" s="1"/>
  <c r="H302" i="3" a="1"/>
  <c r="H302" i="3" s="1"/>
  <c r="C302" i="2" s="1"/>
  <c r="H288" i="3" a="1"/>
  <c r="H288" i="3" s="1"/>
  <c r="C288" i="2" s="1"/>
  <c r="H274" i="3" a="1"/>
  <c r="H274" i="3" s="1"/>
  <c r="C274" i="2" s="1"/>
  <c r="H260" i="3" a="1"/>
  <c r="H260" i="3" s="1"/>
  <c r="C260" i="2" s="1"/>
  <c r="H246" i="3" a="1"/>
  <c r="H246" i="3" s="1"/>
  <c r="C246" i="2" s="1"/>
  <c r="H564" i="3" a="1"/>
  <c r="H564" i="3" s="1"/>
  <c r="C564" i="2" s="1"/>
  <c r="H501" i="3" a="1"/>
  <c r="H501" i="3" s="1"/>
  <c r="C501" i="2" s="1"/>
  <c r="H401" i="3" a="1"/>
  <c r="H401" i="3" s="1"/>
  <c r="C401" i="2" s="1"/>
  <c r="H368" i="3" a="1"/>
  <c r="H368" i="3" s="1"/>
  <c r="C368" i="2" s="1"/>
  <c r="H354" i="3" a="1"/>
  <c r="H354" i="3" s="1"/>
  <c r="C354" i="2" s="1"/>
  <c r="H340" i="3" a="1"/>
  <c r="H340" i="3" s="1"/>
  <c r="C340" i="2" s="1"/>
  <c r="H326" i="3" a="1"/>
  <c r="H326" i="3" s="1"/>
  <c r="C326" i="2" s="1"/>
  <c r="H312" i="3" a="1"/>
  <c r="H312" i="3" s="1"/>
  <c r="C312" i="2" s="1"/>
  <c r="H298" i="3" a="1"/>
  <c r="H298" i="3" s="1"/>
  <c r="C298" i="2" s="1"/>
  <c r="H284" i="3" a="1"/>
  <c r="H284" i="3" s="1"/>
  <c r="C284" i="2" s="1"/>
  <c r="H270" i="3" a="1"/>
  <c r="H270" i="3" s="1"/>
  <c r="C270" i="2" s="1"/>
  <c r="H256" i="3" a="1"/>
  <c r="H256" i="3" s="1"/>
  <c r="C256" i="2" s="1"/>
  <c r="H242" i="3" a="1"/>
  <c r="H242" i="3" s="1"/>
  <c r="C242" i="2" s="1"/>
  <c r="H434" i="3" a="1"/>
  <c r="H434" i="3" s="1"/>
  <c r="C434" i="2" s="1"/>
  <c r="H407" i="3" a="1"/>
  <c r="H407" i="3" s="1"/>
  <c r="C407" i="2" s="1"/>
  <c r="H377" i="3" a="1"/>
  <c r="H377" i="3" s="1"/>
  <c r="C377" i="2" s="1"/>
  <c r="H359" i="3" a="1"/>
  <c r="H359" i="3" s="1"/>
  <c r="C359" i="2" s="1"/>
  <c r="H345" i="3" a="1"/>
  <c r="H345" i="3" s="1"/>
  <c r="C345" i="2" s="1"/>
  <c r="H331" i="3" a="1"/>
  <c r="H331" i="3" s="1"/>
  <c r="C331" i="2" s="1"/>
  <c r="H317" i="3" a="1"/>
  <c r="H317" i="3" s="1"/>
  <c r="C317" i="2" s="1"/>
  <c r="H303" i="3" a="1"/>
  <c r="H303" i="3" s="1"/>
  <c r="C303" i="2" s="1"/>
  <c r="H289" i="3" a="1"/>
  <c r="H289" i="3" s="1"/>
  <c r="C289" i="2" s="1"/>
  <c r="H275" i="3" a="1"/>
  <c r="H275" i="3" s="1"/>
  <c r="C275" i="2" s="1"/>
  <c r="H261" i="3" a="1"/>
  <c r="H261" i="3" s="1"/>
  <c r="C261" i="2" s="1"/>
  <c r="H247" i="3" a="1"/>
  <c r="H247" i="3" s="1"/>
  <c r="C247" i="2" s="1"/>
  <c r="H442" i="3" a="1"/>
  <c r="H442" i="3" s="1"/>
  <c r="C442" i="2" s="1"/>
  <c r="H410" i="3" a="1"/>
  <c r="H410" i="3" s="1"/>
  <c r="C410" i="2" s="1"/>
  <c r="H393" i="3" a="1"/>
  <c r="H393" i="3" s="1"/>
  <c r="C393" i="2" s="1"/>
  <c r="H369" i="3" a="1"/>
  <c r="H369" i="3" s="1"/>
  <c r="C369" i="2" s="1"/>
  <c r="H355" i="3" a="1"/>
  <c r="H355" i="3" s="1"/>
  <c r="C355" i="2" s="1"/>
  <c r="H341" i="3" a="1"/>
  <c r="H341" i="3" s="1"/>
  <c r="C341" i="2" s="1"/>
  <c r="H327" i="3" a="1"/>
  <c r="H327" i="3" s="1"/>
  <c r="C327" i="2" s="1"/>
  <c r="H313" i="3" a="1"/>
  <c r="H313" i="3" s="1"/>
  <c r="C313" i="2" s="1"/>
  <c r="H299" i="3" a="1"/>
  <c r="H299" i="3" s="1"/>
  <c r="C299" i="2" s="1"/>
  <c r="H285" i="3" a="1"/>
  <c r="H285" i="3" s="1"/>
  <c r="C285" i="2" s="1"/>
  <c r="H271" i="3" a="1"/>
  <c r="H271" i="3" s="1"/>
  <c r="C271" i="2" s="1"/>
  <c r="H689" i="3" a="1"/>
  <c r="H689" i="3" s="1"/>
  <c r="C689" i="2" s="1"/>
  <c r="H446" i="3" a="1"/>
  <c r="H446" i="3" s="1"/>
  <c r="C446" i="2" s="1"/>
  <c r="H424" i="3" a="1"/>
  <c r="H424" i="3" s="1"/>
  <c r="C424" i="2" s="1"/>
  <c r="H420" i="3" a="1"/>
  <c r="H420" i="3" s="1"/>
  <c r="C420" i="2" s="1"/>
  <c r="H405" i="3" a="1"/>
  <c r="H405" i="3" s="1"/>
  <c r="C405" i="2" s="1"/>
  <c r="H402" i="3" a="1"/>
  <c r="H402" i="3" s="1"/>
  <c r="C402" i="2" s="1"/>
  <c r="H387" i="3" a="1"/>
  <c r="H387" i="3" s="1"/>
  <c r="C387" i="2" s="1"/>
  <c r="H381" i="3" a="1"/>
  <c r="H381" i="3" s="1"/>
  <c r="C381" i="2" s="1"/>
  <c r="H360" i="3" a="1"/>
  <c r="H360" i="3" s="1"/>
  <c r="C360" i="2" s="1"/>
  <c r="H346" i="3" a="1"/>
  <c r="H346" i="3" s="1"/>
  <c r="C346" i="2" s="1"/>
  <c r="H332" i="3" a="1"/>
  <c r="H332" i="3" s="1"/>
  <c r="C332" i="2" s="1"/>
  <c r="H318" i="3" a="1"/>
  <c r="H318" i="3" s="1"/>
  <c r="C318" i="2" s="1"/>
  <c r="H304" i="3" a="1"/>
  <c r="H304" i="3" s="1"/>
  <c r="C304" i="2" s="1"/>
  <c r="H290" i="3" a="1"/>
  <c r="H290" i="3" s="1"/>
  <c r="C290" i="2" s="1"/>
  <c r="H276" i="3" a="1"/>
  <c r="H276" i="3" s="1"/>
  <c r="C276" i="2" s="1"/>
  <c r="H262" i="3" a="1"/>
  <c r="H262" i="3" s="1"/>
  <c r="C262" i="2" s="1"/>
  <c r="H450" i="3" a="1"/>
  <c r="H450" i="3" s="1"/>
  <c r="C450" i="2" s="1"/>
  <c r="H432" i="3" a="1"/>
  <c r="H432" i="3" s="1"/>
  <c r="C432" i="2" s="1"/>
  <c r="H293" i="3" a="1"/>
  <c r="H293" i="3" s="1"/>
  <c r="C293" i="2" s="1"/>
  <c r="H269" i="3" a="1"/>
  <c r="H269" i="3" s="1"/>
  <c r="C269" i="2" s="1"/>
  <c r="H267" i="3" a="1"/>
  <c r="H267" i="3" s="1"/>
  <c r="C267" i="2" s="1"/>
  <c r="H243" i="3" a="1"/>
  <c r="H243" i="3" s="1"/>
  <c r="C243" i="2" s="1"/>
  <c r="H219" i="3" a="1"/>
  <c r="H219" i="3" s="1"/>
  <c r="C219" i="2" s="1"/>
  <c r="H205" i="3" a="1"/>
  <c r="H205" i="3" s="1"/>
  <c r="C205" i="2" s="1"/>
  <c r="H191" i="3" a="1"/>
  <c r="H191" i="3" s="1"/>
  <c r="C191" i="2" s="1"/>
  <c r="H177" i="3" a="1"/>
  <c r="H177" i="3" s="1"/>
  <c r="C177" i="2" s="1"/>
  <c r="H417" i="3" a="1"/>
  <c r="H417" i="3" s="1"/>
  <c r="C417" i="2" s="1"/>
  <c r="H363" i="3" a="1"/>
  <c r="H363" i="3" s="1"/>
  <c r="C363" i="2" s="1"/>
  <c r="H323" i="3" a="1"/>
  <c r="H323" i="3" s="1"/>
  <c r="C323" i="2" s="1"/>
  <c r="H295" i="3" a="1"/>
  <c r="H295" i="3" s="1"/>
  <c r="C295" i="2" s="1"/>
  <c r="H265" i="3" a="1"/>
  <c r="H265" i="3" s="1"/>
  <c r="C265" i="2" s="1"/>
  <c r="H232" i="3" a="1"/>
  <c r="H232" i="3" s="1"/>
  <c r="C232" i="2" s="1"/>
  <c r="H228" i="3" a="1"/>
  <c r="H228" i="3" s="1"/>
  <c r="C228" i="2" s="1"/>
  <c r="H210" i="3" a="1"/>
  <c r="H210" i="3" s="1"/>
  <c r="C210" i="2" s="1"/>
  <c r="H196" i="3" a="1"/>
  <c r="H196" i="3" s="1"/>
  <c r="C196" i="2" s="1"/>
  <c r="H182" i="3" a="1"/>
  <c r="H182" i="3" s="1"/>
  <c r="C182" i="2" s="1"/>
  <c r="H168" i="3" a="1"/>
  <c r="H168" i="3" s="1"/>
  <c r="C168" i="2" s="1"/>
  <c r="H154" i="3" a="1"/>
  <c r="H154" i="3" s="1"/>
  <c r="C154" i="2" s="1"/>
  <c r="H140" i="3" a="1"/>
  <c r="H140" i="3" s="1"/>
  <c r="C140" i="2" s="1"/>
  <c r="H126" i="3" a="1"/>
  <c r="H126" i="3" s="1"/>
  <c r="C126" i="2" s="1"/>
  <c r="H390" i="3" a="1"/>
  <c r="H390" i="3" s="1"/>
  <c r="C390" i="2" s="1"/>
  <c r="H254" i="3" a="1"/>
  <c r="H254" i="3" s="1"/>
  <c r="C254" i="2" s="1"/>
  <c r="H249" i="3" a="1"/>
  <c r="H249" i="3" s="1"/>
  <c r="C249" i="2" s="1"/>
  <c r="H240" i="3" a="1"/>
  <c r="H240" i="3" s="1"/>
  <c r="C240" i="2" s="1"/>
  <c r="H224" i="3" a="1"/>
  <c r="H224" i="3" s="1"/>
  <c r="C224" i="2" s="1"/>
  <c r="H215" i="3" a="1"/>
  <c r="H215" i="3" s="1"/>
  <c r="C215" i="2" s="1"/>
  <c r="H201" i="3" a="1"/>
  <c r="H201" i="3" s="1"/>
  <c r="C201" i="2" s="1"/>
  <c r="H187" i="3" a="1"/>
  <c r="H187" i="3" s="1"/>
  <c r="C187" i="2" s="1"/>
  <c r="H173" i="3" a="1"/>
  <c r="H173" i="3" s="1"/>
  <c r="C173" i="2" s="1"/>
  <c r="H159" i="3" a="1"/>
  <c r="H159" i="3" s="1"/>
  <c r="C159" i="2" s="1"/>
  <c r="H145" i="3" a="1"/>
  <c r="H145" i="3" s="1"/>
  <c r="C145" i="2" s="1"/>
  <c r="H365" i="3" a="1"/>
  <c r="H365" i="3" s="1"/>
  <c r="C365" i="2" s="1"/>
  <c r="H336" i="3" a="1"/>
  <c r="H336" i="3" s="1"/>
  <c r="C336" i="2" s="1"/>
  <c r="H263" i="3" a="1"/>
  <c r="H263" i="3" s="1"/>
  <c r="C263" i="2" s="1"/>
  <c r="H252" i="3" a="1"/>
  <c r="H252" i="3" s="1"/>
  <c r="C252" i="2" s="1"/>
  <c r="H220" i="3" a="1"/>
  <c r="H220" i="3" s="1"/>
  <c r="C220" i="2" s="1"/>
  <c r="H206" i="3" a="1"/>
  <c r="H206" i="3" s="1"/>
  <c r="C206" i="2" s="1"/>
  <c r="H192" i="3" a="1"/>
  <c r="H192" i="3" s="1"/>
  <c r="C192" i="2" s="1"/>
  <c r="H307" i="3" a="1"/>
  <c r="H307" i="3" s="1"/>
  <c r="C307" i="2" s="1"/>
  <c r="H229" i="3" a="1"/>
  <c r="H229" i="3" s="1"/>
  <c r="C229" i="2" s="1"/>
  <c r="H211" i="3" a="1"/>
  <c r="H211" i="3" s="1"/>
  <c r="C211" i="2" s="1"/>
  <c r="H197" i="3" a="1"/>
  <c r="H197" i="3" s="1"/>
  <c r="C197" i="2" s="1"/>
  <c r="H183" i="3" a="1"/>
  <c r="H183" i="3" s="1"/>
  <c r="C183" i="2" s="1"/>
  <c r="H169" i="3" a="1"/>
  <c r="H169" i="3" s="1"/>
  <c r="C169" i="2" s="1"/>
  <c r="H155" i="3" a="1"/>
  <c r="H155" i="3" s="1"/>
  <c r="C155" i="2" s="1"/>
  <c r="H141" i="3" a="1"/>
  <c r="H141" i="3" s="1"/>
  <c r="C141" i="2" s="1"/>
  <c r="H127" i="3" a="1"/>
  <c r="H127" i="3" s="1"/>
  <c r="C127" i="2" s="1"/>
  <c r="H113" i="3" a="1"/>
  <c r="H113" i="3" s="1"/>
  <c r="C113" i="2" s="1"/>
  <c r="H349" i="3" a="1"/>
  <c r="H349" i="3" s="1"/>
  <c r="C349" i="2" s="1"/>
  <c r="H309" i="3" a="1"/>
  <c r="H309" i="3" s="1"/>
  <c r="C309" i="2" s="1"/>
  <c r="H282" i="3" a="1"/>
  <c r="H282" i="3" s="1"/>
  <c r="C282" i="2" s="1"/>
  <c r="H280" i="3" a="1"/>
  <c r="H280" i="3" s="1"/>
  <c r="C280" i="2" s="1"/>
  <c r="H233" i="3" a="1"/>
  <c r="H233" i="3" s="1"/>
  <c r="C233" i="2" s="1"/>
  <c r="H216" i="3" a="1"/>
  <c r="H216" i="3" s="1"/>
  <c r="C216" i="2" s="1"/>
  <c r="H581" i="3" a="1"/>
  <c r="H581" i="3" s="1"/>
  <c r="C581" i="2" s="1"/>
  <c r="H483" i="3" a="1"/>
  <c r="H483" i="3" s="1"/>
  <c r="C483" i="2" s="1"/>
  <c r="H404" i="3" a="1"/>
  <c r="H404" i="3" s="1"/>
  <c r="C404" i="2" s="1"/>
  <c r="H241" i="3" a="1"/>
  <c r="H241" i="3" s="1"/>
  <c r="C241" i="2" s="1"/>
  <c r="H237" i="3" a="1"/>
  <c r="H237" i="3" s="1"/>
  <c r="C237" i="2" s="1"/>
  <c r="H225" i="3" a="1"/>
  <c r="H225" i="3" s="1"/>
  <c r="C225" i="2" s="1"/>
  <c r="H221" i="3" a="1"/>
  <c r="H221" i="3" s="1"/>
  <c r="C221" i="2" s="1"/>
  <c r="H207" i="3" a="1"/>
  <c r="H207" i="3" s="1"/>
  <c r="C207" i="2" s="1"/>
  <c r="H193" i="3" a="1"/>
  <c r="H193" i="3" s="1"/>
  <c r="C193" i="2" s="1"/>
  <c r="H179" i="3" a="1"/>
  <c r="H179" i="3" s="1"/>
  <c r="C179" i="2" s="1"/>
  <c r="H165" i="3" a="1"/>
  <c r="H165" i="3" s="1"/>
  <c r="C165" i="2" s="1"/>
  <c r="H151" i="3" a="1"/>
  <c r="H151" i="3" s="1"/>
  <c r="C151" i="2" s="1"/>
  <c r="H137" i="3" a="1"/>
  <c r="H137" i="3" s="1"/>
  <c r="C137" i="2" s="1"/>
  <c r="H123" i="3" a="1"/>
  <c r="H123" i="3" s="1"/>
  <c r="C123" i="2" s="1"/>
  <c r="H399" i="3" a="1"/>
  <c r="H399" i="3" s="1"/>
  <c r="C399" i="2" s="1"/>
  <c r="H351" i="3" a="1"/>
  <c r="H351" i="3" s="1"/>
  <c r="C351" i="2" s="1"/>
  <c r="H322" i="3" a="1"/>
  <c r="H322" i="3" s="1"/>
  <c r="C322" i="2" s="1"/>
  <c r="H294" i="3" a="1"/>
  <c r="H294" i="3" s="1"/>
  <c r="C294" i="2" s="1"/>
  <c r="H268" i="3" a="1"/>
  <c r="H268" i="3" s="1"/>
  <c r="C268" i="2" s="1"/>
  <c r="H266" i="3" a="1"/>
  <c r="H266" i="3" s="1"/>
  <c r="C266" i="2" s="1"/>
  <c r="H212" i="3" a="1"/>
  <c r="H212" i="3" s="1"/>
  <c r="C212" i="2" s="1"/>
  <c r="H198" i="3" a="1"/>
  <c r="H198" i="3" s="1"/>
  <c r="C198" i="2" s="1"/>
  <c r="H184" i="3" a="1"/>
  <c r="H184" i="3" s="1"/>
  <c r="C184" i="2" s="1"/>
  <c r="H170" i="3" a="1"/>
  <c r="H170" i="3" s="1"/>
  <c r="C170" i="2" s="1"/>
  <c r="H156" i="3" a="1"/>
  <c r="H156" i="3" s="1"/>
  <c r="C156" i="2" s="1"/>
  <c r="H142" i="3" a="1"/>
  <c r="H142" i="3" s="1"/>
  <c r="C142" i="2" s="1"/>
  <c r="H602" i="3" a="1"/>
  <c r="H602" i="3" s="1"/>
  <c r="C602" i="2" s="1"/>
  <c r="H396" i="3" a="1"/>
  <c r="H396" i="3" s="1"/>
  <c r="C396" i="2" s="1"/>
  <c r="H337" i="3" a="1"/>
  <c r="H337" i="3" s="1"/>
  <c r="C337" i="2" s="1"/>
  <c r="H308" i="3" a="1"/>
  <c r="H308" i="3" s="1"/>
  <c r="C308" i="2" s="1"/>
  <c r="H218" i="3" a="1"/>
  <c r="H218" i="3" s="1"/>
  <c r="C218" i="2" s="1"/>
  <c r="H204" i="3" a="1"/>
  <c r="H204" i="3" s="1"/>
  <c r="C204" i="2" s="1"/>
  <c r="H190" i="3" a="1"/>
  <c r="H190" i="3" s="1"/>
  <c r="C190" i="2" s="1"/>
  <c r="H176" i="3" a="1"/>
  <c r="H176" i="3" s="1"/>
  <c r="C176" i="2" s="1"/>
  <c r="H162" i="3" a="1"/>
  <c r="H162" i="3" s="1"/>
  <c r="C162" i="2" s="1"/>
  <c r="H148" i="3" a="1"/>
  <c r="H148" i="3" s="1"/>
  <c r="C148" i="2" s="1"/>
  <c r="H134" i="3" a="1"/>
  <c r="H134" i="3" s="1"/>
  <c r="C134" i="2" s="1"/>
  <c r="H120" i="3" a="1"/>
  <c r="H120" i="3" s="1"/>
  <c r="C120" i="2" s="1"/>
  <c r="H373" i="3" a="1"/>
  <c r="H373" i="3" s="1"/>
  <c r="C373" i="2" s="1"/>
  <c r="H283" i="3" a="1"/>
  <c r="H283" i="3" s="1"/>
  <c r="C283" i="2" s="1"/>
  <c r="H281" i="3" a="1"/>
  <c r="H281" i="3" s="1"/>
  <c r="C281" i="2" s="1"/>
  <c r="H248" i="3" a="1"/>
  <c r="H248" i="3" s="1"/>
  <c r="C248" i="2" s="1"/>
  <c r="H245" i="3" a="1"/>
  <c r="H245" i="3" s="1"/>
  <c r="C245" i="2" s="1"/>
  <c r="H235" i="3" a="1"/>
  <c r="H235" i="3" s="1"/>
  <c r="C235" i="2" s="1"/>
  <c r="H231" i="3" a="1"/>
  <c r="H231" i="3" s="1"/>
  <c r="C231" i="2" s="1"/>
  <c r="H227" i="3" a="1"/>
  <c r="H227" i="3" s="1"/>
  <c r="C227" i="2" s="1"/>
  <c r="H209" i="3" a="1"/>
  <c r="H209" i="3" s="1"/>
  <c r="C209" i="2" s="1"/>
  <c r="H195" i="3" a="1"/>
  <c r="H195" i="3" s="1"/>
  <c r="C195" i="2" s="1"/>
  <c r="H181" i="3" a="1"/>
  <c r="H181" i="3" s="1"/>
  <c r="C181" i="2" s="1"/>
  <c r="H167" i="3" a="1"/>
  <c r="H167" i="3" s="1"/>
  <c r="C167" i="2" s="1"/>
  <c r="H153" i="3" a="1"/>
  <c r="H153" i="3" s="1"/>
  <c r="C153" i="2" s="1"/>
  <c r="H350" i="3" a="1"/>
  <c r="H350" i="3" s="1"/>
  <c r="C350" i="2" s="1"/>
  <c r="H321" i="3" a="1"/>
  <c r="H321" i="3" s="1"/>
  <c r="C321" i="2" s="1"/>
  <c r="H279" i="3" a="1"/>
  <c r="H279" i="3" s="1"/>
  <c r="C279" i="2" s="1"/>
  <c r="H251" i="3" a="1"/>
  <c r="H251" i="3" s="1"/>
  <c r="C251" i="2" s="1"/>
  <c r="H239" i="3" a="1"/>
  <c r="H239" i="3" s="1"/>
  <c r="C239" i="2" s="1"/>
  <c r="H223" i="3" a="1"/>
  <c r="H223" i="3" s="1"/>
  <c r="C223" i="2" s="1"/>
  <c r="H214" i="3" a="1"/>
  <c r="H214" i="3" s="1"/>
  <c r="C214" i="2" s="1"/>
  <c r="H200" i="3" a="1"/>
  <c r="H200" i="3" s="1"/>
  <c r="C200" i="2" s="1"/>
  <c r="H186" i="3" a="1"/>
  <c r="H186" i="3" s="1"/>
  <c r="C186" i="2" s="1"/>
  <c r="H172" i="3" a="1"/>
  <c r="H172" i="3" s="1"/>
  <c r="C172" i="2" s="1"/>
  <c r="H158" i="3" a="1"/>
  <c r="H158" i="3" s="1"/>
  <c r="C158" i="2" s="1"/>
  <c r="H144" i="3" a="1"/>
  <c r="H144" i="3" s="1"/>
  <c r="C144" i="2" s="1"/>
  <c r="H130" i="3" a="1"/>
  <c r="H130" i="3" s="1"/>
  <c r="C130" i="2" s="1"/>
  <c r="H116" i="3" a="1"/>
  <c r="H116" i="3" s="1"/>
  <c r="C116" i="2" s="1"/>
  <c r="H536" i="3" a="1"/>
  <c r="H536" i="3" s="1"/>
  <c r="C536" i="2" s="1"/>
  <c r="H378" i="3" a="1"/>
  <c r="H378" i="3" s="1"/>
  <c r="C378" i="2" s="1"/>
  <c r="H121" i="3" a="1"/>
  <c r="H121" i="3" s="1"/>
  <c r="C121" i="2" s="1"/>
  <c r="H118" i="3" a="1"/>
  <c r="H118" i="3" s="1"/>
  <c r="C118" i="2" s="1"/>
  <c r="H112" i="3" a="1"/>
  <c r="H112" i="3" s="1"/>
  <c r="C112" i="2" s="1"/>
  <c r="H104" i="3" a="1"/>
  <c r="H104" i="3" s="1"/>
  <c r="C104" i="2" s="1"/>
  <c r="H90" i="3" a="1"/>
  <c r="H90" i="3" s="1"/>
  <c r="C90" i="2" s="1"/>
  <c r="H76" i="3" a="1"/>
  <c r="H76" i="3" s="1"/>
  <c r="C76" i="2" s="1"/>
  <c r="H62" i="3" a="1"/>
  <c r="H62" i="3" s="1"/>
  <c r="C62" i="2" s="1"/>
  <c r="H335" i="3" a="1"/>
  <c r="H335" i="3" s="1"/>
  <c r="C335" i="2" s="1"/>
  <c r="H230" i="3" a="1"/>
  <c r="H230" i="3" s="1"/>
  <c r="C230" i="2" s="1"/>
  <c r="H139" i="3" a="1"/>
  <c r="H139" i="3" s="1"/>
  <c r="C139" i="2" s="1"/>
  <c r="H132" i="3" a="1"/>
  <c r="H132" i="3" s="1"/>
  <c r="C132" i="2" s="1"/>
  <c r="H115" i="3" a="1"/>
  <c r="H115" i="3" s="1"/>
  <c r="C115" i="2" s="1"/>
  <c r="H95" i="3" a="1"/>
  <c r="H95" i="3" s="1"/>
  <c r="C95" i="2" s="1"/>
  <c r="H81" i="3" a="1"/>
  <c r="H81" i="3" s="1"/>
  <c r="C81" i="2" s="1"/>
  <c r="H67" i="3" a="1"/>
  <c r="H67" i="3" s="1"/>
  <c r="C67" i="2" s="1"/>
  <c r="H53" i="3" a="1"/>
  <c r="H53" i="3" s="1"/>
  <c r="C53" i="2" s="1"/>
  <c r="H39" i="3" a="1"/>
  <c r="H39" i="3" s="1"/>
  <c r="C39" i="2" s="1"/>
  <c r="H25" i="3" a="1"/>
  <c r="H25" i="3" s="1"/>
  <c r="C25" i="2" s="1"/>
  <c r="H364" i="3" a="1"/>
  <c r="H364" i="3" s="1"/>
  <c r="C364" i="2" s="1"/>
  <c r="H203" i="3" a="1"/>
  <c r="H203" i="3" s="1"/>
  <c r="C203" i="2" s="1"/>
  <c r="H199" i="3" a="1"/>
  <c r="H199" i="3" s="1"/>
  <c r="C199" i="2" s="1"/>
  <c r="H146" i="3" a="1"/>
  <c r="H146" i="3" s="1"/>
  <c r="C146" i="2" s="1"/>
  <c r="H124" i="3" a="1"/>
  <c r="H124" i="3" s="1"/>
  <c r="C124" i="2" s="1"/>
  <c r="H100" i="3" a="1"/>
  <c r="H100" i="3" s="1"/>
  <c r="C100" i="2" s="1"/>
  <c r="H86" i="3" a="1"/>
  <c r="H86" i="3" s="1"/>
  <c r="C86" i="2" s="1"/>
  <c r="H72" i="3" a="1"/>
  <c r="H72" i="3" s="1"/>
  <c r="C72" i="2" s="1"/>
  <c r="H58" i="3" a="1"/>
  <c r="H58" i="3" s="1"/>
  <c r="C58" i="2" s="1"/>
  <c r="H44" i="3" a="1"/>
  <c r="H44" i="3" s="1"/>
  <c r="C44" i="2" s="1"/>
  <c r="H461" i="3" a="1"/>
  <c r="H461" i="3" s="1"/>
  <c r="C461" i="2" s="1"/>
  <c r="H380" i="3" a="1"/>
  <c r="H380" i="3" s="1"/>
  <c r="C380" i="2" s="1"/>
  <c r="H178" i="3" a="1"/>
  <c r="H178" i="3" s="1"/>
  <c r="C178" i="2" s="1"/>
  <c r="H109" i="3" a="1"/>
  <c r="H109" i="3" s="1"/>
  <c r="C109" i="2" s="1"/>
  <c r="H91" i="3" a="1"/>
  <c r="H91" i="3" s="1"/>
  <c r="C91" i="2" s="1"/>
  <c r="H77" i="3" a="1"/>
  <c r="H77" i="3" s="1"/>
  <c r="C77" i="2" s="1"/>
  <c r="H63" i="3" a="1"/>
  <c r="H63" i="3" s="1"/>
  <c r="C63" i="2" s="1"/>
  <c r="H49" i="3" a="1"/>
  <c r="H49" i="3" s="1"/>
  <c r="C49" i="2" s="1"/>
  <c r="H35" i="3" a="1"/>
  <c r="H35" i="3" s="1"/>
  <c r="C35" i="2" s="1"/>
  <c r="H21" i="3" a="1"/>
  <c r="H21" i="3" s="1"/>
  <c r="C21" i="2" s="1"/>
  <c r="H234" i="3" a="1"/>
  <c r="H234" i="3" s="1"/>
  <c r="C234" i="2" s="1"/>
  <c r="H180" i="3" a="1"/>
  <c r="H180" i="3" s="1"/>
  <c r="C180" i="2" s="1"/>
  <c r="H174" i="3" a="1"/>
  <c r="H174" i="3" s="1"/>
  <c r="C174" i="2" s="1"/>
  <c r="H135" i="3" a="1"/>
  <c r="H135" i="3" s="1"/>
  <c r="C135" i="2" s="1"/>
  <c r="H122" i="3" a="1"/>
  <c r="H122" i="3" s="1"/>
  <c r="C122" i="2" s="1"/>
  <c r="H119" i="3" a="1"/>
  <c r="H119" i="3" s="1"/>
  <c r="C119" i="2" s="1"/>
  <c r="H105" i="3" a="1"/>
  <c r="H105" i="3" s="1"/>
  <c r="C105" i="2" s="1"/>
  <c r="H96" i="3" a="1"/>
  <c r="H96" i="3" s="1"/>
  <c r="C96" i="2" s="1"/>
  <c r="H82" i="3" a="1"/>
  <c r="H82" i="3" s="1"/>
  <c r="C82" i="2" s="1"/>
  <c r="H68" i="3" a="1"/>
  <c r="H68" i="3" s="1"/>
  <c r="C68" i="2" s="1"/>
  <c r="H54" i="3" a="1"/>
  <c r="H54" i="3" s="1"/>
  <c r="C54" i="2" s="1"/>
  <c r="H40" i="3" a="1"/>
  <c r="H40" i="3" s="1"/>
  <c r="C40" i="2" s="1"/>
  <c r="H188" i="3" a="1"/>
  <c r="H188" i="3" s="1"/>
  <c r="C188" i="2" s="1"/>
  <c r="H164" i="3" a="1"/>
  <c r="H164" i="3" s="1"/>
  <c r="C164" i="2" s="1"/>
  <c r="H157" i="3" a="1"/>
  <c r="H157" i="3" s="1"/>
  <c r="C157" i="2" s="1"/>
  <c r="H133" i="3" a="1"/>
  <c r="H133" i="3" s="1"/>
  <c r="C133" i="2" s="1"/>
  <c r="H101" i="3" a="1"/>
  <c r="H101" i="3" s="1"/>
  <c r="C101" i="2" s="1"/>
  <c r="H87" i="3" a="1"/>
  <c r="H87" i="3" s="1"/>
  <c r="C87" i="2" s="1"/>
  <c r="H73" i="3" a="1"/>
  <c r="H73" i="3" s="1"/>
  <c r="C73" i="2" s="1"/>
  <c r="H59" i="3" a="1"/>
  <c r="H59" i="3" s="1"/>
  <c r="C59" i="2" s="1"/>
  <c r="H45" i="3" a="1"/>
  <c r="H45" i="3" s="1"/>
  <c r="C45" i="2" s="1"/>
  <c r="H31" i="3" a="1"/>
  <c r="H31" i="3" s="1"/>
  <c r="C31" i="2" s="1"/>
  <c r="H253" i="3" a="1"/>
  <c r="H253" i="3" s="1"/>
  <c r="C253" i="2" s="1"/>
  <c r="H166" i="3" a="1"/>
  <c r="H166" i="3" s="1"/>
  <c r="C166" i="2" s="1"/>
  <c r="H92" i="3" a="1"/>
  <c r="H92" i="3" s="1"/>
  <c r="C92" i="2" s="1"/>
  <c r="H78" i="3" a="1"/>
  <c r="H78" i="3" s="1"/>
  <c r="C78" i="2" s="1"/>
  <c r="H64" i="3" a="1"/>
  <c r="H64" i="3" s="1"/>
  <c r="C64" i="2" s="1"/>
  <c r="H50" i="3" a="1"/>
  <c r="H50" i="3" s="1"/>
  <c r="C50" i="2" s="1"/>
  <c r="H36" i="3" a="1"/>
  <c r="H36" i="3" s="1"/>
  <c r="C36" i="2" s="1"/>
  <c r="H149" i="3" a="1"/>
  <c r="H149" i="3" s="1"/>
  <c r="C149" i="2" s="1"/>
  <c r="H147" i="3" a="1"/>
  <c r="H147" i="3" s="1"/>
  <c r="C147" i="2" s="1"/>
  <c r="H125" i="3" a="1"/>
  <c r="H125" i="3" s="1"/>
  <c r="C125" i="2" s="1"/>
  <c r="H110" i="3" a="1"/>
  <c r="H110" i="3" s="1"/>
  <c r="C110" i="2" s="1"/>
  <c r="H106" i="3" a="1"/>
  <c r="H106" i="3" s="1"/>
  <c r="C106" i="2" s="1"/>
  <c r="H97" i="3" a="1"/>
  <c r="H97" i="3" s="1"/>
  <c r="C97" i="2" s="1"/>
  <c r="H83" i="3" a="1"/>
  <c r="H83" i="3" s="1"/>
  <c r="C83" i="2" s="1"/>
  <c r="H255" i="3" a="1"/>
  <c r="H255" i="3" s="1"/>
  <c r="C255" i="2" s="1"/>
  <c r="H238" i="3" a="1"/>
  <c r="H238" i="3" s="1"/>
  <c r="C238" i="2" s="1"/>
  <c r="H194" i="3" a="1"/>
  <c r="H194" i="3" s="1"/>
  <c r="C194" i="2" s="1"/>
  <c r="H160" i="3" a="1"/>
  <c r="H160" i="3" s="1"/>
  <c r="C160" i="2" s="1"/>
  <c r="H138" i="3" a="1"/>
  <c r="H138" i="3" s="1"/>
  <c r="C138" i="2" s="1"/>
  <c r="H128" i="3" a="1"/>
  <c r="H128" i="3" s="1"/>
  <c r="C128" i="2" s="1"/>
  <c r="H102" i="3" a="1"/>
  <c r="H102" i="3" s="1"/>
  <c r="C102" i="2" s="1"/>
  <c r="H88" i="3" a="1"/>
  <c r="H88" i="3" s="1"/>
  <c r="C88" i="2" s="1"/>
  <c r="H74" i="3" a="1"/>
  <c r="H74" i="3" s="1"/>
  <c r="C74" i="2" s="1"/>
  <c r="H296" i="3" a="1"/>
  <c r="H296" i="3" s="1"/>
  <c r="C296" i="2" s="1"/>
  <c r="H202" i="3" a="1"/>
  <c r="H202" i="3" s="1"/>
  <c r="C202" i="2" s="1"/>
  <c r="H136" i="3" a="1"/>
  <c r="H136" i="3" s="1"/>
  <c r="C136" i="2" s="1"/>
  <c r="H93" i="3" a="1"/>
  <c r="H93" i="3" s="1"/>
  <c r="C93" i="2" s="1"/>
  <c r="H79" i="3" a="1"/>
  <c r="H79" i="3" s="1"/>
  <c r="C79" i="2" s="1"/>
  <c r="H65" i="3" a="1"/>
  <c r="H65" i="3" s="1"/>
  <c r="C65" i="2" s="1"/>
  <c r="H257" i="3" a="1"/>
  <c r="H257" i="3" s="1"/>
  <c r="C257" i="2" s="1"/>
  <c r="H111" i="3" a="1"/>
  <c r="H111" i="3" s="1"/>
  <c r="C111" i="2" s="1"/>
  <c r="H103" i="3" a="1"/>
  <c r="H103" i="3" s="1"/>
  <c r="C103" i="2" s="1"/>
  <c r="H89" i="3" a="1"/>
  <c r="H89" i="3" s="1"/>
  <c r="C89" i="2" s="1"/>
  <c r="H75" i="3" a="1"/>
  <c r="H75" i="3" s="1"/>
  <c r="C75" i="2" s="1"/>
  <c r="H61" i="3" a="1"/>
  <c r="H61" i="3" s="1"/>
  <c r="C61" i="2" s="1"/>
  <c r="H47" i="3" a="1"/>
  <c r="H47" i="3" s="1"/>
  <c r="C47" i="2" s="1"/>
  <c r="H33" i="3" a="1"/>
  <c r="H33" i="3" s="1"/>
  <c r="C33" i="2" s="1"/>
  <c r="H19" i="3" a="1"/>
  <c r="H19" i="3" s="1"/>
  <c r="C19" i="2" s="1"/>
  <c r="H5" i="3" a="1"/>
  <c r="H5" i="3" s="1"/>
  <c r="C5" i="2" s="1"/>
  <c r="H451" i="3" a="1"/>
  <c r="H451" i="3" s="1"/>
  <c r="C451" i="2" s="1"/>
  <c r="H217" i="3" a="1"/>
  <c r="H217" i="3" s="1"/>
  <c r="C217" i="2" s="1"/>
  <c r="H189" i="3" a="1"/>
  <c r="H189" i="3" s="1"/>
  <c r="C189" i="2" s="1"/>
  <c r="H185" i="3" a="1"/>
  <c r="H185" i="3" s="1"/>
  <c r="C185" i="2" s="1"/>
  <c r="H94" i="3" a="1"/>
  <c r="H94" i="3" s="1"/>
  <c r="C94" i="2" s="1"/>
  <c r="H80" i="3" a="1"/>
  <c r="H80" i="3" s="1"/>
  <c r="C80" i="2" s="1"/>
  <c r="H66" i="3" a="1"/>
  <c r="H66" i="3" s="1"/>
  <c r="C66" i="2" s="1"/>
  <c r="H52" i="3" a="1"/>
  <c r="H52" i="3" s="1"/>
  <c r="C52" i="2" s="1"/>
  <c r="H413" i="3" a="1"/>
  <c r="H413" i="3" s="1"/>
  <c r="C413" i="2" s="1"/>
  <c r="H30" i="3" a="1"/>
  <c r="H30" i="3" s="1"/>
  <c r="C30" i="2" s="1"/>
  <c r="H163" i="3" a="1"/>
  <c r="H163" i="3" s="1"/>
  <c r="C163" i="2" s="1"/>
  <c r="H69" i="3" a="1"/>
  <c r="H69" i="3" s="1"/>
  <c r="C69" i="2" s="1"/>
  <c r="H171" i="3" a="1"/>
  <c r="H171" i="3" s="1"/>
  <c r="C171" i="2" s="1"/>
  <c r="H71" i="3" a="1"/>
  <c r="H71" i="3" s="1"/>
  <c r="C71" i="2" s="1"/>
  <c r="H43" i="3" a="1"/>
  <c r="H43" i="3" s="1"/>
  <c r="C43" i="2" s="1"/>
  <c r="H150" i="3" a="1"/>
  <c r="H150" i="3" s="1"/>
  <c r="C150" i="2" s="1"/>
  <c r="H117" i="3" a="1"/>
  <c r="H117" i="3" s="1"/>
  <c r="C117" i="2" s="1"/>
  <c r="H107" i="3" a="1"/>
  <c r="H107" i="3" s="1"/>
  <c r="C107" i="2" s="1"/>
  <c r="H85" i="3" a="1"/>
  <c r="H85" i="3" s="1"/>
  <c r="C85" i="2" s="1"/>
  <c r="H57" i="3" a="1"/>
  <c r="H57" i="3" s="1"/>
  <c r="C57" i="2" s="1"/>
  <c r="H41" i="3" a="1"/>
  <c r="H41" i="3" s="1"/>
  <c r="C41" i="2" s="1"/>
  <c r="H8" i="3" a="1"/>
  <c r="H8" i="3" s="1"/>
  <c r="C8" i="2" s="1"/>
  <c r="H208" i="3" a="1"/>
  <c r="H208" i="3" s="1"/>
  <c r="C208" i="2" s="1"/>
  <c r="H99" i="3" a="1"/>
  <c r="H99" i="3" s="1"/>
  <c r="C99" i="2" s="1"/>
  <c r="H55" i="3" a="1"/>
  <c r="H55" i="3" s="1"/>
  <c r="C55" i="2" s="1"/>
  <c r="H46" i="3" a="1"/>
  <c r="H46" i="3" s="1"/>
  <c r="C46" i="2" s="1"/>
  <c r="H213" i="3" a="1"/>
  <c r="H213" i="3" s="1"/>
  <c r="C213" i="2" s="1"/>
  <c r="H152" i="3" a="1"/>
  <c r="H152" i="3" s="1"/>
  <c r="C152" i="2" s="1"/>
  <c r="H48" i="3" a="1"/>
  <c r="H48" i="3" s="1"/>
  <c r="C48" i="2" s="1"/>
  <c r="H226" i="3" a="1"/>
  <c r="H226" i="3" s="1"/>
  <c r="C226" i="2" s="1"/>
  <c r="H114" i="3" a="1"/>
  <c r="H114" i="3" s="1"/>
  <c r="C114" i="2" s="1"/>
  <c r="H16" i="3" a="1"/>
  <c r="H16" i="3" s="1"/>
  <c r="C16" i="2" s="1"/>
  <c r="H13" i="3" a="1"/>
  <c r="H13" i="3" s="1"/>
  <c r="C13" i="2" s="1"/>
  <c r="H9" i="3" a="1"/>
  <c r="H9" i="3" s="1"/>
  <c r="C9" i="2" s="1"/>
  <c r="H129" i="3" a="1"/>
  <c r="H129" i="3" s="1"/>
  <c r="C129" i="2" s="1"/>
  <c r="H60" i="3" a="1"/>
  <c r="H60" i="3" s="1"/>
  <c r="C60" i="2" s="1"/>
  <c r="H51" i="3" a="1"/>
  <c r="H51" i="3" s="1"/>
  <c r="C51" i="2" s="1"/>
  <c r="H175" i="3" a="1"/>
  <c r="H175" i="3" s="1"/>
  <c r="C175" i="2" s="1"/>
  <c r="H84" i="3" a="1"/>
  <c r="H84" i="3" s="1"/>
  <c r="C84" i="2" s="1"/>
  <c r="H70" i="3" a="1"/>
  <c r="H70" i="3" s="1"/>
  <c r="C70" i="2" s="1"/>
  <c r="H131" i="3" a="1"/>
  <c r="H131" i="3" s="1"/>
  <c r="C131" i="2" s="1"/>
  <c r="H108" i="3" a="1"/>
  <c r="H108" i="3" s="1"/>
  <c r="C108" i="2" s="1"/>
  <c r="H98" i="3" a="1"/>
  <c r="H98" i="3" s="1"/>
  <c r="C98" i="2" s="1"/>
  <c r="H20" i="3" a="1"/>
  <c r="H20" i="3" s="1"/>
  <c r="C20" i="2" s="1"/>
  <c r="H17" i="3" a="1"/>
  <c r="H17" i="3" s="1"/>
  <c r="C17" i="2" s="1"/>
  <c r="H161" i="3" a="1"/>
  <c r="H161" i="3" s="1"/>
  <c r="C161" i="2" s="1"/>
  <c r="H27" i="3" a="1"/>
  <c r="H27" i="3" s="1"/>
  <c r="C27" i="2" s="1"/>
  <c r="H28" i="3" a="1"/>
  <c r="H28" i="3" s="1"/>
  <c r="C28" i="2" s="1"/>
  <c r="H143" i="3" a="1"/>
  <c r="H143" i="3" s="1"/>
  <c r="C143" i="2" s="1"/>
  <c r="H6" i="3" a="1"/>
  <c r="H6" i="3" s="1"/>
  <c r="C6" i="2" s="1"/>
  <c r="H38" i="3" a="1"/>
  <c r="H38" i="3" s="1"/>
  <c r="C38" i="2" s="1"/>
  <c r="H18" i="3" a="1"/>
  <c r="H18" i="3" s="1"/>
  <c r="C18" i="2" s="1"/>
  <c r="H42" i="3" a="1"/>
  <c r="H42" i="3" s="1"/>
  <c r="C42" i="2" s="1"/>
  <c r="H26" i="3" a="1"/>
  <c r="H26" i="3" s="1"/>
  <c r="C26" i="2" s="1"/>
  <c r="H24" i="3" a="1"/>
  <c r="H24" i="3" s="1"/>
  <c r="C24" i="2" s="1"/>
  <c r="H37" i="3" a="1"/>
  <c r="H37" i="3" s="1"/>
  <c r="C37" i="2" s="1"/>
  <c r="H12" i="3" a="1"/>
  <c r="H12" i="3" s="1"/>
  <c r="C12" i="2" s="1"/>
  <c r="H32" i="3" a="1"/>
  <c r="H32" i="3" s="1"/>
  <c r="C32" i="2" s="1"/>
  <c r="H23" i="3" a="1"/>
  <c r="H23" i="3" s="1"/>
  <c r="C23" i="2" s="1"/>
  <c r="H56" i="3" a="1"/>
  <c r="H56" i="3" s="1"/>
  <c r="C56" i="2" s="1"/>
  <c r="H29" i="3" a="1"/>
  <c r="H29" i="3" s="1"/>
  <c r="C29" i="2" s="1"/>
  <c r="H34" i="3" a="1"/>
  <c r="H34" i="3" s="1"/>
  <c r="C34" i="2" s="1"/>
  <c r="H15" i="3" a="1"/>
  <c r="H15" i="3" s="1"/>
  <c r="C15" i="2" s="1"/>
  <c r="H3" i="3" a="1"/>
  <c r="H3" i="3" s="1"/>
  <c r="C3" i="2" s="1"/>
  <c r="D3" i="3" l="1" a="1"/>
  <c r="D999" i="3" l="1"/>
  <c r="D985" i="3"/>
  <c r="D971" i="3"/>
  <c r="D957" i="3"/>
  <c r="D943" i="3"/>
  <c r="D929" i="3"/>
  <c r="D915" i="3"/>
  <c r="D901" i="3"/>
  <c r="D887" i="3"/>
  <c r="D873" i="3"/>
  <c r="D859" i="3"/>
  <c r="D845" i="3"/>
  <c r="D998" i="3"/>
  <c r="D983" i="3"/>
  <c r="D968" i="3"/>
  <c r="D953" i="3"/>
  <c r="D938" i="3"/>
  <c r="D923" i="3"/>
  <c r="D908" i="3"/>
  <c r="D893" i="3"/>
  <c r="D878" i="3"/>
  <c r="D863" i="3"/>
  <c r="D848" i="3"/>
  <c r="D833" i="3"/>
  <c r="D819" i="3"/>
  <c r="D805" i="3"/>
  <c r="D791" i="3"/>
  <c r="D777" i="3"/>
  <c r="D763" i="3"/>
  <c r="D749" i="3"/>
  <c r="D735" i="3"/>
  <c r="D721" i="3"/>
  <c r="D707" i="3"/>
  <c r="D693" i="3"/>
  <c r="D679" i="3"/>
  <c r="D665" i="3"/>
  <c r="D651" i="3"/>
  <c r="D637" i="3"/>
  <c r="D623" i="3"/>
  <c r="D609" i="3"/>
  <c r="D595" i="3"/>
  <c r="D581" i="3"/>
  <c r="D567" i="3"/>
  <c r="D553" i="3"/>
  <c r="D539" i="3"/>
  <c r="D525" i="3"/>
  <c r="D511" i="3"/>
  <c r="D497" i="3"/>
  <c r="D483" i="3"/>
  <c r="D469" i="3"/>
  <c r="D455" i="3"/>
  <c r="D441" i="3"/>
  <c r="D427" i="3"/>
  <c r="D413" i="3"/>
  <c r="D399" i="3"/>
  <c r="D385" i="3"/>
  <c r="D371" i="3"/>
  <c r="D357" i="3"/>
  <c r="D343" i="3"/>
  <c r="D329" i="3"/>
  <c r="D315" i="3"/>
  <c r="D301" i="3"/>
  <c r="D287" i="3"/>
  <c r="D273" i="3"/>
  <c r="D259" i="3"/>
  <c r="D245" i="3"/>
  <c r="D231" i="3"/>
  <c r="D217" i="3"/>
  <c r="D203" i="3"/>
  <c r="D189" i="3"/>
  <c r="D175" i="3"/>
  <c r="D161" i="3"/>
  <c r="D147" i="3"/>
  <c r="D133" i="3"/>
  <c r="D119" i="3"/>
  <c r="D989" i="3"/>
  <c r="D973" i="3"/>
  <c r="D956" i="3"/>
  <c r="D940" i="3"/>
  <c r="D924" i="3"/>
  <c r="D907" i="3"/>
  <c r="D891" i="3"/>
  <c r="D875" i="3"/>
  <c r="D858" i="3"/>
  <c r="D842" i="3"/>
  <c r="D827" i="3"/>
  <c r="D812" i="3"/>
  <c r="D797" i="3"/>
  <c r="D782" i="3"/>
  <c r="D767" i="3"/>
  <c r="D752" i="3"/>
  <c r="D737" i="3"/>
  <c r="D722" i="3"/>
  <c r="D706" i="3"/>
  <c r="D691" i="3"/>
  <c r="D676" i="3"/>
  <c r="D661" i="3"/>
  <c r="D646" i="3"/>
  <c r="D631" i="3"/>
  <c r="D616" i="3"/>
  <c r="D601" i="3"/>
  <c r="D586" i="3"/>
  <c r="D571" i="3"/>
  <c r="D556" i="3"/>
  <c r="D541" i="3"/>
  <c r="D526" i="3"/>
  <c r="D510" i="3"/>
  <c r="D495" i="3"/>
  <c r="D480" i="3"/>
  <c r="D465" i="3"/>
  <c r="D450" i="3"/>
  <c r="D435" i="3"/>
  <c r="D420" i="3"/>
  <c r="D405" i="3"/>
  <c r="D390" i="3"/>
  <c r="D375" i="3"/>
  <c r="D360" i="3"/>
  <c r="D345" i="3"/>
  <c r="D330" i="3"/>
  <c r="D314" i="3"/>
  <c r="D299" i="3"/>
  <c r="D284" i="3"/>
  <c r="D269" i="3"/>
  <c r="D254" i="3"/>
  <c r="D239" i="3"/>
  <c r="D224" i="3"/>
  <c r="D209" i="3"/>
  <c r="D194" i="3"/>
  <c r="D179" i="3"/>
  <c r="D164" i="3"/>
  <c r="D149" i="3"/>
  <c r="D134" i="3"/>
  <c r="D118" i="3"/>
  <c r="D104" i="3"/>
  <c r="D90" i="3"/>
  <c r="D76" i="3"/>
  <c r="D62" i="3"/>
  <c r="D48" i="3"/>
  <c r="D34" i="3"/>
  <c r="D20" i="3"/>
  <c r="D6" i="3"/>
  <c r="D991" i="3"/>
  <c r="D974" i="3"/>
  <c r="D955" i="3"/>
  <c r="D937" i="3"/>
  <c r="D920" i="3"/>
  <c r="D903" i="3"/>
  <c r="D885" i="3"/>
  <c r="D868" i="3"/>
  <c r="D851" i="3"/>
  <c r="D834" i="3"/>
  <c r="D817" i="3"/>
  <c r="D801" i="3"/>
  <c r="D785" i="3"/>
  <c r="D769" i="3"/>
  <c r="D753" i="3"/>
  <c r="D736" i="3"/>
  <c r="D719" i="3"/>
  <c r="D703" i="3"/>
  <c r="D687" i="3"/>
  <c r="D671" i="3"/>
  <c r="D655" i="3"/>
  <c r="D639" i="3"/>
  <c r="D622" i="3"/>
  <c r="D606" i="3"/>
  <c r="D590" i="3"/>
  <c r="D574" i="3"/>
  <c r="D558" i="3"/>
  <c r="D542" i="3"/>
  <c r="D524" i="3"/>
  <c r="D508" i="3"/>
  <c r="D492" i="3"/>
  <c r="D476" i="3"/>
  <c r="D460" i="3"/>
  <c r="D444" i="3"/>
  <c r="D428" i="3"/>
  <c r="D411" i="3"/>
  <c r="D395" i="3"/>
  <c r="D379" i="3"/>
  <c r="D363" i="3"/>
  <c r="D347" i="3"/>
  <c r="D331" i="3"/>
  <c r="D313" i="3"/>
  <c r="D297" i="3"/>
  <c r="D281" i="3"/>
  <c r="D265" i="3"/>
  <c r="D249" i="3"/>
  <c r="D233" i="3"/>
  <c r="D216" i="3"/>
  <c r="D200" i="3"/>
  <c r="D184" i="3"/>
  <c r="D168" i="3"/>
  <c r="D152" i="3"/>
  <c r="D136" i="3"/>
  <c r="D120" i="3"/>
  <c r="D103" i="3"/>
  <c r="D88" i="3"/>
  <c r="D73" i="3"/>
  <c r="D58" i="3"/>
  <c r="D43" i="3"/>
  <c r="D28" i="3"/>
  <c r="D13" i="3"/>
  <c r="D996" i="3"/>
  <c r="D979" i="3"/>
  <c r="D962" i="3"/>
  <c r="D945" i="3"/>
  <c r="D927" i="3"/>
  <c r="D910" i="3"/>
  <c r="D892" i="3"/>
  <c r="D874" i="3"/>
  <c r="D856" i="3"/>
  <c r="D839" i="3"/>
  <c r="D823" i="3"/>
  <c r="D807" i="3"/>
  <c r="D790" i="3"/>
  <c r="D774" i="3"/>
  <c r="D758" i="3"/>
  <c r="D742" i="3"/>
  <c r="D726" i="3"/>
  <c r="D710" i="3"/>
  <c r="D694" i="3"/>
  <c r="D677" i="3"/>
  <c r="D660" i="3"/>
  <c r="D644" i="3"/>
  <c r="D628" i="3"/>
  <c r="D612" i="3"/>
  <c r="D596" i="3"/>
  <c r="D579" i="3"/>
  <c r="D563" i="3"/>
  <c r="D547" i="3"/>
  <c r="D531" i="3"/>
  <c r="D515" i="3"/>
  <c r="D499" i="3"/>
  <c r="D482" i="3"/>
  <c r="D466" i="3"/>
  <c r="D449" i="3"/>
  <c r="D433" i="3"/>
  <c r="D417" i="3"/>
  <c r="D401" i="3"/>
  <c r="D384" i="3"/>
  <c r="D368" i="3"/>
  <c r="D352" i="3"/>
  <c r="D336" i="3"/>
  <c r="D320" i="3"/>
  <c r="D304" i="3"/>
  <c r="D288" i="3"/>
  <c r="D271" i="3"/>
  <c r="D255" i="3"/>
  <c r="D238" i="3"/>
  <c r="D222" i="3"/>
  <c r="D206" i="3"/>
  <c r="D190" i="3"/>
  <c r="D173" i="3"/>
  <c r="D157" i="3"/>
  <c r="D141" i="3"/>
  <c r="D125" i="3"/>
  <c r="D109" i="3"/>
  <c r="D94" i="3"/>
  <c r="D79" i="3"/>
  <c r="D64" i="3"/>
  <c r="D49" i="3"/>
  <c r="D33" i="3"/>
  <c r="D18" i="3"/>
  <c r="D984" i="3"/>
  <c r="D964" i="3"/>
  <c r="D944" i="3"/>
  <c r="D922" i="3"/>
  <c r="D902" i="3"/>
  <c r="D882" i="3"/>
  <c r="D862" i="3"/>
  <c r="D841" i="3"/>
  <c r="D822" i="3"/>
  <c r="D803" i="3"/>
  <c r="D784" i="3"/>
  <c r="D765" i="3"/>
  <c r="D746" i="3"/>
  <c r="D728" i="3"/>
  <c r="D709" i="3"/>
  <c r="D689" i="3"/>
  <c r="D670" i="3"/>
  <c r="D652" i="3"/>
  <c r="D633" i="3"/>
  <c r="D614" i="3"/>
  <c r="D594" i="3"/>
  <c r="D576" i="3"/>
  <c r="D557" i="3"/>
  <c r="D537" i="3"/>
  <c r="D519" i="3"/>
  <c r="D501" i="3"/>
  <c r="D481" i="3"/>
  <c r="D462" i="3"/>
  <c r="D443" i="3"/>
  <c r="D424" i="3"/>
  <c r="D406" i="3"/>
  <c r="D387" i="3"/>
  <c r="D367" i="3"/>
  <c r="D349" i="3"/>
  <c r="D328" i="3"/>
  <c r="D310" i="3"/>
  <c r="D292" i="3"/>
  <c r="D274" i="3"/>
  <c r="D253" i="3"/>
  <c r="D235" i="3"/>
  <c r="D215" i="3"/>
  <c r="D197" i="3"/>
  <c r="D178" i="3"/>
  <c r="D159" i="3"/>
  <c r="D140" i="3"/>
  <c r="D122" i="3"/>
  <c r="D102" i="3"/>
  <c r="D85" i="3"/>
  <c r="D68" i="3"/>
  <c r="D51" i="3"/>
  <c r="D32" i="3"/>
  <c r="D15" i="3"/>
  <c r="D990" i="3"/>
  <c r="D967" i="3"/>
  <c r="D947" i="3"/>
  <c r="D925" i="3"/>
  <c r="D900" i="3"/>
  <c r="D880" i="3"/>
  <c r="D857" i="3"/>
  <c r="D836" i="3"/>
  <c r="D815" i="3"/>
  <c r="D795" i="3"/>
  <c r="D775" i="3"/>
  <c r="D755" i="3"/>
  <c r="D733" i="3"/>
  <c r="D714" i="3"/>
  <c r="D695" i="3"/>
  <c r="D673" i="3"/>
  <c r="D653" i="3"/>
  <c r="D632" i="3"/>
  <c r="D611" i="3"/>
  <c r="D591" i="3"/>
  <c r="D570" i="3"/>
  <c r="D550" i="3"/>
  <c r="D530" i="3"/>
  <c r="D509" i="3"/>
  <c r="D489" i="3"/>
  <c r="D470" i="3"/>
  <c r="D448" i="3"/>
  <c r="D429" i="3"/>
  <c r="D408" i="3"/>
  <c r="D388" i="3"/>
  <c r="D366" i="3"/>
  <c r="D346" i="3"/>
  <c r="D325" i="3"/>
  <c r="D306" i="3"/>
  <c r="D285" i="3"/>
  <c r="D264" i="3"/>
  <c r="D244" i="3"/>
  <c r="D225" i="3"/>
  <c r="D204" i="3"/>
  <c r="D183" i="3"/>
  <c r="D163" i="3"/>
  <c r="D143" i="3"/>
  <c r="D123" i="3"/>
  <c r="D101" i="3"/>
  <c r="D83" i="3"/>
  <c r="D65" i="3"/>
  <c r="D45" i="3"/>
  <c r="D26" i="3"/>
  <c r="D8" i="3"/>
  <c r="D988" i="3"/>
  <c r="D966" i="3"/>
  <c r="D946" i="3"/>
  <c r="D921" i="3"/>
  <c r="D899" i="3"/>
  <c r="D879" i="3"/>
  <c r="D855" i="3"/>
  <c r="D835" i="3"/>
  <c r="D814" i="3"/>
  <c r="D794" i="3"/>
  <c r="D773" i="3"/>
  <c r="D754" i="3"/>
  <c r="D732" i="3"/>
  <c r="D713" i="3"/>
  <c r="D692" i="3"/>
  <c r="D672" i="3"/>
  <c r="D650" i="3"/>
  <c r="D630" i="3"/>
  <c r="D610" i="3"/>
  <c r="D589" i="3"/>
  <c r="D569" i="3"/>
  <c r="D549" i="3"/>
  <c r="D529" i="3"/>
  <c r="D507" i="3"/>
  <c r="D488" i="3"/>
  <c r="D468" i="3"/>
  <c r="D447" i="3"/>
  <c r="D426" i="3"/>
  <c r="D407" i="3"/>
  <c r="D386" i="3"/>
  <c r="D365" i="3"/>
  <c r="D344" i="3"/>
  <c r="D324" i="3"/>
  <c r="D305" i="3"/>
  <c r="D283" i="3"/>
  <c r="D263" i="3"/>
  <c r="D243" i="3"/>
  <c r="D223" i="3"/>
  <c r="D202" i="3"/>
  <c r="D182" i="3"/>
  <c r="D162" i="3"/>
  <c r="D142" i="3"/>
  <c r="D121" i="3"/>
  <c r="D100" i="3"/>
  <c r="D82" i="3"/>
  <c r="D63" i="3"/>
  <c r="D44" i="3"/>
  <c r="D25" i="3"/>
  <c r="D7" i="3"/>
  <c r="D981" i="3"/>
  <c r="D960" i="3"/>
  <c r="D936" i="3"/>
  <c r="D916" i="3"/>
  <c r="D895" i="3"/>
  <c r="D871" i="3"/>
  <c r="D850" i="3"/>
  <c r="D829" i="3"/>
  <c r="D809" i="3"/>
  <c r="D788" i="3"/>
  <c r="D768" i="3"/>
  <c r="D747" i="3"/>
  <c r="D727" i="3"/>
  <c r="D705" i="3"/>
  <c r="D685" i="3"/>
  <c r="D666" i="3"/>
  <c r="D645" i="3"/>
  <c r="D625" i="3"/>
  <c r="D604" i="3"/>
  <c r="D584" i="3"/>
  <c r="D564" i="3"/>
  <c r="D544" i="3"/>
  <c r="D522" i="3"/>
  <c r="D503" i="3"/>
  <c r="D484" i="3"/>
  <c r="D461" i="3"/>
  <c r="D440" i="3"/>
  <c r="D421" i="3"/>
  <c r="D400" i="3"/>
  <c r="D380" i="3"/>
  <c r="D359" i="3"/>
  <c r="D339" i="3"/>
  <c r="D319" i="3"/>
  <c r="D298" i="3"/>
  <c r="D278" i="3"/>
  <c r="D258" i="3"/>
  <c r="D237" i="3"/>
  <c r="D218" i="3"/>
  <c r="D196" i="3"/>
  <c r="D176" i="3"/>
  <c r="D155" i="3"/>
  <c r="D135" i="3"/>
  <c r="D114" i="3"/>
  <c r="D96" i="3"/>
  <c r="D77" i="3"/>
  <c r="D57" i="3"/>
  <c r="D39" i="3"/>
  <c r="D21" i="3"/>
  <c r="D987" i="3"/>
  <c r="D959" i="3"/>
  <c r="D932" i="3"/>
  <c r="D905" i="3"/>
  <c r="D876" i="3"/>
  <c r="D847" i="3"/>
  <c r="D821" i="3"/>
  <c r="D796" i="3"/>
  <c r="D770" i="3"/>
  <c r="D743" i="3"/>
  <c r="D717" i="3"/>
  <c r="D690" i="3"/>
  <c r="D664" i="3"/>
  <c r="D640" i="3"/>
  <c r="D615" i="3"/>
  <c r="D587" i="3"/>
  <c r="D561" i="3"/>
  <c r="D535" i="3"/>
  <c r="D512" i="3"/>
  <c r="D485" i="3"/>
  <c r="D457" i="3"/>
  <c r="D432" i="3"/>
  <c r="D404" i="3"/>
  <c r="D378" i="3"/>
  <c r="D354" i="3"/>
  <c r="D327" i="3"/>
  <c r="D302" i="3"/>
  <c r="D276" i="3"/>
  <c r="D250" i="3"/>
  <c r="D226" i="3"/>
  <c r="D198" i="3"/>
  <c r="D171" i="3"/>
  <c r="D146" i="3"/>
  <c r="D117" i="3"/>
  <c r="D95" i="3"/>
  <c r="D71" i="3"/>
  <c r="D47" i="3"/>
  <c r="D23" i="3"/>
  <c r="D982" i="3"/>
  <c r="D954" i="3"/>
  <c r="D930" i="3"/>
  <c r="D898" i="3"/>
  <c r="D870" i="3"/>
  <c r="D844" i="3"/>
  <c r="D818" i="3"/>
  <c r="D792" i="3"/>
  <c r="D764" i="3"/>
  <c r="D740" i="3"/>
  <c r="D715" i="3"/>
  <c r="D686" i="3"/>
  <c r="D662" i="3"/>
  <c r="D636" i="3"/>
  <c r="D608" i="3"/>
  <c r="D583" i="3"/>
  <c r="D559" i="3"/>
  <c r="D533" i="3"/>
  <c r="D505" i="3"/>
  <c r="D478" i="3"/>
  <c r="D454" i="3"/>
  <c r="D430" i="3"/>
  <c r="D402" i="3"/>
  <c r="D376" i="3"/>
  <c r="D351" i="3"/>
  <c r="D323" i="3"/>
  <c r="D296" i="3"/>
  <c r="D272" i="3"/>
  <c r="D247" i="3"/>
  <c r="D220" i="3"/>
  <c r="D193" i="3"/>
  <c r="D169" i="3"/>
  <c r="D144" i="3"/>
  <c r="D115" i="3"/>
  <c r="D92" i="3"/>
  <c r="D69" i="3"/>
  <c r="D42" i="3"/>
  <c r="D19" i="3"/>
  <c r="D980" i="3"/>
  <c r="D952" i="3"/>
  <c r="D928" i="3"/>
  <c r="D897" i="3"/>
  <c r="D869" i="3"/>
  <c r="D843" i="3"/>
  <c r="D816" i="3"/>
  <c r="D789" i="3"/>
  <c r="D762" i="3"/>
  <c r="D739" i="3"/>
  <c r="D712" i="3"/>
  <c r="D684" i="3"/>
  <c r="D659" i="3"/>
  <c r="D635" i="3"/>
  <c r="D607" i="3"/>
  <c r="D582" i="3"/>
  <c r="D555" i="3"/>
  <c r="D532" i="3"/>
  <c r="D504" i="3"/>
  <c r="D477" i="3"/>
  <c r="D453" i="3"/>
  <c r="D425" i="3"/>
  <c r="D398" i="3"/>
  <c r="D374" i="3"/>
  <c r="D350" i="3"/>
  <c r="D322" i="3"/>
  <c r="D295" i="3"/>
  <c r="D270" i="3"/>
  <c r="D246" i="3"/>
  <c r="D219" i="3"/>
  <c r="D192" i="3"/>
  <c r="D167" i="3"/>
  <c r="D139" i="3"/>
  <c r="D113" i="3"/>
  <c r="D91" i="3"/>
  <c r="D67" i="3"/>
  <c r="D41" i="3"/>
  <c r="D17" i="3"/>
  <c r="D976" i="3"/>
  <c r="D949" i="3"/>
  <c r="D918" i="3"/>
  <c r="D890" i="3"/>
  <c r="D865" i="3"/>
  <c r="D837" i="3"/>
  <c r="D810" i="3"/>
  <c r="D783" i="3"/>
  <c r="D759" i="3"/>
  <c r="D731" i="3"/>
  <c r="D704" i="3"/>
  <c r="D681" i="3"/>
  <c r="D656" i="3"/>
  <c r="D627" i="3"/>
  <c r="D602" i="3"/>
  <c r="D577" i="3"/>
  <c r="D551" i="3"/>
  <c r="D523" i="3"/>
  <c r="D498" i="3"/>
  <c r="D473" i="3"/>
  <c r="D446" i="3"/>
  <c r="D419" i="3"/>
  <c r="D394" i="3"/>
  <c r="D370" i="3"/>
  <c r="D341" i="3"/>
  <c r="D317" i="3"/>
  <c r="D291" i="3"/>
  <c r="D266" i="3"/>
  <c r="D240" i="3"/>
  <c r="D212" i="3"/>
  <c r="D187" i="3"/>
  <c r="D160" i="3"/>
  <c r="D132" i="3"/>
  <c r="D110" i="3"/>
  <c r="D86" i="3"/>
  <c r="D60" i="3"/>
  <c r="D37" i="3"/>
  <c r="D12" i="3"/>
  <c r="D993" i="3"/>
  <c r="D963" i="3"/>
  <c r="D934" i="3"/>
  <c r="D909" i="3"/>
  <c r="D881" i="3"/>
  <c r="D852" i="3"/>
  <c r="D825" i="3"/>
  <c r="D799" i="3"/>
  <c r="D772" i="3"/>
  <c r="D745" i="3"/>
  <c r="D720" i="3"/>
  <c r="D697" i="3"/>
  <c r="D668" i="3"/>
  <c r="D642" i="3"/>
  <c r="D618" i="3"/>
  <c r="D592" i="3"/>
  <c r="D565" i="3"/>
  <c r="D538" i="3"/>
  <c r="D514" i="3"/>
  <c r="D487" i="3"/>
  <c r="D459" i="3"/>
  <c r="D436" i="3"/>
  <c r="D410" i="3"/>
  <c r="D382" i="3"/>
  <c r="D356" i="3"/>
  <c r="D333" i="3"/>
  <c r="D307" i="3"/>
  <c r="D279" i="3"/>
  <c r="D252" i="3"/>
  <c r="D228" i="3"/>
  <c r="D201" i="3"/>
  <c r="D174" i="3"/>
  <c r="D150" i="3"/>
  <c r="D126" i="3"/>
  <c r="D98" i="3"/>
  <c r="D74" i="3"/>
  <c r="D52" i="3"/>
  <c r="D27" i="3"/>
  <c r="D3" i="3"/>
  <c r="D969" i="3"/>
  <c r="D919" i="3"/>
  <c r="D883" i="3"/>
  <c r="D832" i="3"/>
  <c r="D798" i="3"/>
  <c r="D756" i="3"/>
  <c r="D716" i="3"/>
  <c r="D675" i="3"/>
  <c r="D634" i="3"/>
  <c r="D597" i="3"/>
  <c r="D552" i="3"/>
  <c r="D516" i="3"/>
  <c r="D472" i="3"/>
  <c r="D434" i="3"/>
  <c r="D392" i="3"/>
  <c r="D353" i="3"/>
  <c r="D311" i="3"/>
  <c r="D268" i="3"/>
  <c r="D230" i="3"/>
  <c r="D188" i="3"/>
  <c r="D151" i="3"/>
  <c r="D108" i="3"/>
  <c r="D72" i="3"/>
  <c r="D35" i="3"/>
  <c r="D997" i="3"/>
  <c r="D951" i="3"/>
  <c r="D912" i="3"/>
  <c r="D866" i="3"/>
  <c r="D826" i="3"/>
  <c r="D781" i="3"/>
  <c r="D744" i="3"/>
  <c r="D701" i="3"/>
  <c r="D663" i="3"/>
  <c r="D621" i="3"/>
  <c r="D580" i="3"/>
  <c r="D543" i="3"/>
  <c r="D500" i="3"/>
  <c r="D463" i="3"/>
  <c r="D418" i="3"/>
  <c r="D381" i="3"/>
  <c r="D338" i="3"/>
  <c r="D300" i="3"/>
  <c r="D260" i="3"/>
  <c r="D214" i="3"/>
  <c r="D180" i="3"/>
  <c r="D137" i="3"/>
  <c r="D99" i="3"/>
  <c r="D59" i="3"/>
  <c r="D24" i="3"/>
  <c r="D970" i="3"/>
  <c r="D914" i="3"/>
  <c r="D864" i="3"/>
  <c r="D813" i="3"/>
  <c r="D771" i="3"/>
  <c r="D724" i="3"/>
  <c r="D678" i="3"/>
  <c r="D626" i="3"/>
  <c r="D578" i="3"/>
  <c r="D534" i="3"/>
  <c r="D490" i="3"/>
  <c r="D439" i="3"/>
  <c r="D393" i="3"/>
  <c r="D342" i="3"/>
  <c r="D294" i="3"/>
  <c r="D251" i="3"/>
  <c r="D207" i="3"/>
  <c r="D156" i="3"/>
  <c r="D111" i="3"/>
  <c r="D66" i="3"/>
  <c r="D22" i="3"/>
  <c r="D965" i="3"/>
  <c r="D913" i="3"/>
  <c r="D861" i="3"/>
  <c r="D766" i="3"/>
  <c r="D723" i="3"/>
  <c r="D674" i="3"/>
  <c r="D624" i="3"/>
  <c r="D575" i="3"/>
  <c r="D528" i="3"/>
  <c r="D486" i="3"/>
  <c r="D438" i="3"/>
  <c r="D391" i="3"/>
  <c r="D340" i="3"/>
  <c r="D958" i="3"/>
  <c r="D906" i="3"/>
  <c r="D854" i="3"/>
  <c r="D806" i="3"/>
  <c r="D760" i="3"/>
  <c r="D711" i="3"/>
  <c r="D667" i="3"/>
  <c r="D619" i="3"/>
  <c r="D572" i="3"/>
  <c r="D521" i="3"/>
  <c r="D475" i="3"/>
  <c r="D431" i="3"/>
  <c r="D383" i="3"/>
  <c r="D335" i="3"/>
  <c r="D289" i="3"/>
  <c r="D241" i="3"/>
  <c r="D195" i="3"/>
  <c r="D148" i="3"/>
  <c r="D105" i="3"/>
  <c r="D55" i="3"/>
  <c r="D11" i="3"/>
  <c r="D950" i="3"/>
  <c r="D904" i="3"/>
  <c r="D853" i="3"/>
  <c r="D804" i="3"/>
  <c r="D757" i="3"/>
  <c r="D708" i="3"/>
  <c r="D658" i="3"/>
  <c r="D617" i="3"/>
  <c r="D568" i="3"/>
  <c r="D520" i="3"/>
  <c r="D474" i="3"/>
  <c r="D423" i="3"/>
  <c r="D377" i="3"/>
  <c r="D334" i="3"/>
  <c r="D286" i="3"/>
  <c r="D236" i="3"/>
  <c r="D191" i="3"/>
  <c r="D145" i="3"/>
  <c r="D97" i="3"/>
  <c r="D54" i="3"/>
  <c r="D10" i="3"/>
  <c r="D995" i="3"/>
  <c r="D942" i="3"/>
  <c r="D894" i="3"/>
  <c r="D846" i="3"/>
  <c r="D800" i="3"/>
  <c r="D750" i="3"/>
  <c r="D700" i="3"/>
  <c r="D654" i="3"/>
  <c r="D605" i="3"/>
  <c r="D562" i="3"/>
  <c r="D517" i="3"/>
  <c r="D467" i="3"/>
  <c r="D416" i="3"/>
  <c r="D372" i="3"/>
  <c r="D326" i="3"/>
  <c r="D280" i="3"/>
  <c r="D232" i="3"/>
  <c r="D185" i="3"/>
  <c r="D131" i="3"/>
  <c r="D89" i="3"/>
  <c r="D50" i="3"/>
  <c r="D5" i="3"/>
  <c r="D994" i="3"/>
  <c r="D941" i="3"/>
  <c r="D889" i="3"/>
  <c r="D840" i="3"/>
  <c r="D793" i="3"/>
  <c r="D748" i="3"/>
  <c r="D699" i="3"/>
  <c r="D649" i="3"/>
  <c r="D603" i="3"/>
  <c r="D560" i="3"/>
  <c r="D513" i="3"/>
  <c r="D464" i="3"/>
  <c r="D415" i="3"/>
  <c r="D369" i="3"/>
  <c r="D321" i="3"/>
  <c r="D277" i="3"/>
  <c r="D229" i="3"/>
  <c r="D181" i="3"/>
  <c r="D130" i="3"/>
  <c r="D87" i="3"/>
  <c r="D46" i="3"/>
  <c r="D4" i="3"/>
  <c r="D977" i="3"/>
  <c r="D931" i="3"/>
  <c r="D877" i="3"/>
  <c r="D828" i="3"/>
  <c r="D779" i="3"/>
  <c r="D730" i="3"/>
  <c r="D683" i="3"/>
  <c r="D641" i="3"/>
  <c r="D593" i="3"/>
  <c r="D545" i="3"/>
  <c r="D494" i="3"/>
  <c r="D451" i="3"/>
  <c r="D403" i="3"/>
  <c r="D358" i="3"/>
  <c r="D309" i="3"/>
  <c r="D261" i="3"/>
  <c r="D211" i="3"/>
  <c r="D166" i="3"/>
  <c r="D124" i="3"/>
  <c r="D78" i="3"/>
  <c r="D31" i="3"/>
  <c r="D975" i="3"/>
  <c r="D926" i="3"/>
  <c r="D872" i="3"/>
  <c r="D824" i="3"/>
  <c r="D778" i="3"/>
  <c r="D729" i="3"/>
  <c r="D682" i="3"/>
  <c r="D638" i="3"/>
  <c r="D588" i="3"/>
  <c r="D540" i="3"/>
  <c r="D493" i="3"/>
  <c r="D445" i="3"/>
  <c r="D397" i="3"/>
  <c r="D355" i="3"/>
  <c r="D308" i="3"/>
  <c r="D257" i="3"/>
  <c r="D210" i="3"/>
  <c r="D165" i="3"/>
  <c r="D116" i="3"/>
  <c r="D75" i="3"/>
  <c r="D30" i="3"/>
  <c r="D972" i="3"/>
  <c r="D917" i="3"/>
  <c r="D867" i="3"/>
  <c r="D820" i="3"/>
  <c r="D776" i="3"/>
  <c r="D725" i="3"/>
  <c r="D680" i="3"/>
  <c r="D629" i="3"/>
  <c r="D585" i="3"/>
  <c r="D536" i="3"/>
  <c r="D491" i="3"/>
  <c r="D442" i="3"/>
  <c r="D396" i="3"/>
  <c r="D348" i="3"/>
  <c r="D303" i="3"/>
  <c r="D256" i="3"/>
  <c r="D208" i="3"/>
  <c r="D158" i="3"/>
  <c r="D112" i="3"/>
  <c r="D70" i="3"/>
  <c r="D29" i="3"/>
  <c r="D986" i="3"/>
  <c r="D838" i="3"/>
  <c r="D718" i="3"/>
  <c r="D598" i="3"/>
  <c r="D456" i="3"/>
  <c r="D318" i="3"/>
  <c r="D213" i="3"/>
  <c r="D106" i="3"/>
  <c r="D696" i="3"/>
  <c r="D554" i="3"/>
  <c r="D422" i="3"/>
  <c r="D293" i="3"/>
  <c r="D186" i="3"/>
  <c r="D978" i="3"/>
  <c r="D831" i="3"/>
  <c r="D702" i="3"/>
  <c r="D573" i="3"/>
  <c r="D452" i="3"/>
  <c r="D316" i="3"/>
  <c r="D205" i="3"/>
  <c r="D93" i="3"/>
  <c r="D811" i="3"/>
  <c r="D961" i="3"/>
  <c r="D830" i="3"/>
  <c r="D698" i="3"/>
  <c r="D566" i="3"/>
  <c r="D437" i="3"/>
  <c r="D312" i="3"/>
  <c r="D199" i="3"/>
  <c r="D84" i="3"/>
  <c r="D948" i="3"/>
  <c r="D81" i="3"/>
  <c r="D939" i="3"/>
  <c r="D808" i="3"/>
  <c r="D688" i="3"/>
  <c r="D548" i="3"/>
  <c r="D414" i="3"/>
  <c r="D290" i="3"/>
  <c r="D177" i="3"/>
  <c r="D80" i="3"/>
  <c r="D643" i="3"/>
  <c r="D935" i="3"/>
  <c r="D802" i="3"/>
  <c r="D669" i="3"/>
  <c r="D546" i="3"/>
  <c r="D412" i="3"/>
  <c r="D282" i="3"/>
  <c r="D172" i="3"/>
  <c r="D61" i="3"/>
  <c r="D933" i="3"/>
  <c r="D787" i="3"/>
  <c r="D657" i="3"/>
  <c r="D527" i="3"/>
  <c r="D409" i="3"/>
  <c r="D275" i="3"/>
  <c r="D170" i="3"/>
  <c r="D56" i="3"/>
  <c r="D911" i="3"/>
  <c r="D786" i="3"/>
  <c r="D648" i="3"/>
  <c r="D518" i="3"/>
  <c r="D389" i="3"/>
  <c r="D267" i="3"/>
  <c r="D154" i="3"/>
  <c r="D53" i="3"/>
  <c r="D888" i="3"/>
  <c r="D502" i="3"/>
  <c r="D248" i="3"/>
  <c r="D38" i="3"/>
  <c r="D896" i="3"/>
  <c r="D780" i="3"/>
  <c r="D647" i="3"/>
  <c r="D506" i="3"/>
  <c r="D373" i="3"/>
  <c r="D262" i="3"/>
  <c r="D153" i="3"/>
  <c r="D40" i="3"/>
  <c r="D761" i="3"/>
  <c r="D364" i="3"/>
  <c r="D138" i="3"/>
  <c r="D884" i="3"/>
  <c r="D741" i="3"/>
  <c r="D613" i="3"/>
  <c r="D479" i="3"/>
  <c r="D361" i="3"/>
  <c r="D234" i="3"/>
  <c r="D128" i="3"/>
  <c r="D16" i="3"/>
  <c r="D1000" i="3"/>
  <c r="D860" i="3"/>
  <c r="D738" i="3"/>
  <c r="D600" i="3"/>
  <c r="D471" i="3"/>
  <c r="D337" i="3"/>
  <c r="D227" i="3"/>
  <c r="D127" i="3"/>
  <c r="D14" i="3"/>
  <c r="D734" i="3"/>
  <c r="D620" i="3"/>
  <c r="D599" i="3"/>
  <c r="D496" i="3"/>
  <c r="D458" i="3"/>
  <c r="D362" i="3"/>
  <c r="D332" i="3"/>
  <c r="D129" i="3"/>
  <c r="D992" i="3"/>
  <c r="D107" i="3"/>
  <c r="D242" i="3"/>
  <c r="D221" i="3"/>
  <c r="D886" i="3"/>
  <c r="D36" i="3"/>
  <c r="D849" i="3"/>
  <c r="D9" i="3"/>
  <c r="D751" i="3"/>
  <c r="J105" i="3" l="1"/>
  <c r="B105" i="2" s="1"/>
  <c r="E105" i="3"/>
  <c r="A105" i="2" s="1"/>
  <c r="E9" i="3"/>
  <c r="A9" i="2" s="1"/>
  <c r="J9" i="3"/>
  <c r="B9" i="2" s="1"/>
  <c r="J620" i="3"/>
  <c r="B620" i="2" s="1"/>
  <c r="E620" i="3"/>
  <c r="A620" i="2" s="1"/>
  <c r="J780" i="3"/>
  <c r="B780" i="2" s="1"/>
  <c r="E780" i="3"/>
  <c r="A780" i="2" s="1"/>
  <c r="E802" i="3"/>
  <c r="A802" i="2" s="1"/>
  <c r="J802" i="3"/>
  <c r="B802" i="2" s="1"/>
  <c r="E629" i="3"/>
  <c r="A629" i="2" s="1"/>
  <c r="J629" i="3"/>
  <c r="B629" i="2" s="1"/>
  <c r="E191" i="3"/>
  <c r="A191" i="2" s="1"/>
  <c r="J191" i="3"/>
  <c r="B191" i="2" s="1"/>
  <c r="J503" i="3"/>
  <c r="B503" i="2" s="1"/>
  <c r="E503" i="3"/>
  <c r="A503" i="2" s="1"/>
  <c r="E886" i="3"/>
  <c r="A886" i="2" s="1"/>
  <c r="J886" i="3"/>
  <c r="B886" i="2" s="1"/>
  <c r="J127" i="3"/>
  <c r="B127" i="2" s="1"/>
  <c r="E127" i="3"/>
  <c r="A127" i="2" s="1"/>
  <c r="E741" i="3"/>
  <c r="A741" i="2" s="1"/>
  <c r="J741" i="3"/>
  <c r="B741" i="2" s="1"/>
  <c r="E248" i="3"/>
  <c r="A248" i="2" s="1"/>
  <c r="J248" i="3"/>
  <c r="B248" i="2" s="1"/>
  <c r="J409" i="3"/>
  <c r="B409" i="2" s="1"/>
  <c r="E409" i="3"/>
  <c r="A409" i="2" s="1"/>
  <c r="E80" i="3"/>
  <c r="A80" i="2" s="1"/>
  <c r="J80" i="3"/>
  <c r="B80" i="2" s="1"/>
  <c r="E566" i="3"/>
  <c r="A566" i="2" s="1"/>
  <c r="J566" i="3"/>
  <c r="B566" i="2" s="1"/>
  <c r="J293" i="3"/>
  <c r="B293" i="2" s="1"/>
  <c r="E293" i="3"/>
  <c r="A293" i="2" s="1"/>
  <c r="J112" i="3"/>
  <c r="B112" i="2" s="1"/>
  <c r="E112" i="3"/>
  <c r="A112" i="2" s="1"/>
  <c r="J776" i="3"/>
  <c r="B776" i="2" s="1"/>
  <c r="E776" i="3"/>
  <c r="A776" i="2" s="1"/>
  <c r="J445" i="3"/>
  <c r="B445" i="2" s="1"/>
  <c r="E445" i="3"/>
  <c r="A445" i="2" s="1"/>
  <c r="E124" i="3"/>
  <c r="A124" i="2" s="1"/>
  <c r="J124" i="3"/>
  <c r="B124" i="2" s="1"/>
  <c r="E779" i="3"/>
  <c r="A779" i="2" s="1"/>
  <c r="J779" i="3"/>
  <c r="B779" i="2" s="1"/>
  <c r="J415" i="3"/>
  <c r="B415" i="2" s="1"/>
  <c r="E415" i="3"/>
  <c r="A415" i="2" s="1"/>
  <c r="J50" i="3"/>
  <c r="B50" i="2" s="1"/>
  <c r="E50" i="3"/>
  <c r="A50" i="2" s="1"/>
  <c r="E700" i="3"/>
  <c r="A700" i="2" s="1"/>
  <c r="J700" i="3"/>
  <c r="B700" i="2" s="1"/>
  <c r="J334" i="3"/>
  <c r="B334" i="2" s="1"/>
  <c r="E334" i="3"/>
  <c r="A334" i="2" s="1"/>
  <c r="E11" i="3"/>
  <c r="A11" i="2" s="1"/>
  <c r="J11" i="3"/>
  <c r="B11" i="2" s="1"/>
  <c r="J667" i="3"/>
  <c r="B667" i="2" s="1"/>
  <c r="E667" i="3"/>
  <c r="A667" i="2" s="1"/>
  <c r="J674" i="3"/>
  <c r="B674" i="2" s="1"/>
  <c r="E674" i="3"/>
  <c r="A674" i="2" s="1"/>
  <c r="E393" i="3"/>
  <c r="A393" i="2" s="1"/>
  <c r="J393" i="3"/>
  <c r="B393" i="2" s="1"/>
  <c r="J59" i="3"/>
  <c r="B59" i="2" s="1"/>
  <c r="E59" i="3"/>
  <c r="A59" i="2" s="1"/>
  <c r="E621" i="3"/>
  <c r="A621" i="2" s="1"/>
  <c r="J621" i="3"/>
  <c r="B621" i="2" s="1"/>
  <c r="J188" i="3"/>
  <c r="B188" i="2" s="1"/>
  <c r="E188" i="3"/>
  <c r="A188" i="2" s="1"/>
  <c r="E756" i="3"/>
  <c r="A756" i="2" s="1"/>
  <c r="J756" i="3"/>
  <c r="B756" i="2" s="1"/>
  <c r="J201" i="3"/>
  <c r="B201" i="2" s="1"/>
  <c r="E201" i="3"/>
  <c r="A201" i="2" s="1"/>
  <c r="E565" i="3"/>
  <c r="A565" i="2" s="1"/>
  <c r="J565" i="3"/>
  <c r="B565" i="2" s="1"/>
  <c r="J934" i="3"/>
  <c r="B934" i="2" s="1"/>
  <c r="E934" i="3"/>
  <c r="A934" i="2" s="1"/>
  <c r="E291" i="3"/>
  <c r="A291" i="2" s="1"/>
  <c r="J291" i="3"/>
  <c r="B291" i="2" s="1"/>
  <c r="J656" i="3"/>
  <c r="B656" i="2" s="1"/>
  <c r="E656" i="3"/>
  <c r="A656" i="2" s="1"/>
  <c r="J41" i="3"/>
  <c r="B41" i="2" s="1"/>
  <c r="E41" i="3"/>
  <c r="A41" i="2" s="1"/>
  <c r="J398" i="3"/>
  <c r="B398" i="2" s="1"/>
  <c r="E398" i="3"/>
  <c r="A398" i="2" s="1"/>
  <c r="J762" i="3"/>
  <c r="B762" i="2" s="1"/>
  <c r="E762" i="3"/>
  <c r="A762" i="2" s="1"/>
  <c r="J144" i="3"/>
  <c r="B144" i="2" s="1"/>
  <c r="E144" i="3"/>
  <c r="A144" i="2" s="1"/>
  <c r="E505" i="3"/>
  <c r="A505" i="2" s="1"/>
  <c r="J505" i="3"/>
  <c r="B505" i="2" s="1"/>
  <c r="J870" i="3"/>
  <c r="B870" i="2" s="1"/>
  <c r="E870" i="3"/>
  <c r="A870" i="2" s="1"/>
  <c r="E250" i="3"/>
  <c r="A250" i="2" s="1"/>
  <c r="J250" i="3"/>
  <c r="B250" i="2" s="1"/>
  <c r="E615" i="3"/>
  <c r="A615" i="2" s="1"/>
  <c r="J615" i="3"/>
  <c r="B615" i="2" s="1"/>
  <c r="J987" i="3"/>
  <c r="B987" i="2" s="1"/>
  <c r="E987" i="3"/>
  <c r="A987" i="2" s="1"/>
  <c r="E278" i="3"/>
  <c r="A278" i="2" s="1"/>
  <c r="J278" i="3"/>
  <c r="B278" i="2" s="1"/>
  <c r="J564" i="3"/>
  <c r="B564" i="2" s="1"/>
  <c r="E564" i="3"/>
  <c r="A564" i="2" s="1"/>
  <c r="J850" i="3"/>
  <c r="B850" i="2" s="1"/>
  <c r="E850" i="3"/>
  <c r="A850" i="2" s="1"/>
  <c r="E142" i="3"/>
  <c r="A142" i="2" s="1"/>
  <c r="J142" i="3"/>
  <c r="B142" i="2" s="1"/>
  <c r="E426" i="3"/>
  <c r="A426" i="2" s="1"/>
  <c r="J426" i="3"/>
  <c r="B426" i="2" s="1"/>
  <c r="E713" i="3"/>
  <c r="A713" i="2" s="1"/>
  <c r="J713" i="3"/>
  <c r="B713" i="2" s="1"/>
  <c r="E8" i="3"/>
  <c r="A8" i="2" s="1"/>
  <c r="J8" i="3"/>
  <c r="B8" i="2" s="1"/>
  <c r="E285" i="3"/>
  <c r="A285" i="2" s="1"/>
  <c r="J285" i="3"/>
  <c r="B285" i="2" s="1"/>
  <c r="E570" i="3"/>
  <c r="A570" i="2" s="1"/>
  <c r="J570" i="3"/>
  <c r="B570" i="2" s="1"/>
  <c r="J857" i="3"/>
  <c r="B857" i="2" s="1"/>
  <c r="E857" i="3"/>
  <c r="A857" i="2" s="1"/>
  <c r="J140" i="3"/>
  <c r="B140" i="2" s="1"/>
  <c r="E140" i="3"/>
  <c r="A140" i="2" s="1"/>
  <c r="E406" i="3"/>
  <c r="A406" i="2" s="1"/>
  <c r="J406" i="3"/>
  <c r="B406" i="2" s="1"/>
  <c r="E670" i="3"/>
  <c r="A670" i="2" s="1"/>
  <c r="J670" i="3"/>
  <c r="B670" i="2" s="1"/>
  <c r="J944" i="3"/>
  <c r="B944" i="2" s="1"/>
  <c r="E944" i="3"/>
  <c r="A944" i="2" s="1"/>
  <c r="E190" i="3"/>
  <c r="A190" i="2" s="1"/>
  <c r="J190" i="3"/>
  <c r="B190" i="2" s="1"/>
  <c r="J417" i="3"/>
  <c r="B417" i="2" s="1"/>
  <c r="E417" i="3"/>
  <c r="A417" i="2" s="1"/>
  <c r="E644" i="3"/>
  <c r="A644" i="2" s="1"/>
  <c r="J644" i="3"/>
  <c r="B644" i="2" s="1"/>
  <c r="J874" i="3"/>
  <c r="B874" i="2" s="1"/>
  <c r="E874" i="3"/>
  <c r="A874" i="2" s="1"/>
  <c r="E103" i="3"/>
  <c r="A103" i="2" s="1"/>
  <c r="J103" i="3"/>
  <c r="B103" i="2" s="1"/>
  <c r="J331" i="3"/>
  <c r="B331" i="2" s="1"/>
  <c r="E331" i="3"/>
  <c r="A331" i="2" s="1"/>
  <c r="J558" i="3"/>
  <c r="B558" i="2" s="1"/>
  <c r="E558" i="3"/>
  <c r="A558" i="2" s="1"/>
  <c r="J785" i="3"/>
  <c r="B785" i="2" s="1"/>
  <c r="E785" i="3"/>
  <c r="A785" i="2" s="1"/>
  <c r="J20" i="3"/>
  <c r="B20" i="2" s="1"/>
  <c r="E20" i="3"/>
  <c r="A20" i="2" s="1"/>
  <c r="J224" i="3"/>
  <c r="B224" i="2" s="1"/>
  <c r="E224" i="3"/>
  <c r="A224" i="2" s="1"/>
  <c r="J435" i="3"/>
  <c r="B435" i="2" s="1"/>
  <c r="E435" i="3"/>
  <c r="A435" i="2" s="1"/>
  <c r="J646" i="3"/>
  <c r="B646" i="2" s="1"/>
  <c r="E646" i="3"/>
  <c r="A646" i="2" s="1"/>
  <c r="E858" i="3"/>
  <c r="A858" i="2" s="1"/>
  <c r="J858" i="3"/>
  <c r="B858" i="2" s="1"/>
  <c r="J189" i="3"/>
  <c r="B189" i="2" s="1"/>
  <c r="E189" i="3"/>
  <c r="A189" i="2" s="1"/>
  <c r="J385" i="3"/>
  <c r="B385" i="2" s="1"/>
  <c r="E385" i="3"/>
  <c r="A385" i="2" s="1"/>
  <c r="J581" i="3"/>
  <c r="B581" i="2" s="1"/>
  <c r="E581" i="3"/>
  <c r="A581" i="2" s="1"/>
  <c r="J777" i="3"/>
  <c r="B777" i="2" s="1"/>
  <c r="E777" i="3"/>
  <c r="A777" i="2" s="1"/>
  <c r="J983" i="3"/>
  <c r="B983" i="2" s="1"/>
  <c r="E983" i="3"/>
  <c r="A983" i="2" s="1"/>
  <c r="J221" i="3"/>
  <c r="B221" i="2" s="1"/>
  <c r="E221" i="3"/>
  <c r="A221" i="2" s="1"/>
  <c r="E227" i="3"/>
  <c r="A227" i="2" s="1"/>
  <c r="J227" i="3"/>
  <c r="B227" i="2" s="1"/>
  <c r="J884" i="3"/>
  <c r="B884" i="2" s="1"/>
  <c r="E884" i="3"/>
  <c r="A884" i="2" s="1"/>
  <c r="J502" i="3"/>
  <c r="B502" i="2" s="1"/>
  <c r="E502" i="3"/>
  <c r="A502" i="2" s="1"/>
  <c r="J527" i="3"/>
  <c r="B527" i="2" s="1"/>
  <c r="E527" i="3"/>
  <c r="A527" i="2" s="1"/>
  <c r="E177" i="3"/>
  <c r="A177" i="2" s="1"/>
  <c r="J177" i="3"/>
  <c r="B177" i="2" s="1"/>
  <c r="J698" i="3"/>
  <c r="B698" i="2" s="1"/>
  <c r="E698" i="3"/>
  <c r="A698" i="2" s="1"/>
  <c r="J422" i="3"/>
  <c r="B422" i="2" s="1"/>
  <c r="E422" i="3"/>
  <c r="A422" i="2" s="1"/>
  <c r="J158" i="3"/>
  <c r="B158" i="2" s="1"/>
  <c r="E158" i="3"/>
  <c r="A158" i="2" s="1"/>
  <c r="J820" i="3"/>
  <c r="B820" i="2" s="1"/>
  <c r="E820" i="3"/>
  <c r="A820" i="2" s="1"/>
  <c r="J493" i="3"/>
  <c r="B493" i="2" s="1"/>
  <c r="E493" i="3"/>
  <c r="A493" i="2" s="1"/>
  <c r="J166" i="3"/>
  <c r="B166" i="2" s="1"/>
  <c r="E166" i="3"/>
  <c r="A166" i="2" s="1"/>
  <c r="J828" i="3"/>
  <c r="B828" i="2" s="1"/>
  <c r="E828" i="3"/>
  <c r="A828" i="2" s="1"/>
  <c r="J464" i="3"/>
  <c r="B464" i="2" s="1"/>
  <c r="E464" i="3"/>
  <c r="A464" i="2" s="1"/>
  <c r="E89" i="3"/>
  <c r="A89" i="2" s="1"/>
  <c r="J89" i="3"/>
  <c r="B89" i="2" s="1"/>
  <c r="E750" i="3"/>
  <c r="A750" i="2" s="1"/>
  <c r="J750" i="3"/>
  <c r="B750" i="2" s="1"/>
  <c r="E377" i="3"/>
  <c r="A377" i="2" s="1"/>
  <c r="J377" i="3"/>
  <c r="B377" i="2" s="1"/>
  <c r="J55" i="3"/>
  <c r="B55" i="2" s="1"/>
  <c r="E55" i="3"/>
  <c r="A55" i="2" s="1"/>
  <c r="J711" i="3"/>
  <c r="B711" i="2" s="1"/>
  <c r="E711" i="3"/>
  <c r="A711" i="2" s="1"/>
  <c r="E723" i="3"/>
  <c r="A723" i="2" s="1"/>
  <c r="J723" i="3"/>
  <c r="B723" i="2" s="1"/>
  <c r="E439" i="3"/>
  <c r="A439" i="2" s="1"/>
  <c r="J439" i="3"/>
  <c r="B439" i="2" s="1"/>
  <c r="E99" i="3"/>
  <c r="A99" i="2" s="1"/>
  <c r="J99" i="3"/>
  <c r="B99" i="2" s="1"/>
  <c r="J663" i="3"/>
  <c r="B663" i="2" s="1"/>
  <c r="E663" i="3"/>
  <c r="A663" i="2" s="1"/>
  <c r="E230" i="3"/>
  <c r="A230" i="2" s="1"/>
  <c r="J230" i="3"/>
  <c r="B230" i="2" s="1"/>
  <c r="E798" i="3"/>
  <c r="A798" i="2" s="1"/>
  <c r="J798" i="3"/>
  <c r="B798" i="2" s="1"/>
  <c r="E228" i="3"/>
  <c r="A228" i="2" s="1"/>
  <c r="J228" i="3"/>
  <c r="B228" i="2" s="1"/>
  <c r="J592" i="3"/>
  <c r="B592" i="2" s="1"/>
  <c r="E592" i="3"/>
  <c r="A592" i="2" s="1"/>
  <c r="E963" i="3"/>
  <c r="A963" i="2" s="1"/>
  <c r="J963" i="3"/>
  <c r="B963" i="2" s="1"/>
  <c r="E317" i="3"/>
  <c r="A317" i="2" s="1"/>
  <c r="J317" i="3"/>
  <c r="B317" i="2" s="1"/>
  <c r="J681" i="3"/>
  <c r="B681" i="2" s="1"/>
  <c r="E681" i="3"/>
  <c r="A681" i="2" s="1"/>
  <c r="E67" i="3"/>
  <c r="A67" i="2" s="1"/>
  <c r="J67" i="3"/>
  <c r="B67" i="2" s="1"/>
  <c r="J425" i="3"/>
  <c r="B425" i="2" s="1"/>
  <c r="E425" i="3"/>
  <c r="A425" i="2" s="1"/>
  <c r="E789" i="3"/>
  <c r="A789" i="2" s="1"/>
  <c r="J789" i="3"/>
  <c r="B789" i="2" s="1"/>
  <c r="J169" i="3"/>
  <c r="B169" i="2" s="1"/>
  <c r="E169" i="3"/>
  <c r="A169" i="2" s="1"/>
  <c r="J533" i="3"/>
  <c r="B533" i="2" s="1"/>
  <c r="E533" i="3"/>
  <c r="A533" i="2" s="1"/>
  <c r="J898" i="3"/>
  <c r="B898" i="2" s="1"/>
  <c r="E898" i="3"/>
  <c r="A898" i="2" s="1"/>
  <c r="E276" i="3"/>
  <c r="A276" i="2" s="1"/>
  <c r="J276" i="3"/>
  <c r="B276" i="2" s="1"/>
  <c r="E640" i="3"/>
  <c r="A640" i="2" s="1"/>
  <c r="J640" i="3"/>
  <c r="B640" i="2" s="1"/>
  <c r="J21" i="3"/>
  <c r="B21" i="2" s="1"/>
  <c r="E21" i="3"/>
  <c r="A21" i="2" s="1"/>
  <c r="J298" i="3"/>
  <c r="B298" i="2" s="1"/>
  <c r="E298" i="3"/>
  <c r="A298" i="2" s="1"/>
  <c r="E584" i="3"/>
  <c r="A584" i="2" s="1"/>
  <c r="J584" i="3"/>
  <c r="B584" i="2" s="1"/>
  <c r="J871" i="3"/>
  <c r="B871" i="2" s="1"/>
  <c r="E871" i="3"/>
  <c r="A871" i="2" s="1"/>
  <c r="E162" i="3"/>
  <c r="A162" i="2" s="1"/>
  <c r="J162" i="3"/>
  <c r="B162" i="2" s="1"/>
  <c r="E447" i="3"/>
  <c r="A447" i="2" s="1"/>
  <c r="J447" i="3"/>
  <c r="B447" i="2" s="1"/>
  <c r="E732" i="3"/>
  <c r="A732" i="2" s="1"/>
  <c r="J732" i="3"/>
  <c r="B732" i="2" s="1"/>
  <c r="J26" i="3"/>
  <c r="B26" i="2" s="1"/>
  <c r="E26" i="3"/>
  <c r="A26" i="2" s="1"/>
  <c r="E306" i="3"/>
  <c r="A306" i="2" s="1"/>
  <c r="J306" i="3"/>
  <c r="B306" i="2" s="1"/>
  <c r="E591" i="3"/>
  <c r="A591" i="2" s="1"/>
  <c r="J591" i="3"/>
  <c r="B591" i="2" s="1"/>
  <c r="E880" i="3"/>
  <c r="A880" i="2" s="1"/>
  <c r="J880" i="3"/>
  <c r="B880" i="2" s="1"/>
  <c r="E159" i="3"/>
  <c r="A159" i="2" s="1"/>
  <c r="J159" i="3"/>
  <c r="B159" i="2" s="1"/>
  <c r="E424" i="3"/>
  <c r="A424" i="2" s="1"/>
  <c r="J424" i="3"/>
  <c r="B424" i="2" s="1"/>
  <c r="J689" i="3"/>
  <c r="B689" i="2" s="1"/>
  <c r="E689" i="3"/>
  <c r="A689" i="2" s="1"/>
  <c r="E964" i="3"/>
  <c r="A964" i="2" s="1"/>
  <c r="J964" i="3"/>
  <c r="B964" i="2" s="1"/>
  <c r="J206" i="3"/>
  <c r="B206" i="2" s="1"/>
  <c r="E206" i="3"/>
  <c r="A206" i="2" s="1"/>
  <c r="J433" i="3"/>
  <c r="B433" i="2" s="1"/>
  <c r="E433" i="3"/>
  <c r="A433" i="2" s="1"/>
  <c r="J660" i="3"/>
  <c r="B660" i="2" s="1"/>
  <c r="E660" i="3"/>
  <c r="A660" i="2" s="1"/>
  <c r="J892" i="3"/>
  <c r="B892" i="2" s="1"/>
  <c r="E892" i="3"/>
  <c r="A892" i="2" s="1"/>
  <c r="E120" i="3"/>
  <c r="A120" i="2" s="1"/>
  <c r="J120" i="3"/>
  <c r="B120" i="2" s="1"/>
  <c r="E347" i="3"/>
  <c r="A347" i="2" s="1"/>
  <c r="J347" i="3"/>
  <c r="B347" i="2" s="1"/>
  <c r="E574" i="3"/>
  <c r="A574" i="2" s="1"/>
  <c r="J574" i="3"/>
  <c r="B574" i="2" s="1"/>
  <c r="J801" i="3"/>
  <c r="B801" i="2" s="1"/>
  <c r="E801" i="3"/>
  <c r="A801" i="2" s="1"/>
  <c r="E34" i="3"/>
  <c r="A34" i="2" s="1"/>
  <c r="J34" i="3"/>
  <c r="B34" i="2" s="1"/>
  <c r="E239" i="3"/>
  <c r="A239" i="2" s="1"/>
  <c r="J239" i="3"/>
  <c r="B239" i="2" s="1"/>
  <c r="J450" i="3"/>
  <c r="B450" i="2" s="1"/>
  <c r="E450" i="3"/>
  <c r="A450" i="2" s="1"/>
  <c r="J661" i="3"/>
  <c r="B661" i="2" s="1"/>
  <c r="E661" i="3"/>
  <c r="A661" i="2" s="1"/>
  <c r="J875" i="3"/>
  <c r="B875" i="2" s="1"/>
  <c r="E875" i="3"/>
  <c r="A875" i="2" s="1"/>
  <c r="J203" i="3"/>
  <c r="B203" i="2" s="1"/>
  <c r="E203" i="3"/>
  <c r="A203" i="2" s="1"/>
  <c r="J399" i="3"/>
  <c r="B399" i="2" s="1"/>
  <c r="E399" i="3"/>
  <c r="A399" i="2" s="1"/>
  <c r="J595" i="3"/>
  <c r="B595" i="2" s="1"/>
  <c r="E595" i="3"/>
  <c r="A595" i="2" s="1"/>
  <c r="J791" i="3"/>
  <c r="B791" i="2" s="1"/>
  <c r="E791" i="3"/>
  <c r="A791" i="2" s="1"/>
  <c r="E998" i="3"/>
  <c r="A998" i="2" s="1"/>
  <c r="J998" i="3"/>
  <c r="B998" i="2" s="1"/>
  <c r="E845" i="3"/>
  <c r="A845" i="2" s="1"/>
  <c r="J845" i="3"/>
  <c r="B845" i="2" s="1"/>
  <c r="E859" i="3"/>
  <c r="A859" i="2" s="1"/>
  <c r="J859" i="3"/>
  <c r="B859" i="2" s="1"/>
  <c r="E337" i="3"/>
  <c r="A337" i="2" s="1"/>
  <c r="J337" i="3"/>
  <c r="B337" i="2" s="1"/>
  <c r="J657" i="3"/>
  <c r="B657" i="2" s="1"/>
  <c r="E657" i="3"/>
  <c r="A657" i="2" s="1"/>
  <c r="J554" i="3"/>
  <c r="B554" i="2" s="1"/>
  <c r="E554" i="3"/>
  <c r="A554" i="2" s="1"/>
  <c r="J540" i="3"/>
  <c r="B540" i="2" s="1"/>
  <c r="E540" i="3"/>
  <c r="A540" i="2" s="1"/>
  <c r="J513" i="3"/>
  <c r="B513" i="2" s="1"/>
  <c r="E513" i="3"/>
  <c r="A513" i="2" s="1"/>
  <c r="J423" i="3"/>
  <c r="B423" i="2" s="1"/>
  <c r="E423" i="3"/>
  <c r="A423" i="2" s="1"/>
  <c r="J137" i="3"/>
  <c r="B137" i="2" s="1"/>
  <c r="E137" i="3"/>
  <c r="A137" i="2" s="1"/>
  <c r="J832" i="3"/>
  <c r="B832" i="2" s="1"/>
  <c r="E832" i="3"/>
  <c r="A832" i="2" s="1"/>
  <c r="J618" i="3"/>
  <c r="B618" i="2" s="1"/>
  <c r="E618" i="3"/>
  <c r="A618" i="2" s="1"/>
  <c r="E704" i="3"/>
  <c r="A704" i="2" s="1"/>
  <c r="J704" i="3"/>
  <c r="B704" i="2" s="1"/>
  <c r="E816" i="3"/>
  <c r="A816" i="2" s="1"/>
  <c r="J816" i="3"/>
  <c r="B816" i="2" s="1"/>
  <c r="J930" i="3"/>
  <c r="B930" i="2" s="1"/>
  <c r="E930" i="3"/>
  <c r="A930" i="2" s="1"/>
  <c r="J664" i="3"/>
  <c r="B664" i="2" s="1"/>
  <c r="E664" i="3"/>
  <c r="A664" i="2" s="1"/>
  <c r="E39" i="3"/>
  <c r="A39" i="2" s="1"/>
  <c r="J39" i="3"/>
  <c r="B39" i="2" s="1"/>
  <c r="J895" i="3"/>
  <c r="B895" i="2" s="1"/>
  <c r="E895" i="3"/>
  <c r="A895" i="2" s="1"/>
  <c r="J325" i="3"/>
  <c r="B325" i="2" s="1"/>
  <c r="E325" i="3"/>
  <c r="A325" i="2" s="1"/>
  <c r="E900" i="3"/>
  <c r="A900" i="2" s="1"/>
  <c r="J900" i="3"/>
  <c r="B900" i="2" s="1"/>
  <c r="E443" i="3"/>
  <c r="A443" i="2" s="1"/>
  <c r="J443" i="3"/>
  <c r="B443" i="2" s="1"/>
  <c r="E984" i="3"/>
  <c r="A984" i="2" s="1"/>
  <c r="J984" i="3"/>
  <c r="B984" i="2" s="1"/>
  <c r="J449" i="3"/>
  <c r="B449" i="2" s="1"/>
  <c r="E449" i="3"/>
  <c r="A449" i="2" s="1"/>
  <c r="E677" i="3"/>
  <c r="A677" i="2" s="1"/>
  <c r="J677" i="3"/>
  <c r="B677" i="2" s="1"/>
  <c r="J136" i="3"/>
  <c r="B136" i="2" s="1"/>
  <c r="E136" i="3"/>
  <c r="A136" i="2" s="1"/>
  <c r="J590" i="3"/>
  <c r="B590" i="2" s="1"/>
  <c r="E590" i="3"/>
  <c r="A590" i="2" s="1"/>
  <c r="E48" i="3"/>
  <c r="A48" i="2" s="1"/>
  <c r="J48" i="3"/>
  <c r="B48" i="2" s="1"/>
  <c r="J805" i="3"/>
  <c r="B805" i="2" s="1"/>
  <c r="E805" i="3"/>
  <c r="A805" i="2" s="1"/>
  <c r="E364" i="3"/>
  <c r="A364" i="2" s="1"/>
  <c r="J364" i="3"/>
  <c r="B364" i="2" s="1"/>
  <c r="J696" i="3"/>
  <c r="B696" i="2" s="1"/>
  <c r="E696" i="3"/>
  <c r="A696" i="2" s="1"/>
  <c r="E588" i="3"/>
  <c r="A588" i="2" s="1"/>
  <c r="J588" i="3"/>
  <c r="B588" i="2" s="1"/>
  <c r="J931" i="3"/>
  <c r="B931" i="2" s="1"/>
  <c r="E931" i="3"/>
  <c r="A931" i="2" s="1"/>
  <c r="E185" i="3"/>
  <c r="A185" i="2" s="1"/>
  <c r="J185" i="3"/>
  <c r="B185" i="2" s="1"/>
  <c r="J846" i="3"/>
  <c r="B846" i="2" s="1"/>
  <c r="E846" i="3"/>
  <c r="A846" i="2" s="1"/>
  <c r="J474" i="3"/>
  <c r="B474" i="2" s="1"/>
  <c r="E474" i="3"/>
  <c r="A474" i="2" s="1"/>
  <c r="E806" i="3"/>
  <c r="A806" i="2" s="1"/>
  <c r="J806" i="3"/>
  <c r="B806" i="2" s="1"/>
  <c r="J861" i="3"/>
  <c r="B861" i="2" s="1"/>
  <c r="E861" i="3"/>
  <c r="A861" i="2" s="1"/>
  <c r="J534" i="3"/>
  <c r="B534" i="2" s="1"/>
  <c r="E534" i="3"/>
  <c r="A534" i="2" s="1"/>
  <c r="J180" i="3"/>
  <c r="B180" i="2" s="1"/>
  <c r="E180" i="3"/>
  <c r="A180" i="2" s="1"/>
  <c r="J744" i="3"/>
  <c r="B744" i="2" s="1"/>
  <c r="E744" i="3"/>
  <c r="A744" i="2" s="1"/>
  <c r="J311" i="3"/>
  <c r="B311" i="2" s="1"/>
  <c r="E311" i="3"/>
  <c r="A311" i="2" s="1"/>
  <c r="E883" i="3"/>
  <c r="A883" i="2" s="1"/>
  <c r="J883" i="3"/>
  <c r="B883" i="2" s="1"/>
  <c r="E279" i="3"/>
  <c r="A279" i="2" s="1"/>
  <c r="J279" i="3"/>
  <c r="B279" i="2" s="1"/>
  <c r="J642" i="3"/>
  <c r="B642" i="2" s="1"/>
  <c r="E642" i="3"/>
  <c r="A642" i="2" s="1"/>
  <c r="E12" i="3"/>
  <c r="A12" i="2" s="1"/>
  <c r="J12" i="3"/>
  <c r="B12" i="2" s="1"/>
  <c r="E370" i="3"/>
  <c r="A370" i="2" s="1"/>
  <c r="J370" i="3"/>
  <c r="B370" i="2" s="1"/>
  <c r="J113" i="3"/>
  <c r="B113" i="2" s="1"/>
  <c r="E113" i="3"/>
  <c r="A113" i="2" s="1"/>
  <c r="J220" i="3"/>
  <c r="B220" i="2" s="1"/>
  <c r="E220" i="3"/>
  <c r="A220" i="2" s="1"/>
  <c r="J954" i="3"/>
  <c r="B954" i="2" s="1"/>
  <c r="E954" i="3"/>
  <c r="A954" i="2" s="1"/>
  <c r="E327" i="3"/>
  <c r="A327" i="2" s="1"/>
  <c r="J327" i="3"/>
  <c r="B327" i="2" s="1"/>
  <c r="E57" i="3"/>
  <c r="A57" i="2" s="1"/>
  <c r="J57" i="3"/>
  <c r="B57" i="2" s="1"/>
  <c r="J339" i="3"/>
  <c r="B339" i="2" s="1"/>
  <c r="E339" i="3"/>
  <c r="A339" i="2" s="1"/>
  <c r="J625" i="3"/>
  <c r="B625" i="2" s="1"/>
  <c r="E625" i="3"/>
  <c r="A625" i="2" s="1"/>
  <c r="J916" i="3"/>
  <c r="B916" i="2" s="1"/>
  <c r="E916" i="3"/>
  <c r="A916" i="2" s="1"/>
  <c r="J202" i="3"/>
  <c r="B202" i="2" s="1"/>
  <c r="E202" i="3"/>
  <c r="A202" i="2" s="1"/>
  <c r="J488" i="3"/>
  <c r="B488" i="2" s="1"/>
  <c r="E488" i="3"/>
  <c r="A488" i="2" s="1"/>
  <c r="J773" i="3"/>
  <c r="B773" i="2" s="1"/>
  <c r="E773" i="3"/>
  <c r="A773" i="2" s="1"/>
  <c r="J65" i="3"/>
  <c r="B65" i="2" s="1"/>
  <c r="E65" i="3"/>
  <c r="A65" i="2" s="1"/>
  <c r="E346" i="3"/>
  <c r="A346" i="2" s="1"/>
  <c r="J346" i="3"/>
  <c r="B346" i="2" s="1"/>
  <c r="J632" i="3"/>
  <c r="B632" i="2" s="1"/>
  <c r="E632" i="3"/>
  <c r="A632" i="2" s="1"/>
  <c r="E925" i="3"/>
  <c r="A925" i="2" s="1"/>
  <c r="J925" i="3"/>
  <c r="B925" i="2" s="1"/>
  <c r="J197" i="3"/>
  <c r="B197" i="2" s="1"/>
  <c r="E197" i="3"/>
  <c r="A197" i="2" s="1"/>
  <c r="E462" i="3"/>
  <c r="A462" i="2" s="1"/>
  <c r="J462" i="3"/>
  <c r="B462" i="2" s="1"/>
  <c r="E728" i="3"/>
  <c r="A728" i="2" s="1"/>
  <c r="J728" i="3"/>
  <c r="B728" i="2" s="1"/>
  <c r="J18" i="3"/>
  <c r="B18" i="2" s="1"/>
  <c r="E18" i="3"/>
  <c r="A18" i="2" s="1"/>
  <c r="J238" i="3"/>
  <c r="B238" i="2" s="1"/>
  <c r="E238" i="3"/>
  <c r="A238" i="2" s="1"/>
  <c r="E466" i="3"/>
  <c r="A466" i="2" s="1"/>
  <c r="J466" i="3"/>
  <c r="B466" i="2" s="1"/>
  <c r="E694" i="3"/>
  <c r="A694" i="2" s="1"/>
  <c r="J694" i="3"/>
  <c r="B694" i="2" s="1"/>
  <c r="J927" i="3"/>
  <c r="B927" i="2" s="1"/>
  <c r="E927" i="3"/>
  <c r="A927" i="2" s="1"/>
  <c r="J152" i="3"/>
  <c r="B152" i="2" s="1"/>
  <c r="E152" i="3"/>
  <c r="A152" i="2" s="1"/>
  <c r="J379" i="3"/>
  <c r="B379" i="2" s="1"/>
  <c r="E379" i="3"/>
  <c r="A379" i="2" s="1"/>
  <c r="J606" i="3"/>
  <c r="B606" i="2" s="1"/>
  <c r="E606" i="3"/>
  <c r="A606" i="2" s="1"/>
  <c r="J834" i="3"/>
  <c r="B834" i="2" s="1"/>
  <c r="E834" i="3"/>
  <c r="A834" i="2" s="1"/>
  <c r="E62" i="3"/>
  <c r="A62" i="2" s="1"/>
  <c r="J62" i="3"/>
  <c r="B62" i="2" s="1"/>
  <c r="J269" i="3"/>
  <c r="B269" i="2" s="1"/>
  <c r="E269" i="3"/>
  <c r="A269" i="2" s="1"/>
  <c r="E480" i="3"/>
  <c r="A480" i="2" s="1"/>
  <c r="J480" i="3"/>
  <c r="B480" i="2" s="1"/>
  <c r="E691" i="3"/>
  <c r="A691" i="2" s="1"/>
  <c r="J691" i="3"/>
  <c r="B691" i="2" s="1"/>
  <c r="E907" i="3"/>
  <c r="A907" i="2" s="1"/>
  <c r="J907" i="3"/>
  <c r="B907" i="2" s="1"/>
  <c r="E231" i="3"/>
  <c r="A231" i="2" s="1"/>
  <c r="J231" i="3"/>
  <c r="B231" i="2" s="1"/>
  <c r="J427" i="3"/>
  <c r="B427" i="2" s="1"/>
  <c r="E427" i="3"/>
  <c r="A427" i="2" s="1"/>
  <c r="J623" i="3"/>
  <c r="B623" i="2" s="1"/>
  <c r="E623" i="3"/>
  <c r="A623" i="2" s="1"/>
  <c r="J819" i="3"/>
  <c r="B819" i="2" s="1"/>
  <c r="E819" i="3"/>
  <c r="A819" i="2" s="1"/>
  <c r="E992" i="3"/>
  <c r="A992" i="2" s="1"/>
  <c r="J992" i="3"/>
  <c r="B992" i="2" s="1"/>
  <c r="J600" i="3"/>
  <c r="B600" i="2" s="1"/>
  <c r="E600" i="3"/>
  <c r="A600" i="2" s="1"/>
  <c r="E761" i="3"/>
  <c r="A761" i="2" s="1"/>
  <c r="J761" i="3"/>
  <c r="B761" i="2" s="1"/>
  <c r="J154" i="3"/>
  <c r="B154" i="2" s="1"/>
  <c r="E154" i="3"/>
  <c r="A154" i="2" s="1"/>
  <c r="J933" i="3"/>
  <c r="B933" i="2" s="1"/>
  <c r="E933" i="3"/>
  <c r="A933" i="2" s="1"/>
  <c r="J548" i="3"/>
  <c r="B548" i="2" s="1"/>
  <c r="E548" i="3"/>
  <c r="A548" i="2" s="1"/>
  <c r="E811" i="3"/>
  <c r="A811" i="2" s="1"/>
  <c r="J811" i="3"/>
  <c r="B811" i="2" s="1"/>
  <c r="J106" i="3"/>
  <c r="B106" i="2" s="1"/>
  <c r="E106" i="3"/>
  <c r="A106" i="2" s="1"/>
  <c r="J303" i="3"/>
  <c r="B303" i="2" s="1"/>
  <c r="E303" i="3"/>
  <c r="A303" i="2" s="1"/>
  <c r="J972" i="3"/>
  <c r="B972" i="2" s="1"/>
  <c r="E972" i="3"/>
  <c r="A972" i="2" s="1"/>
  <c r="J638" i="3"/>
  <c r="B638" i="2" s="1"/>
  <c r="E638" i="3"/>
  <c r="A638" i="2" s="1"/>
  <c r="E309" i="3"/>
  <c r="A309" i="2" s="1"/>
  <c r="J309" i="3"/>
  <c r="B309" i="2" s="1"/>
  <c r="E977" i="3"/>
  <c r="A977" i="2" s="1"/>
  <c r="J977" i="3"/>
  <c r="B977" i="2" s="1"/>
  <c r="J603" i="3"/>
  <c r="B603" i="2" s="1"/>
  <c r="E603" i="3"/>
  <c r="A603" i="2" s="1"/>
  <c r="J232" i="3"/>
  <c r="B232" i="2" s="1"/>
  <c r="E232" i="3"/>
  <c r="A232" i="2" s="1"/>
  <c r="E894" i="3"/>
  <c r="A894" i="2" s="1"/>
  <c r="J894" i="3"/>
  <c r="B894" i="2" s="1"/>
  <c r="J520" i="3"/>
  <c r="B520" i="2" s="1"/>
  <c r="E520" i="3"/>
  <c r="A520" i="2" s="1"/>
  <c r="E195" i="3"/>
  <c r="A195" i="2" s="1"/>
  <c r="J195" i="3"/>
  <c r="B195" i="2" s="1"/>
  <c r="E854" i="3"/>
  <c r="A854" i="2" s="1"/>
  <c r="J854" i="3"/>
  <c r="B854" i="2" s="1"/>
  <c r="J913" i="3"/>
  <c r="B913" i="2" s="1"/>
  <c r="E913" i="3"/>
  <c r="A913" i="2" s="1"/>
  <c r="J578" i="3"/>
  <c r="B578" i="2" s="1"/>
  <c r="E578" i="3"/>
  <c r="A578" i="2" s="1"/>
  <c r="E214" i="3"/>
  <c r="A214" i="2" s="1"/>
  <c r="J214" i="3"/>
  <c r="B214" i="2" s="1"/>
  <c r="J781" i="3"/>
  <c r="B781" i="2" s="1"/>
  <c r="E781" i="3"/>
  <c r="A781" i="2" s="1"/>
  <c r="J353" i="3"/>
  <c r="B353" i="2" s="1"/>
  <c r="E353" i="3"/>
  <c r="A353" i="2" s="1"/>
  <c r="J919" i="3"/>
  <c r="B919" i="2" s="1"/>
  <c r="E919" i="3"/>
  <c r="A919" i="2" s="1"/>
  <c r="J307" i="3"/>
  <c r="B307" i="2" s="1"/>
  <c r="E307" i="3"/>
  <c r="A307" i="2" s="1"/>
  <c r="J668" i="3"/>
  <c r="B668" i="2" s="1"/>
  <c r="E668" i="3"/>
  <c r="A668" i="2" s="1"/>
  <c r="E37" i="3"/>
  <c r="A37" i="2" s="1"/>
  <c r="J37" i="3"/>
  <c r="B37" i="2" s="1"/>
  <c r="J394" i="3"/>
  <c r="B394" i="2" s="1"/>
  <c r="E394" i="3"/>
  <c r="A394" i="2" s="1"/>
  <c r="J759" i="3"/>
  <c r="B759" i="2" s="1"/>
  <c r="E759" i="3"/>
  <c r="A759" i="2" s="1"/>
  <c r="E139" i="3"/>
  <c r="A139" i="2" s="1"/>
  <c r="J139" i="3"/>
  <c r="B139" i="2" s="1"/>
  <c r="E504" i="3"/>
  <c r="A504" i="2" s="1"/>
  <c r="J504" i="3"/>
  <c r="B504" i="2" s="1"/>
  <c r="E869" i="3"/>
  <c r="A869" i="2" s="1"/>
  <c r="J869" i="3"/>
  <c r="B869" i="2" s="1"/>
  <c r="J247" i="3"/>
  <c r="B247" i="2" s="1"/>
  <c r="E247" i="3"/>
  <c r="A247" i="2" s="1"/>
  <c r="E608" i="3"/>
  <c r="A608" i="2" s="1"/>
  <c r="J608" i="3"/>
  <c r="B608" i="2" s="1"/>
  <c r="J982" i="3"/>
  <c r="B982" i="2" s="1"/>
  <c r="E982" i="3"/>
  <c r="A982" i="2" s="1"/>
  <c r="J354" i="3"/>
  <c r="B354" i="2" s="1"/>
  <c r="E354" i="3"/>
  <c r="A354" i="2" s="1"/>
  <c r="J717" i="3"/>
  <c r="B717" i="2" s="1"/>
  <c r="E717" i="3"/>
  <c r="A717" i="2" s="1"/>
  <c r="J77" i="3"/>
  <c r="B77" i="2" s="1"/>
  <c r="E77" i="3"/>
  <c r="A77" i="2" s="1"/>
  <c r="E359" i="3"/>
  <c r="A359" i="2" s="1"/>
  <c r="J359" i="3"/>
  <c r="B359" i="2" s="1"/>
  <c r="J645" i="3"/>
  <c r="B645" i="2" s="1"/>
  <c r="E645" i="3"/>
  <c r="A645" i="2" s="1"/>
  <c r="E936" i="3"/>
  <c r="A936" i="2" s="1"/>
  <c r="J936" i="3"/>
  <c r="B936" i="2" s="1"/>
  <c r="E223" i="3"/>
  <c r="A223" i="2" s="1"/>
  <c r="J223" i="3"/>
  <c r="B223" i="2" s="1"/>
  <c r="J507" i="3"/>
  <c r="B507" i="2" s="1"/>
  <c r="E507" i="3"/>
  <c r="A507" i="2" s="1"/>
  <c r="J794" i="3"/>
  <c r="B794" i="2" s="1"/>
  <c r="E794" i="3"/>
  <c r="A794" i="2" s="1"/>
  <c r="J83" i="3"/>
  <c r="B83" i="2" s="1"/>
  <c r="E83" i="3"/>
  <c r="A83" i="2" s="1"/>
  <c r="J366" i="3"/>
  <c r="B366" i="2" s="1"/>
  <c r="E366" i="3"/>
  <c r="A366" i="2" s="1"/>
  <c r="J653" i="3"/>
  <c r="B653" i="2" s="1"/>
  <c r="E653" i="3"/>
  <c r="A653" i="2" s="1"/>
  <c r="J947" i="3"/>
  <c r="B947" i="2" s="1"/>
  <c r="E947" i="3"/>
  <c r="A947" i="2" s="1"/>
  <c r="J215" i="3"/>
  <c r="B215" i="2" s="1"/>
  <c r="E215" i="3"/>
  <c r="A215" i="2" s="1"/>
  <c r="J481" i="3"/>
  <c r="B481" i="2" s="1"/>
  <c r="E481" i="3"/>
  <c r="A481" i="2" s="1"/>
  <c r="E746" i="3"/>
  <c r="A746" i="2" s="1"/>
  <c r="J746" i="3"/>
  <c r="B746" i="2" s="1"/>
  <c r="E33" i="3"/>
  <c r="A33" i="2" s="1"/>
  <c r="J33" i="3"/>
  <c r="B33" i="2" s="1"/>
  <c r="J255" i="3"/>
  <c r="B255" i="2" s="1"/>
  <c r="E255" i="3"/>
  <c r="A255" i="2" s="1"/>
  <c r="J482" i="3"/>
  <c r="B482" i="2" s="1"/>
  <c r="E482" i="3"/>
  <c r="A482" i="2" s="1"/>
  <c r="J710" i="3"/>
  <c r="B710" i="2" s="1"/>
  <c r="E710" i="3"/>
  <c r="A710" i="2" s="1"/>
  <c r="J945" i="3"/>
  <c r="B945" i="2" s="1"/>
  <c r="E945" i="3"/>
  <c r="A945" i="2" s="1"/>
  <c r="J168" i="3"/>
  <c r="B168" i="2" s="1"/>
  <c r="E168" i="3"/>
  <c r="A168" i="2" s="1"/>
  <c r="J395" i="3"/>
  <c r="B395" i="2" s="1"/>
  <c r="E395" i="3"/>
  <c r="A395" i="2" s="1"/>
  <c r="E622" i="3"/>
  <c r="A622" i="2" s="1"/>
  <c r="J622" i="3"/>
  <c r="B622" i="2" s="1"/>
  <c r="E851" i="3"/>
  <c r="A851" i="2" s="1"/>
  <c r="J851" i="3"/>
  <c r="B851" i="2" s="1"/>
  <c r="E76" i="3"/>
  <c r="A76" i="2" s="1"/>
  <c r="J76" i="3"/>
  <c r="B76" i="2" s="1"/>
  <c r="J284" i="3"/>
  <c r="B284" i="2" s="1"/>
  <c r="E284" i="3"/>
  <c r="A284" i="2" s="1"/>
  <c r="E495" i="3"/>
  <c r="A495" i="2" s="1"/>
  <c r="J495" i="3"/>
  <c r="B495" i="2" s="1"/>
  <c r="J706" i="3"/>
  <c r="B706" i="2" s="1"/>
  <c r="E706" i="3"/>
  <c r="A706" i="2" s="1"/>
  <c r="E924" i="3"/>
  <c r="A924" i="2" s="1"/>
  <c r="J924" i="3"/>
  <c r="B924" i="2" s="1"/>
  <c r="E245" i="3"/>
  <c r="A245" i="2" s="1"/>
  <c r="J245" i="3"/>
  <c r="B245" i="2" s="1"/>
  <c r="J441" i="3"/>
  <c r="B441" i="2" s="1"/>
  <c r="E441" i="3"/>
  <c r="A441" i="2" s="1"/>
  <c r="J637" i="3"/>
  <c r="B637" i="2" s="1"/>
  <c r="E637" i="3"/>
  <c r="A637" i="2" s="1"/>
  <c r="J833" i="3"/>
  <c r="B833" i="2" s="1"/>
  <c r="E833" i="3"/>
  <c r="A833" i="2" s="1"/>
  <c r="E873" i="3"/>
  <c r="A873" i="2" s="1"/>
  <c r="J873" i="3"/>
  <c r="B873" i="2" s="1"/>
  <c r="E242" i="3"/>
  <c r="A242" i="2" s="1"/>
  <c r="J242" i="3"/>
  <c r="B242" i="2" s="1"/>
  <c r="J888" i="3"/>
  <c r="B888" i="2" s="1"/>
  <c r="E888" i="3"/>
  <c r="A888" i="2" s="1"/>
  <c r="E830" i="3"/>
  <c r="A830" i="2" s="1"/>
  <c r="J830" i="3"/>
  <c r="B830" i="2" s="1"/>
  <c r="J867" i="3"/>
  <c r="B867" i="2" s="1"/>
  <c r="E867" i="3"/>
  <c r="A867" i="2" s="1"/>
  <c r="J211" i="3"/>
  <c r="B211" i="2" s="1"/>
  <c r="E211" i="3"/>
  <c r="A211" i="2" s="1"/>
  <c r="J800" i="3"/>
  <c r="B800" i="2" s="1"/>
  <c r="E800" i="3"/>
  <c r="A800" i="2" s="1"/>
  <c r="J766" i="3"/>
  <c r="B766" i="2" s="1"/>
  <c r="E766" i="3"/>
  <c r="A766" i="2" s="1"/>
  <c r="J268" i="3"/>
  <c r="B268" i="2" s="1"/>
  <c r="E268" i="3"/>
  <c r="A268" i="2" s="1"/>
  <c r="E252" i="3"/>
  <c r="A252" i="2" s="1"/>
  <c r="J252" i="3"/>
  <c r="B252" i="2" s="1"/>
  <c r="E341" i="3"/>
  <c r="A341" i="2" s="1"/>
  <c r="J341" i="3"/>
  <c r="B341" i="2" s="1"/>
  <c r="J91" i="3"/>
  <c r="B91" i="2" s="1"/>
  <c r="E91" i="3"/>
  <c r="A91" i="2" s="1"/>
  <c r="E559" i="3"/>
  <c r="A559" i="2" s="1"/>
  <c r="J559" i="3"/>
  <c r="B559" i="2" s="1"/>
  <c r="J302" i="3"/>
  <c r="B302" i="2" s="1"/>
  <c r="E302" i="3"/>
  <c r="A302" i="2" s="1"/>
  <c r="J604" i="3"/>
  <c r="B604" i="2" s="1"/>
  <c r="E604" i="3"/>
  <c r="A604" i="2" s="1"/>
  <c r="J468" i="3"/>
  <c r="B468" i="2" s="1"/>
  <c r="E468" i="3"/>
  <c r="A468" i="2" s="1"/>
  <c r="J611" i="3"/>
  <c r="B611" i="2" s="1"/>
  <c r="E611" i="3"/>
  <c r="A611" i="2" s="1"/>
  <c r="J178" i="3"/>
  <c r="B178" i="2" s="1"/>
  <c r="E178" i="3"/>
  <c r="A178" i="2" s="1"/>
  <c r="E709" i="3"/>
  <c r="A709" i="2" s="1"/>
  <c r="J709" i="3"/>
  <c r="B709" i="2" s="1"/>
  <c r="E222" i="3"/>
  <c r="A222" i="2" s="1"/>
  <c r="J222" i="3"/>
  <c r="B222" i="2" s="1"/>
  <c r="E910" i="3"/>
  <c r="A910" i="2" s="1"/>
  <c r="J910" i="3"/>
  <c r="B910" i="2" s="1"/>
  <c r="J363" i="3"/>
  <c r="B363" i="2" s="1"/>
  <c r="E363" i="3"/>
  <c r="A363" i="2" s="1"/>
  <c r="E817" i="3"/>
  <c r="A817" i="2" s="1"/>
  <c r="J817" i="3"/>
  <c r="B817" i="2" s="1"/>
  <c r="J254" i="3"/>
  <c r="B254" i="2" s="1"/>
  <c r="E254" i="3"/>
  <c r="A254" i="2" s="1"/>
  <c r="J609" i="3"/>
  <c r="B609" i="2" s="1"/>
  <c r="E609" i="3"/>
  <c r="A609" i="2" s="1"/>
  <c r="E107" i="3"/>
  <c r="A107" i="2" s="1"/>
  <c r="J107" i="3"/>
  <c r="B107" i="2" s="1"/>
  <c r="J471" i="3"/>
  <c r="B471" i="2" s="1"/>
  <c r="E471" i="3"/>
  <c r="A471" i="2" s="1"/>
  <c r="J414" i="3"/>
  <c r="B414" i="2" s="1"/>
  <c r="E414" i="3"/>
  <c r="A414" i="2" s="1"/>
  <c r="J917" i="3"/>
  <c r="B917" i="2" s="1"/>
  <c r="E917" i="3"/>
  <c r="A917" i="2" s="1"/>
  <c r="J261" i="3"/>
  <c r="B261" i="2" s="1"/>
  <c r="E261" i="3"/>
  <c r="A261" i="2" s="1"/>
  <c r="E560" i="3"/>
  <c r="A560" i="2" s="1"/>
  <c r="J560" i="3"/>
  <c r="B560" i="2" s="1"/>
  <c r="E148" i="3"/>
  <c r="A148" i="2" s="1"/>
  <c r="J148" i="3"/>
  <c r="B148" i="2" s="1"/>
  <c r="J843" i="3"/>
  <c r="B843" i="2" s="1"/>
  <c r="E843" i="3"/>
  <c r="A843" i="2" s="1"/>
  <c r="E626" i="3"/>
  <c r="A626" i="2" s="1"/>
  <c r="J626" i="3"/>
  <c r="B626" i="2" s="1"/>
  <c r="E887" i="3"/>
  <c r="A887" i="2" s="1"/>
  <c r="J887" i="3"/>
  <c r="B887" i="2" s="1"/>
  <c r="J138" i="3"/>
  <c r="B138" i="2" s="1"/>
  <c r="E138" i="3"/>
  <c r="A138" i="2" s="1"/>
  <c r="J701" i="3"/>
  <c r="B701" i="2" s="1"/>
  <c r="E701" i="3"/>
  <c r="A701" i="2" s="1"/>
  <c r="E319" i="3"/>
  <c r="A319" i="2" s="1"/>
  <c r="J319" i="3"/>
  <c r="B319" i="2" s="1"/>
  <c r="E465" i="3"/>
  <c r="A465" i="2" s="1"/>
  <c r="J465" i="3"/>
  <c r="B465" i="2" s="1"/>
  <c r="E690" i="3"/>
  <c r="A690" i="2" s="1"/>
  <c r="J690" i="3"/>
  <c r="B690" i="2" s="1"/>
  <c r="E129" i="3"/>
  <c r="A129" i="2" s="1"/>
  <c r="J129" i="3"/>
  <c r="B129" i="2" s="1"/>
  <c r="E40" i="3"/>
  <c r="A40" i="2" s="1"/>
  <c r="J40" i="3"/>
  <c r="B40" i="2" s="1"/>
  <c r="E267" i="3"/>
  <c r="A267" i="2" s="1"/>
  <c r="J267" i="3"/>
  <c r="B267" i="2" s="1"/>
  <c r="J688" i="3"/>
  <c r="B688" i="2" s="1"/>
  <c r="E688" i="3"/>
  <c r="A688" i="2" s="1"/>
  <c r="J93" i="3"/>
  <c r="B93" i="2" s="1"/>
  <c r="E93" i="3"/>
  <c r="A93" i="2" s="1"/>
  <c r="E213" i="3"/>
  <c r="A213" i="2" s="1"/>
  <c r="J213" i="3"/>
  <c r="B213" i="2" s="1"/>
  <c r="J348" i="3"/>
  <c r="B348" i="2" s="1"/>
  <c r="E348" i="3"/>
  <c r="A348" i="2" s="1"/>
  <c r="E30" i="3"/>
  <c r="A30" i="2" s="1"/>
  <c r="J30" i="3"/>
  <c r="B30" i="2" s="1"/>
  <c r="J682" i="3"/>
  <c r="B682" i="2" s="1"/>
  <c r="E682" i="3"/>
  <c r="A682" i="2" s="1"/>
  <c r="E4" i="3"/>
  <c r="A4" i="2" s="1"/>
  <c r="J4" i="3"/>
  <c r="B4" i="2" s="1"/>
  <c r="E649" i="3"/>
  <c r="A649" i="2" s="1"/>
  <c r="J649" i="3"/>
  <c r="B649" i="2" s="1"/>
  <c r="E280" i="3"/>
  <c r="A280" i="2" s="1"/>
  <c r="J280" i="3"/>
  <c r="B280" i="2" s="1"/>
  <c r="E942" i="3"/>
  <c r="A942" i="2" s="1"/>
  <c r="J942" i="3"/>
  <c r="B942" i="2" s="1"/>
  <c r="J568" i="3"/>
  <c r="B568" i="2" s="1"/>
  <c r="E568" i="3"/>
  <c r="A568" i="2" s="1"/>
  <c r="E241" i="3"/>
  <c r="A241" i="2" s="1"/>
  <c r="J241" i="3"/>
  <c r="B241" i="2" s="1"/>
  <c r="J906" i="3"/>
  <c r="B906" i="2" s="1"/>
  <c r="E906" i="3"/>
  <c r="A906" i="2" s="1"/>
  <c r="J965" i="3"/>
  <c r="B965" i="2" s="1"/>
  <c r="E965" i="3"/>
  <c r="A965" i="2" s="1"/>
  <c r="J260" i="3"/>
  <c r="B260" i="2" s="1"/>
  <c r="E260" i="3"/>
  <c r="A260" i="2" s="1"/>
  <c r="E392" i="3"/>
  <c r="A392" i="2" s="1"/>
  <c r="J392" i="3"/>
  <c r="B392" i="2" s="1"/>
  <c r="E333" i="3"/>
  <c r="A333" i="2" s="1"/>
  <c r="J333" i="3"/>
  <c r="B333" i="2" s="1"/>
  <c r="J697" i="3"/>
  <c r="B697" i="2" s="1"/>
  <c r="E697" i="3"/>
  <c r="A697" i="2" s="1"/>
  <c r="J60" i="3"/>
  <c r="B60" i="2" s="1"/>
  <c r="E60" i="3"/>
  <c r="A60" i="2" s="1"/>
  <c r="J419" i="3"/>
  <c r="B419" i="2" s="1"/>
  <c r="E419" i="3"/>
  <c r="A419" i="2" s="1"/>
  <c r="E783" i="3"/>
  <c r="A783" i="2" s="1"/>
  <c r="J783" i="3"/>
  <c r="B783" i="2" s="1"/>
  <c r="E167" i="3"/>
  <c r="A167" i="2" s="1"/>
  <c r="J167" i="3"/>
  <c r="B167" i="2" s="1"/>
  <c r="E532" i="3"/>
  <c r="A532" i="2" s="1"/>
  <c r="J532" i="3"/>
  <c r="B532" i="2" s="1"/>
  <c r="E897" i="3"/>
  <c r="A897" i="2" s="1"/>
  <c r="J897" i="3"/>
  <c r="B897" i="2" s="1"/>
  <c r="E272" i="3"/>
  <c r="A272" i="2" s="1"/>
  <c r="J272" i="3"/>
  <c r="B272" i="2" s="1"/>
  <c r="E636" i="3"/>
  <c r="A636" i="2" s="1"/>
  <c r="J636" i="3"/>
  <c r="B636" i="2" s="1"/>
  <c r="J23" i="3"/>
  <c r="B23" i="2" s="1"/>
  <c r="E23" i="3"/>
  <c r="A23" i="2" s="1"/>
  <c r="E378" i="3"/>
  <c r="A378" i="2" s="1"/>
  <c r="J378" i="3"/>
  <c r="B378" i="2" s="1"/>
  <c r="J743" i="3"/>
  <c r="B743" i="2" s="1"/>
  <c r="E743" i="3"/>
  <c r="A743" i="2" s="1"/>
  <c r="J96" i="3"/>
  <c r="B96" i="2" s="1"/>
  <c r="E96" i="3"/>
  <c r="A96" i="2" s="1"/>
  <c r="J380" i="3"/>
  <c r="B380" i="2" s="1"/>
  <c r="E380" i="3"/>
  <c r="A380" i="2" s="1"/>
  <c r="E666" i="3"/>
  <c r="A666" i="2" s="1"/>
  <c r="J666" i="3"/>
  <c r="B666" i="2" s="1"/>
  <c r="J243" i="3"/>
  <c r="B243" i="2" s="1"/>
  <c r="E243" i="3"/>
  <c r="A243" i="2" s="1"/>
  <c r="J529" i="3"/>
  <c r="B529" i="2" s="1"/>
  <c r="E529" i="3"/>
  <c r="A529" i="2" s="1"/>
  <c r="J814" i="3"/>
  <c r="B814" i="2" s="1"/>
  <c r="E814" i="3"/>
  <c r="A814" i="2" s="1"/>
  <c r="J101" i="3"/>
  <c r="B101" i="2" s="1"/>
  <c r="E101" i="3"/>
  <c r="A101" i="2" s="1"/>
  <c r="J388" i="3"/>
  <c r="B388" i="2" s="1"/>
  <c r="E388" i="3"/>
  <c r="A388" i="2" s="1"/>
  <c r="J673" i="3"/>
  <c r="B673" i="2" s="1"/>
  <c r="E673" i="3"/>
  <c r="A673" i="2" s="1"/>
  <c r="E967" i="3"/>
  <c r="A967" i="2" s="1"/>
  <c r="J967" i="3"/>
  <c r="B967" i="2" s="1"/>
  <c r="E235" i="3"/>
  <c r="A235" i="2" s="1"/>
  <c r="J235" i="3"/>
  <c r="B235" i="2" s="1"/>
  <c r="J501" i="3"/>
  <c r="B501" i="2" s="1"/>
  <c r="E501" i="3"/>
  <c r="A501" i="2" s="1"/>
  <c r="E765" i="3"/>
  <c r="A765" i="2" s="1"/>
  <c r="J765" i="3"/>
  <c r="B765" i="2" s="1"/>
  <c r="J49" i="3"/>
  <c r="B49" i="2" s="1"/>
  <c r="E49" i="3"/>
  <c r="A49" i="2" s="1"/>
  <c r="E271" i="3"/>
  <c r="A271" i="2" s="1"/>
  <c r="J271" i="3"/>
  <c r="B271" i="2" s="1"/>
  <c r="E499" i="3"/>
  <c r="A499" i="2" s="1"/>
  <c r="J499" i="3"/>
  <c r="B499" i="2" s="1"/>
  <c r="J726" i="3"/>
  <c r="B726" i="2" s="1"/>
  <c r="E726" i="3"/>
  <c r="A726" i="2" s="1"/>
  <c r="J962" i="3"/>
  <c r="B962" i="2" s="1"/>
  <c r="E962" i="3"/>
  <c r="A962" i="2" s="1"/>
  <c r="E184" i="3"/>
  <c r="A184" i="2" s="1"/>
  <c r="J184" i="3"/>
  <c r="B184" i="2" s="1"/>
  <c r="J411" i="3"/>
  <c r="B411" i="2" s="1"/>
  <c r="E411" i="3"/>
  <c r="A411" i="2" s="1"/>
  <c r="J639" i="3"/>
  <c r="B639" i="2" s="1"/>
  <c r="E639" i="3"/>
  <c r="A639" i="2" s="1"/>
  <c r="E868" i="3"/>
  <c r="A868" i="2" s="1"/>
  <c r="J868" i="3"/>
  <c r="B868" i="2" s="1"/>
  <c r="E90" i="3"/>
  <c r="A90" i="2" s="1"/>
  <c r="J90" i="3"/>
  <c r="B90" i="2" s="1"/>
  <c r="E299" i="3"/>
  <c r="A299" i="2" s="1"/>
  <c r="J299" i="3"/>
  <c r="B299" i="2" s="1"/>
  <c r="E510" i="3"/>
  <c r="A510" i="2" s="1"/>
  <c r="J510" i="3"/>
  <c r="B510" i="2" s="1"/>
  <c r="E722" i="3"/>
  <c r="A722" i="2" s="1"/>
  <c r="J722" i="3"/>
  <c r="B722" i="2" s="1"/>
  <c r="J940" i="3"/>
  <c r="B940" i="2" s="1"/>
  <c r="E940" i="3"/>
  <c r="A940" i="2" s="1"/>
  <c r="J259" i="3"/>
  <c r="B259" i="2" s="1"/>
  <c r="E259" i="3"/>
  <c r="A259" i="2" s="1"/>
  <c r="J848" i="3"/>
  <c r="B848" i="2" s="1"/>
  <c r="E848" i="3"/>
  <c r="A848" i="2" s="1"/>
  <c r="E332" i="3"/>
  <c r="A332" i="2" s="1"/>
  <c r="J332" i="3"/>
  <c r="B332" i="2" s="1"/>
  <c r="J860" i="3"/>
  <c r="B860" i="2" s="1"/>
  <c r="E860" i="3"/>
  <c r="A860" i="2" s="1"/>
  <c r="E153" i="3"/>
  <c r="A153" i="2" s="1"/>
  <c r="J153" i="3"/>
  <c r="B153" i="2" s="1"/>
  <c r="E389" i="3"/>
  <c r="A389" i="2" s="1"/>
  <c r="J389" i="3"/>
  <c r="B389" i="2" s="1"/>
  <c r="J172" i="3"/>
  <c r="B172" i="2" s="1"/>
  <c r="E172" i="3"/>
  <c r="A172" i="2" s="1"/>
  <c r="J808" i="3"/>
  <c r="B808" i="2" s="1"/>
  <c r="E808" i="3"/>
  <c r="A808" i="2" s="1"/>
  <c r="E205" i="3"/>
  <c r="A205" i="2" s="1"/>
  <c r="J205" i="3"/>
  <c r="B205" i="2" s="1"/>
  <c r="E318" i="3"/>
  <c r="A318" i="2" s="1"/>
  <c r="J318" i="3"/>
  <c r="B318" i="2" s="1"/>
  <c r="E396" i="3"/>
  <c r="A396" i="2" s="1"/>
  <c r="J396" i="3"/>
  <c r="B396" i="2" s="1"/>
  <c r="E75" i="3"/>
  <c r="A75" i="2" s="1"/>
  <c r="J75" i="3"/>
  <c r="B75" i="2" s="1"/>
  <c r="J729" i="3"/>
  <c r="B729" i="2" s="1"/>
  <c r="E729" i="3"/>
  <c r="A729" i="2" s="1"/>
  <c r="J403" i="3"/>
  <c r="B403" i="2" s="1"/>
  <c r="E403" i="3"/>
  <c r="A403" i="2" s="1"/>
  <c r="J46" i="3"/>
  <c r="B46" i="2" s="1"/>
  <c r="E46" i="3"/>
  <c r="A46" i="2" s="1"/>
  <c r="E699" i="3"/>
  <c r="A699" i="2" s="1"/>
  <c r="J699" i="3"/>
  <c r="B699" i="2" s="1"/>
  <c r="J326" i="3"/>
  <c r="B326" i="2" s="1"/>
  <c r="E326" i="3"/>
  <c r="A326" i="2" s="1"/>
  <c r="E995" i="3"/>
  <c r="A995" i="2" s="1"/>
  <c r="J995" i="3"/>
  <c r="B995" i="2" s="1"/>
  <c r="J617" i="3"/>
  <c r="B617" i="2" s="1"/>
  <c r="E617" i="3"/>
  <c r="A617" i="2" s="1"/>
  <c r="J289" i="3"/>
  <c r="B289" i="2" s="1"/>
  <c r="E289" i="3"/>
  <c r="A289" i="2" s="1"/>
  <c r="J958" i="3"/>
  <c r="B958" i="2" s="1"/>
  <c r="E958" i="3"/>
  <c r="A958" i="2" s="1"/>
  <c r="J22" i="3"/>
  <c r="B22" i="2" s="1"/>
  <c r="E22" i="3"/>
  <c r="A22" i="2" s="1"/>
  <c r="J678" i="3"/>
  <c r="B678" i="2" s="1"/>
  <c r="E678" i="3"/>
  <c r="A678" i="2" s="1"/>
  <c r="E300" i="3"/>
  <c r="A300" i="2" s="1"/>
  <c r="J300" i="3"/>
  <c r="B300" i="2" s="1"/>
  <c r="E866" i="3"/>
  <c r="A866" i="2" s="1"/>
  <c r="J866" i="3"/>
  <c r="B866" i="2" s="1"/>
  <c r="E434" i="3"/>
  <c r="A434" i="2" s="1"/>
  <c r="J434" i="3"/>
  <c r="B434" i="2" s="1"/>
  <c r="J3" i="3"/>
  <c r="B3" i="2" s="1"/>
  <c r="E3" i="3"/>
  <c r="A3" i="2" s="1"/>
  <c r="E356" i="3"/>
  <c r="A356" i="2" s="1"/>
  <c r="J356" i="3"/>
  <c r="B356" i="2" s="1"/>
  <c r="J720" i="3"/>
  <c r="B720" i="2" s="1"/>
  <c r="E720" i="3"/>
  <c r="A720" i="2" s="1"/>
  <c r="J86" i="3"/>
  <c r="B86" i="2" s="1"/>
  <c r="E86" i="3"/>
  <c r="A86" i="2" s="1"/>
  <c r="J446" i="3"/>
  <c r="B446" i="2" s="1"/>
  <c r="E446" i="3"/>
  <c r="A446" i="2" s="1"/>
  <c r="J810" i="3"/>
  <c r="B810" i="2" s="1"/>
  <c r="E810" i="3"/>
  <c r="A810" i="2" s="1"/>
  <c r="J192" i="3"/>
  <c r="B192" i="2" s="1"/>
  <c r="E192" i="3"/>
  <c r="A192" i="2" s="1"/>
  <c r="J555" i="3"/>
  <c r="B555" i="2" s="1"/>
  <c r="E555" i="3"/>
  <c r="A555" i="2" s="1"/>
  <c r="E928" i="3"/>
  <c r="A928" i="2" s="1"/>
  <c r="J928" i="3"/>
  <c r="B928" i="2" s="1"/>
  <c r="J296" i="3"/>
  <c r="B296" i="2" s="1"/>
  <c r="E296" i="3"/>
  <c r="A296" i="2" s="1"/>
  <c r="E662" i="3"/>
  <c r="A662" i="2" s="1"/>
  <c r="J662" i="3"/>
  <c r="B662" i="2" s="1"/>
  <c r="E47" i="3"/>
  <c r="A47" i="2" s="1"/>
  <c r="J47" i="3"/>
  <c r="B47" i="2" s="1"/>
  <c r="J404" i="3"/>
  <c r="B404" i="2" s="1"/>
  <c r="E404" i="3"/>
  <c r="A404" i="2" s="1"/>
  <c r="E770" i="3"/>
  <c r="A770" i="2" s="1"/>
  <c r="J770" i="3"/>
  <c r="B770" i="2" s="1"/>
  <c r="E114" i="3"/>
  <c r="A114" i="2" s="1"/>
  <c r="J114" i="3"/>
  <c r="B114" i="2" s="1"/>
  <c r="J400" i="3"/>
  <c r="B400" i="2" s="1"/>
  <c r="E400" i="3"/>
  <c r="A400" i="2" s="1"/>
  <c r="J685" i="3"/>
  <c r="B685" i="2" s="1"/>
  <c r="E685" i="3"/>
  <c r="A685" i="2" s="1"/>
  <c r="E981" i="3"/>
  <c r="A981" i="2" s="1"/>
  <c r="J981" i="3"/>
  <c r="B981" i="2" s="1"/>
  <c r="J263" i="3"/>
  <c r="B263" i="2" s="1"/>
  <c r="E263" i="3"/>
  <c r="A263" i="2" s="1"/>
  <c r="E549" i="3"/>
  <c r="A549" i="2" s="1"/>
  <c r="J549" i="3"/>
  <c r="B549" i="2" s="1"/>
  <c r="J835" i="3"/>
  <c r="B835" i="2" s="1"/>
  <c r="E835" i="3"/>
  <c r="A835" i="2" s="1"/>
  <c r="J123" i="3"/>
  <c r="B123" i="2" s="1"/>
  <c r="E123" i="3"/>
  <c r="A123" i="2" s="1"/>
  <c r="J408" i="3"/>
  <c r="B408" i="2" s="1"/>
  <c r="E408" i="3"/>
  <c r="A408" i="2" s="1"/>
  <c r="E695" i="3"/>
  <c r="A695" i="2" s="1"/>
  <c r="J695" i="3"/>
  <c r="B695" i="2" s="1"/>
  <c r="J990" i="3"/>
  <c r="B990" i="2" s="1"/>
  <c r="E990" i="3"/>
  <c r="A990" i="2" s="1"/>
  <c r="E253" i="3"/>
  <c r="A253" i="2" s="1"/>
  <c r="J253" i="3"/>
  <c r="B253" i="2" s="1"/>
  <c r="E519" i="3"/>
  <c r="A519" i="2" s="1"/>
  <c r="J519" i="3"/>
  <c r="B519" i="2" s="1"/>
  <c r="E784" i="3"/>
  <c r="A784" i="2" s="1"/>
  <c r="J784" i="3"/>
  <c r="B784" i="2" s="1"/>
  <c r="J64" i="3"/>
  <c r="B64" i="2" s="1"/>
  <c r="E64" i="3"/>
  <c r="A64" i="2" s="1"/>
  <c r="J288" i="3"/>
  <c r="B288" i="2" s="1"/>
  <c r="E288" i="3"/>
  <c r="A288" i="2" s="1"/>
  <c r="J515" i="3"/>
  <c r="B515" i="2" s="1"/>
  <c r="E515" i="3"/>
  <c r="A515" i="2" s="1"/>
  <c r="E742" i="3"/>
  <c r="A742" i="2" s="1"/>
  <c r="J742" i="3"/>
  <c r="B742" i="2" s="1"/>
  <c r="J979" i="3"/>
  <c r="B979" i="2" s="1"/>
  <c r="E979" i="3"/>
  <c r="A979" i="2" s="1"/>
  <c r="E200" i="3"/>
  <c r="A200" i="2" s="1"/>
  <c r="J200" i="3"/>
  <c r="B200" i="2" s="1"/>
  <c r="J428" i="3"/>
  <c r="B428" i="2" s="1"/>
  <c r="E428" i="3"/>
  <c r="A428" i="2" s="1"/>
  <c r="J655" i="3"/>
  <c r="B655" i="2" s="1"/>
  <c r="E655" i="3"/>
  <c r="A655" i="2" s="1"/>
  <c r="J885" i="3"/>
  <c r="B885" i="2" s="1"/>
  <c r="E885" i="3"/>
  <c r="A885" i="2" s="1"/>
  <c r="E104" i="3"/>
  <c r="A104" i="2" s="1"/>
  <c r="J104" i="3"/>
  <c r="B104" i="2" s="1"/>
  <c r="E314" i="3"/>
  <c r="A314" i="2" s="1"/>
  <c r="J314" i="3"/>
  <c r="B314" i="2" s="1"/>
  <c r="J526" i="3"/>
  <c r="B526" i="2" s="1"/>
  <c r="E526" i="3"/>
  <c r="A526" i="2" s="1"/>
  <c r="E737" i="3"/>
  <c r="A737" i="2" s="1"/>
  <c r="J737" i="3"/>
  <c r="B737" i="2" s="1"/>
  <c r="E956" i="3"/>
  <c r="A956" i="2" s="1"/>
  <c r="J956" i="3"/>
  <c r="B956" i="2" s="1"/>
  <c r="J273" i="3"/>
  <c r="B273" i="2" s="1"/>
  <c r="E273" i="3"/>
  <c r="A273" i="2" s="1"/>
  <c r="E469" i="3"/>
  <c r="A469" i="2" s="1"/>
  <c r="J469" i="3"/>
  <c r="B469" i="2" s="1"/>
  <c r="E665" i="3"/>
  <c r="A665" i="2" s="1"/>
  <c r="J665" i="3"/>
  <c r="B665" i="2" s="1"/>
  <c r="J863" i="3"/>
  <c r="B863" i="2" s="1"/>
  <c r="E863" i="3"/>
  <c r="A863" i="2" s="1"/>
  <c r="E901" i="3"/>
  <c r="A901" i="2" s="1"/>
  <c r="J901" i="3"/>
  <c r="B901" i="2" s="1"/>
  <c r="J208" i="3"/>
  <c r="B208" i="2" s="1"/>
  <c r="E208" i="3"/>
  <c r="A208" i="2" s="1"/>
  <c r="E490" i="3"/>
  <c r="A490" i="2" s="1"/>
  <c r="J490" i="3"/>
  <c r="B490" i="2" s="1"/>
  <c r="J193" i="3"/>
  <c r="B193" i="2" s="1"/>
  <c r="E193" i="3"/>
  <c r="A193" i="2" s="1"/>
  <c r="J45" i="3"/>
  <c r="B45" i="2" s="1"/>
  <c r="E45" i="3"/>
  <c r="A45" i="2" s="1"/>
  <c r="J891" i="3"/>
  <c r="B891" i="2" s="1"/>
  <c r="E891" i="3"/>
  <c r="A891" i="2" s="1"/>
  <c r="J256" i="3"/>
  <c r="B256" i="2" s="1"/>
  <c r="E256" i="3"/>
  <c r="A256" i="2" s="1"/>
  <c r="E477" i="3"/>
  <c r="A477" i="2" s="1"/>
  <c r="J477" i="3"/>
  <c r="B477" i="2" s="1"/>
  <c r="J738" i="3"/>
  <c r="B738" i="2" s="1"/>
  <c r="E738" i="3"/>
  <c r="A738" i="2" s="1"/>
  <c r="E826" i="3"/>
  <c r="A826" i="2" s="1"/>
  <c r="J826" i="3"/>
  <c r="B826" i="2" s="1"/>
  <c r="J651" i="3"/>
  <c r="B651" i="2" s="1"/>
  <c r="E651" i="3"/>
  <c r="A651" i="2" s="1"/>
  <c r="J362" i="3"/>
  <c r="B362" i="2" s="1"/>
  <c r="E362" i="3"/>
  <c r="A362" i="2" s="1"/>
  <c r="J1000" i="3"/>
  <c r="B1000" i="2" s="1"/>
  <c r="E1000" i="3"/>
  <c r="A1000" i="2" s="1"/>
  <c r="E262" i="3"/>
  <c r="A262" i="2" s="1"/>
  <c r="J262" i="3"/>
  <c r="B262" i="2" s="1"/>
  <c r="E518" i="3"/>
  <c r="A518" i="2" s="1"/>
  <c r="J518" i="3"/>
  <c r="B518" i="2" s="1"/>
  <c r="J282" i="3"/>
  <c r="B282" i="2" s="1"/>
  <c r="E282" i="3"/>
  <c r="A282" i="2" s="1"/>
  <c r="E939" i="3"/>
  <c r="A939" i="2" s="1"/>
  <c r="J939" i="3"/>
  <c r="B939" i="2" s="1"/>
  <c r="J316" i="3"/>
  <c r="B316" i="2" s="1"/>
  <c r="E316" i="3"/>
  <c r="A316" i="2" s="1"/>
  <c r="J456" i="3"/>
  <c r="B456" i="2" s="1"/>
  <c r="E456" i="3"/>
  <c r="A456" i="2" s="1"/>
  <c r="E442" i="3"/>
  <c r="A442" i="2" s="1"/>
  <c r="J442" i="3"/>
  <c r="B442" i="2" s="1"/>
  <c r="J116" i="3"/>
  <c r="B116" i="2" s="1"/>
  <c r="E116" i="3"/>
  <c r="A116" i="2" s="1"/>
  <c r="E778" i="3"/>
  <c r="A778" i="2" s="1"/>
  <c r="J778" i="3"/>
  <c r="B778" i="2" s="1"/>
  <c r="E451" i="3"/>
  <c r="A451" i="2" s="1"/>
  <c r="J451" i="3"/>
  <c r="B451" i="2" s="1"/>
  <c r="J87" i="3"/>
  <c r="B87" i="2" s="1"/>
  <c r="E87" i="3"/>
  <c r="A87" i="2" s="1"/>
  <c r="J748" i="3"/>
  <c r="B748" i="2" s="1"/>
  <c r="E748" i="3"/>
  <c r="A748" i="2" s="1"/>
  <c r="J372" i="3"/>
  <c r="B372" i="2" s="1"/>
  <c r="E372" i="3"/>
  <c r="A372" i="2" s="1"/>
  <c r="J10" i="3"/>
  <c r="B10" i="2" s="1"/>
  <c r="E10" i="3"/>
  <c r="A10" i="2" s="1"/>
  <c r="E658" i="3"/>
  <c r="A658" i="2" s="1"/>
  <c r="J658" i="3"/>
  <c r="B658" i="2" s="1"/>
  <c r="J335" i="3"/>
  <c r="B335" i="2" s="1"/>
  <c r="E335" i="3"/>
  <c r="A335" i="2" s="1"/>
  <c r="J340" i="3"/>
  <c r="B340" i="2" s="1"/>
  <c r="E340" i="3"/>
  <c r="A340" i="2" s="1"/>
  <c r="E66" i="3"/>
  <c r="A66" i="2" s="1"/>
  <c r="J66" i="3"/>
  <c r="B66" i="2" s="1"/>
  <c r="J724" i="3"/>
  <c r="B724" i="2" s="1"/>
  <c r="E724" i="3"/>
  <c r="A724" i="2" s="1"/>
  <c r="J338" i="3"/>
  <c r="B338" i="2" s="1"/>
  <c r="E338" i="3"/>
  <c r="A338" i="2" s="1"/>
  <c r="J912" i="3"/>
  <c r="B912" i="2" s="1"/>
  <c r="E912" i="3"/>
  <c r="A912" i="2" s="1"/>
  <c r="E472" i="3"/>
  <c r="A472" i="2" s="1"/>
  <c r="J472" i="3"/>
  <c r="B472" i="2" s="1"/>
  <c r="E27" i="3"/>
  <c r="A27" i="2" s="1"/>
  <c r="J27" i="3"/>
  <c r="B27" i="2" s="1"/>
  <c r="J382" i="3"/>
  <c r="B382" i="2" s="1"/>
  <c r="E382" i="3"/>
  <c r="A382" i="2" s="1"/>
  <c r="J745" i="3"/>
  <c r="B745" i="2" s="1"/>
  <c r="E745" i="3"/>
  <c r="A745" i="2" s="1"/>
  <c r="E110" i="3"/>
  <c r="A110" i="2" s="1"/>
  <c r="J110" i="3"/>
  <c r="B110" i="2" s="1"/>
  <c r="E473" i="3"/>
  <c r="A473" i="2" s="1"/>
  <c r="J473" i="3"/>
  <c r="B473" i="2" s="1"/>
  <c r="E837" i="3"/>
  <c r="A837" i="2" s="1"/>
  <c r="J837" i="3"/>
  <c r="B837" i="2" s="1"/>
  <c r="E219" i="3"/>
  <c r="A219" i="2" s="1"/>
  <c r="J219" i="3"/>
  <c r="B219" i="2" s="1"/>
  <c r="J582" i="3"/>
  <c r="B582" i="2" s="1"/>
  <c r="E582" i="3"/>
  <c r="A582" i="2" s="1"/>
  <c r="E952" i="3"/>
  <c r="A952" i="2" s="1"/>
  <c r="J952" i="3"/>
  <c r="B952" i="2" s="1"/>
  <c r="E323" i="3"/>
  <c r="A323" i="2" s="1"/>
  <c r="J323" i="3"/>
  <c r="B323" i="2" s="1"/>
  <c r="E686" i="3"/>
  <c r="A686" i="2" s="1"/>
  <c r="J686" i="3"/>
  <c r="B686" i="2" s="1"/>
  <c r="E71" i="3"/>
  <c r="A71" i="2" s="1"/>
  <c r="J71" i="3"/>
  <c r="B71" i="2" s="1"/>
  <c r="J432" i="3"/>
  <c r="B432" i="2" s="1"/>
  <c r="E432" i="3"/>
  <c r="A432" i="2" s="1"/>
  <c r="J796" i="3"/>
  <c r="B796" i="2" s="1"/>
  <c r="E796" i="3"/>
  <c r="A796" i="2" s="1"/>
  <c r="E135" i="3"/>
  <c r="A135" i="2" s="1"/>
  <c r="J135" i="3"/>
  <c r="B135" i="2" s="1"/>
  <c r="J421" i="3"/>
  <c r="B421" i="2" s="1"/>
  <c r="E421" i="3"/>
  <c r="A421" i="2" s="1"/>
  <c r="E705" i="3"/>
  <c r="A705" i="2" s="1"/>
  <c r="J705" i="3"/>
  <c r="B705" i="2" s="1"/>
  <c r="E7" i="3"/>
  <c r="A7" i="2" s="1"/>
  <c r="J7" i="3"/>
  <c r="B7" i="2" s="1"/>
  <c r="J283" i="3"/>
  <c r="B283" i="2" s="1"/>
  <c r="E283" i="3"/>
  <c r="A283" i="2" s="1"/>
  <c r="J569" i="3"/>
  <c r="B569" i="2" s="1"/>
  <c r="E569" i="3"/>
  <c r="A569" i="2" s="1"/>
  <c r="E855" i="3"/>
  <c r="A855" i="2" s="1"/>
  <c r="J855" i="3"/>
  <c r="B855" i="2" s="1"/>
  <c r="E143" i="3"/>
  <c r="A143" i="2" s="1"/>
  <c r="J143" i="3"/>
  <c r="B143" i="2" s="1"/>
  <c r="J429" i="3"/>
  <c r="B429" i="2" s="1"/>
  <c r="E429" i="3"/>
  <c r="A429" i="2" s="1"/>
  <c r="E714" i="3"/>
  <c r="A714" i="2" s="1"/>
  <c r="J714" i="3"/>
  <c r="B714" i="2" s="1"/>
  <c r="E15" i="3"/>
  <c r="A15" i="2" s="1"/>
  <c r="J15" i="3"/>
  <c r="B15" i="2" s="1"/>
  <c r="J274" i="3"/>
  <c r="B274" i="2" s="1"/>
  <c r="E274" i="3"/>
  <c r="A274" i="2" s="1"/>
  <c r="E537" i="3"/>
  <c r="A537" i="2" s="1"/>
  <c r="J537" i="3"/>
  <c r="B537" i="2" s="1"/>
  <c r="E803" i="3"/>
  <c r="A803" i="2" s="1"/>
  <c r="J803" i="3"/>
  <c r="B803" i="2" s="1"/>
  <c r="J79" i="3"/>
  <c r="B79" i="2" s="1"/>
  <c r="E79" i="3"/>
  <c r="A79" i="2" s="1"/>
  <c r="E304" i="3"/>
  <c r="A304" i="2" s="1"/>
  <c r="J304" i="3"/>
  <c r="B304" i="2" s="1"/>
  <c r="J531" i="3"/>
  <c r="B531" i="2" s="1"/>
  <c r="E531" i="3"/>
  <c r="A531" i="2" s="1"/>
  <c r="J758" i="3"/>
  <c r="B758" i="2" s="1"/>
  <c r="E758" i="3"/>
  <c r="A758" i="2" s="1"/>
  <c r="J996" i="3"/>
  <c r="B996" i="2" s="1"/>
  <c r="E996" i="3"/>
  <c r="A996" i="2" s="1"/>
  <c r="J216" i="3"/>
  <c r="B216" i="2" s="1"/>
  <c r="E216" i="3"/>
  <c r="A216" i="2" s="1"/>
  <c r="J444" i="3"/>
  <c r="B444" i="2" s="1"/>
  <c r="E444" i="3"/>
  <c r="A444" i="2" s="1"/>
  <c r="J671" i="3"/>
  <c r="B671" i="2" s="1"/>
  <c r="E671" i="3"/>
  <c r="A671" i="2" s="1"/>
  <c r="J903" i="3"/>
  <c r="B903" i="2" s="1"/>
  <c r="E903" i="3"/>
  <c r="A903" i="2" s="1"/>
  <c r="E118" i="3"/>
  <c r="A118" i="2" s="1"/>
  <c r="J118" i="3"/>
  <c r="B118" i="2" s="1"/>
  <c r="J330" i="3"/>
  <c r="B330" i="2" s="1"/>
  <c r="E330" i="3"/>
  <c r="A330" i="2" s="1"/>
  <c r="J541" i="3"/>
  <c r="B541" i="2" s="1"/>
  <c r="E541" i="3"/>
  <c r="A541" i="2" s="1"/>
  <c r="J752" i="3"/>
  <c r="B752" i="2" s="1"/>
  <c r="E752" i="3"/>
  <c r="A752" i="2" s="1"/>
  <c r="J973" i="3"/>
  <c r="B973" i="2" s="1"/>
  <c r="E973" i="3"/>
  <c r="A973" i="2" s="1"/>
  <c r="J287" i="3"/>
  <c r="B287" i="2" s="1"/>
  <c r="E287" i="3"/>
  <c r="A287" i="2" s="1"/>
  <c r="E483" i="3"/>
  <c r="A483" i="2" s="1"/>
  <c r="J483" i="3"/>
  <c r="B483" i="2" s="1"/>
  <c r="E679" i="3"/>
  <c r="A679" i="2" s="1"/>
  <c r="J679" i="3"/>
  <c r="B679" i="2" s="1"/>
  <c r="J878" i="3"/>
  <c r="B878" i="2" s="1"/>
  <c r="E878" i="3"/>
  <c r="A878" i="2" s="1"/>
  <c r="E915" i="3"/>
  <c r="A915" i="2" s="1"/>
  <c r="J915" i="3"/>
  <c r="B915" i="2" s="1"/>
  <c r="J877" i="3"/>
  <c r="B877" i="2" s="1"/>
  <c r="E877" i="3"/>
  <c r="A877" i="2" s="1"/>
  <c r="J993" i="3"/>
  <c r="B993" i="2" s="1"/>
  <c r="E993" i="3"/>
  <c r="A993" i="2" s="1"/>
  <c r="J182" i="3"/>
  <c r="B182" i="2" s="1"/>
  <c r="E182" i="3"/>
  <c r="A182" i="2" s="1"/>
  <c r="J217" i="3"/>
  <c r="B217" i="2" s="1"/>
  <c r="E217" i="3"/>
  <c r="A217" i="2" s="1"/>
  <c r="J961" i="3"/>
  <c r="B961" i="2" s="1"/>
  <c r="E961" i="3"/>
  <c r="A961" i="2" s="1"/>
  <c r="J731" i="3"/>
  <c r="B731" i="2" s="1"/>
  <c r="E731" i="3"/>
  <c r="A731" i="2" s="1"/>
  <c r="E61" i="3"/>
  <c r="A61" i="2" s="1"/>
  <c r="J61" i="3"/>
  <c r="B61" i="2" s="1"/>
  <c r="J969" i="3"/>
  <c r="B969" i="2" s="1"/>
  <c r="E969" i="3"/>
  <c r="A969" i="2" s="1"/>
  <c r="E455" i="3"/>
  <c r="A455" i="2" s="1"/>
  <c r="J455" i="3"/>
  <c r="B455" i="2" s="1"/>
  <c r="E458" i="3"/>
  <c r="A458" i="2" s="1"/>
  <c r="J458" i="3"/>
  <c r="B458" i="2" s="1"/>
  <c r="J16" i="3"/>
  <c r="B16" i="2" s="1"/>
  <c r="E16" i="3"/>
  <c r="A16" i="2" s="1"/>
  <c r="E373" i="3"/>
  <c r="A373" i="2" s="1"/>
  <c r="J373" i="3"/>
  <c r="B373" i="2" s="1"/>
  <c r="J648" i="3"/>
  <c r="B648" i="2" s="1"/>
  <c r="E648" i="3"/>
  <c r="A648" i="2" s="1"/>
  <c r="J412" i="3"/>
  <c r="B412" i="2" s="1"/>
  <c r="E412" i="3"/>
  <c r="A412" i="2" s="1"/>
  <c r="E81" i="3"/>
  <c r="A81" i="2" s="1"/>
  <c r="J81" i="3"/>
  <c r="B81" i="2" s="1"/>
  <c r="J452" i="3"/>
  <c r="B452" i="2" s="1"/>
  <c r="E452" i="3"/>
  <c r="A452" i="2" s="1"/>
  <c r="E598" i="3"/>
  <c r="A598" i="2" s="1"/>
  <c r="J598" i="3"/>
  <c r="B598" i="2" s="1"/>
  <c r="E491" i="3"/>
  <c r="A491" i="2" s="1"/>
  <c r="J491" i="3"/>
  <c r="B491" i="2" s="1"/>
  <c r="J165" i="3"/>
  <c r="B165" i="2" s="1"/>
  <c r="E165" i="3"/>
  <c r="A165" i="2" s="1"/>
  <c r="E824" i="3"/>
  <c r="A824" i="2" s="1"/>
  <c r="J824" i="3"/>
  <c r="B824" i="2" s="1"/>
  <c r="E494" i="3"/>
  <c r="A494" i="2" s="1"/>
  <c r="J494" i="3"/>
  <c r="B494" i="2" s="1"/>
  <c r="J130" i="3"/>
  <c r="B130" i="2" s="1"/>
  <c r="E130" i="3"/>
  <c r="A130" i="2" s="1"/>
  <c r="E793" i="3"/>
  <c r="A793" i="2" s="1"/>
  <c r="J793" i="3"/>
  <c r="B793" i="2" s="1"/>
  <c r="J416" i="3"/>
  <c r="B416" i="2" s="1"/>
  <c r="E416" i="3"/>
  <c r="A416" i="2" s="1"/>
  <c r="J54" i="3"/>
  <c r="B54" i="2" s="1"/>
  <c r="E54" i="3"/>
  <c r="A54" i="2" s="1"/>
  <c r="E708" i="3"/>
  <c r="A708" i="2" s="1"/>
  <c r="J708" i="3"/>
  <c r="B708" i="2" s="1"/>
  <c r="J383" i="3"/>
  <c r="B383" i="2" s="1"/>
  <c r="E383" i="3"/>
  <c r="A383" i="2" s="1"/>
  <c r="J391" i="3"/>
  <c r="B391" i="2" s="1"/>
  <c r="E391" i="3"/>
  <c r="A391" i="2" s="1"/>
  <c r="E111" i="3"/>
  <c r="A111" i="2" s="1"/>
  <c r="J111" i="3"/>
  <c r="B111" i="2" s="1"/>
  <c r="J771" i="3"/>
  <c r="B771" i="2" s="1"/>
  <c r="E771" i="3"/>
  <c r="A771" i="2" s="1"/>
  <c r="E381" i="3"/>
  <c r="A381" i="2" s="1"/>
  <c r="J381" i="3"/>
  <c r="B381" i="2" s="1"/>
  <c r="J951" i="3"/>
  <c r="B951" i="2" s="1"/>
  <c r="E951" i="3"/>
  <c r="A951" i="2" s="1"/>
  <c r="J516" i="3"/>
  <c r="B516" i="2" s="1"/>
  <c r="E516" i="3"/>
  <c r="A516" i="2" s="1"/>
  <c r="E52" i="3"/>
  <c r="A52" i="2" s="1"/>
  <c r="J52" i="3"/>
  <c r="B52" i="2" s="1"/>
  <c r="E410" i="3"/>
  <c r="A410" i="2" s="1"/>
  <c r="J410" i="3"/>
  <c r="B410" i="2" s="1"/>
  <c r="J772" i="3"/>
  <c r="B772" i="2" s="1"/>
  <c r="E772" i="3"/>
  <c r="A772" i="2" s="1"/>
  <c r="E132" i="3"/>
  <c r="A132" i="2" s="1"/>
  <c r="J132" i="3"/>
  <c r="B132" i="2" s="1"/>
  <c r="E498" i="3"/>
  <c r="A498" i="2" s="1"/>
  <c r="J498" i="3"/>
  <c r="B498" i="2" s="1"/>
  <c r="E865" i="3"/>
  <c r="A865" i="2" s="1"/>
  <c r="J865" i="3"/>
  <c r="B865" i="2" s="1"/>
  <c r="J246" i="3"/>
  <c r="B246" i="2" s="1"/>
  <c r="E246" i="3"/>
  <c r="A246" i="2" s="1"/>
  <c r="E607" i="3"/>
  <c r="A607" i="2" s="1"/>
  <c r="J607" i="3"/>
  <c r="B607" i="2" s="1"/>
  <c r="E980" i="3"/>
  <c r="A980" i="2" s="1"/>
  <c r="J980" i="3"/>
  <c r="B980" i="2" s="1"/>
  <c r="E351" i="3"/>
  <c r="A351" i="2" s="1"/>
  <c r="J351" i="3"/>
  <c r="B351" i="2" s="1"/>
  <c r="J715" i="3"/>
  <c r="B715" i="2" s="1"/>
  <c r="E715" i="3"/>
  <c r="A715" i="2" s="1"/>
  <c r="E95" i="3"/>
  <c r="A95" i="2" s="1"/>
  <c r="J95" i="3"/>
  <c r="B95" i="2" s="1"/>
  <c r="J457" i="3"/>
  <c r="B457" i="2" s="1"/>
  <c r="E457" i="3"/>
  <c r="A457" i="2" s="1"/>
  <c r="J821" i="3"/>
  <c r="B821" i="2" s="1"/>
  <c r="E821" i="3"/>
  <c r="A821" i="2" s="1"/>
  <c r="J155" i="3"/>
  <c r="B155" i="2" s="1"/>
  <c r="E155" i="3"/>
  <c r="A155" i="2" s="1"/>
  <c r="J440" i="3"/>
  <c r="B440" i="2" s="1"/>
  <c r="E440" i="3"/>
  <c r="A440" i="2" s="1"/>
  <c r="E727" i="3"/>
  <c r="A727" i="2" s="1"/>
  <c r="J727" i="3"/>
  <c r="B727" i="2" s="1"/>
  <c r="J25" i="3"/>
  <c r="B25" i="2" s="1"/>
  <c r="E25" i="3"/>
  <c r="A25" i="2" s="1"/>
  <c r="E305" i="3"/>
  <c r="A305" i="2" s="1"/>
  <c r="J305" i="3"/>
  <c r="B305" i="2" s="1"/>
  <c r="J589" i="3"/>
  <c r="B589" i="2" s="1"/>
  <c r="E589" i="3"/>
  <c r="A589" i="2" s="1"/>
  <c r="E879" i="3"/>
  <c r="A879" i="2" s="1"/>
  <c r="J879" i="3"/>
  <c r="B879" i="2" s="1"/>
  <c r="E163" i="3"/>
  <c r="A163" i="2" s="1"/>
  <c r="J163" i="3"/>
  <c r="B163" i="2" s="1"/>
  <c r="E448" i="3"/>
  <c r="A448" i="2" s="1"/>
  <c r="J448" i="3"/>
  <c r="B448" i="2" s="1"/>
  <c r="E733" i="3"/>
  <c r="A733" i="2" s="1"/>
  <c r="J733" i="3"/>
  <c r="B733" i="2" s="1"/>
  <c r="J32" i="3"/>
  <c r="B32" i="2" s="1"/>
  <c r="E32" i="3"/>
  <c r="A32" i="2" s="1"/>
  <c r="E292" i="3"/>
  <c r="A292" i="2" s="1"/>
  <c r="J292" i="3"/>
  <c r="B292" i="2" s="1"/>
  <c r="J557" i="3"/>
  <c r="B557" i="2" s="1"/>
  <c r="E557" i="3"/>
  <c r="A557" i="2" s="1"/>
  <c r="J822" i="3"/>
  <c r="B822" i="2" s="1"/>
  <c r="E822" i="3"/>
  <c r="A822" i="2" s="1"/>
  <c r="E94" i="3"/>
  <c r="A94" i="2" s="1"/>
  <c r="J94" i="3"/>
  <c r="B94" i="2" s="1"/>
  <c r="J320" i="3"/>
  <c r="B320" i="2" s="1"/>
  <c r="E320" i="3"/>
  <c r="A320" i="2" s="1"/>
  <c r="J547" i="3"/>
  <c r="B547" i="2" s="1"/>
  <c r="E547" i="3"/>
  <c r="A547" i="2" s="1"/>
  <c r="E774" i="3"/>
  <c r="A774" i="2" s="1"/>
  <c r="J774" i="3"/>
  <c r="B774" i="2" s="1"/>
  <c r="E13" i="3"/>
  <c r="A13" i="2" s="1"/>
  <c r="J13" i="3"/>
  <c r="B13" i="2" s="1"/>
  <c r="J233" i="3"/>
  <c r="B233" i="2" s="1"/>
  <c r="E233" i="3"/>
  <c r="A233" i="2" s="1"/>
  <c r="J460" i="3"/>
  <c r="B460" i="2" s="1"/>
  <c r="E460" i="3"/>
  <c r="A460" i="2" s="1"/>
  <c r="E687" i="3"/>
  <c r="A687" i="2" s="1"/>
  <c r="J687" i="3"/>
  <c r="B687" i="2" s="1"/>
  <c r="J920" i="3"/>
  <c r="B920" i="2" s="1"/>
  <c r="E920" i="3"/>
  <c r="A920" i="2" s="1"/>
  <c r="E134" i="3"/>
  <c r="A134" i="2" s="1"/>
  <c r="J134" i="3"/>
  <c r="B134" i="2" s="1"/>
  <c r="J345" i="3"/>
  <c r="B345" i="2" s="1"/>
  <c r="E345" i="3"/>
  <c r="A345" i="2" s="1"/>
  <c r="E556" i="3"/>
  <c r="A556" i="2" s="1"/>
  <c r="J556" i="3"/>
  <c r="B556" i="2" s="1"/>
  <c r="J767" i="3"/>
  <c r="B767" i="2" s="1"/>
  <c r="E767" i="3"/>
  <c r="A767" i="2" s="1"/>
  <c r="J989" i="3"/>
  <c r="B989" i="2" s="1"/>
  <c r="E989" i="3"/>
  <c r="A989" i="2" s="1"/>
  <c r="J301" i="3"/>
  <c r="B301" i="2" s="1"/>
  <c r="E301" i="3"/>
  <c r="A301" i="2" s="1"/>
  <c r="J497" i="3"/>
  <c r="B497" i="2" s="1"/>
  <c r="E497" i="3"/>
  <c r="A497" i="2" s="1"/>
  <c r="J693" i="3"/>
  <c r="B693" i="2" s="1"/>
  <c r="E693" i="3"/>
  <c r="A693" i="2" s="1"/>
  <c r="E893" i="3"/>
  <c r="A893" i="2" s="1"/>
  <c r="J893" i="3"/>
  <c r="B893" i="2" s="1"/>
  <c r="E929" i="3"/>
  <c r="A929" i="2" s="1"/>
  <c r="J929" i="3"/>
  <c r="B929" i="2" s="1"/>
  <c r="J290" i="3"/>
  <c r="B290" i="2" s="1"/>
  <c r="E290" i="3"/>
  <c r="A290" i="2" s="1"/>
  <c r="E760" i="3"/>
  <c r="A760" i="2" s="1"/>
  <c r="J760" i="3"/>
  <c r="B760" i="2" s="1"/>
  <c r="J453" i="3"/>
  <c r="B453" i="2" s="1"/>
  <c r="E453" i="3"/>
  <c r="A453" i="2" s="1"/>
  <c r="J754" i="3"/>
  <c r="B754" i="2" s="1"/>
  <c r="E754" i="3"/>
  <c r="A754" i="2" s="1"/>
  <c r="E676" i="3"/>
  <c r="A676" i="2" s="1"/>
  <c r="J676" i="3"/>
  <c r="B676" i="2" s="1"/>
  <c r="E53" i="3"/>
  <c r="A53" i="2" s="1"/>
  <c r="J53" i="3"/>
  <c r="B53" i="2" s="1"/>
  <c r="J583" i="3"/>
  <c r="B583" i="2" s="1"/>
  <c r="E583" i="3"/>
  <c r="A583" i="2" s="1"/>
  <c r="J358" i="3"/>
  <c r="B358" i="2" s="1"/>
  <c r="E358" i="3"/>
  <c r="A358" i="2" s="1"/>
  <c r="J960" i="3"/>
  <c r="B960" i="2" s="1"/>
  <c r="E960" i="3"/>
  <c r="A960" i="2" s="1"/>
  <c r="J496" i="3"/>
  <c r="B496" i="2" s="1"/>
  <c r="E496" i="3"/>
  <c r="A496" i="2" s="1"/>
  <c r="E128" i="3"/>
  <c r="A128" i="2" s="1"/>
  <c r="J128" i="3"/>
  <c r="B128" i="2" s="1"/>
  <c r="J506" i="3"/>
  <c r="B506" i="2" s="1"/>
  <c r="E506" i="3"/>
  <c r="A506" i="2" s="1"/>
  <c r="J786" i="3"/>
  <c r="B786" i="2" s="1"/>
  <c r="E786" i="3"/>
  <c r="A786" i="2" s="1"/>
  <c r="E546" i="3"/>
  <c r="A546" i="2" s="1"/>
  <c r="J546" i="3"/>
  <c r="B546" i="2" s="1"/>
  <c r="J948" i="3"/>
  <c r="B948" i="2" s="1"/>
  <c r="E948" i="3"/>
  <c r="A948" i="2" s="1"/>
  <c r="E573" i="3"/>
  <c r="A573" i="2" s="1"/>
  <c r="J573" i="3"/>
  <c r="B573" i="2" s="1"/>
  <c r="E718" i="3"/>
  <c r="A718" i="2" s="1"/>
  <c r="J718" i="3"/>
  <c r="B718" i="2" s="1"/>
  <c r="J536" i="3"/>
  <c r="B536" i="2" s="1"/>
  <c r="E536" i="3"/>
  <c r="A536" i="2" s="1"/>
  <c r="E210" i="3"/>
  <c r="A210" i="2" s="1"/>
  <c r="J210" i="3"/>
  <c r="B210" i="2" s="1"/>
  <c r="E872" i="3"/>
  <c r="A872" i="2" s="1"/>
  <c r="J872" i="3"/>
  <c r="B872" i="2" s="1"/>
  <c r="E545" i="3"/>
  <c r="A545" i="2" s="1"/>
  <c r="J545" i="3"/>
  <c r="B545" i="2" s="1"/>
  <c r="E181" i="3"/>
  <c r="A181" i="2" s="1"/>
  <c r="J181" i="3"/>
  <c r="B181" i="2" s="1"/>
  <c r="E840" i="3"/>
  <c r="A840" i="2" s="1"/>
  <c r="J840" i="3"/>
  <c r="B840" i="2" s="1"/>
  <c r="J467" i="3"/>
  <c r="B467" i="2" s="1"/>
  <c r="E467" i="3"/>
  <c r="A467" i="2" s="1"/>
  <c r="J97" i="3"/>
  <c r="B97" i="2" s="1"/>
  <c r="E97" i="3"/>
  <c r="A97" i="2" s="1"/>
  <c r="J757" i="3"/>
  <c r="B757" i="2" s="1"/>
  <c r="E757" i="3"/>
  <c r="A757" i="2" s="1"/>
  <c r="E431" i="3"/>
  <c r="A431" i="2" s="1"/>
  <c r="J431" i="3"/>
  <c r="B431" i="2" s="1"/>
  <c r="E438" i="3"/>
  <c r="A438" i="2" s="1"/>
  <c r="J438" i="3"/>
  <c r="B438" i="2" s="1"/>
  <c r="E156" i="3"/>
  <c r="A156" i="2" s="1"/>
  <c r="J156" i="3"/>
  <c r="B156" i="2" s="1"/>
  <c r="E813" i="3"/>
  <c r="A813" i="2" s="1"/>
  <c r="J813" i="3"/>
  <c r="B813" i="2" s="1"/>
  <c r="E418" i="3"/>
  <c r="A418" i="2" s="1"/>
  <c r="J418" i="3"/>
  <c r="B418" i="2" s="1"/>
  <c r="J997" i="3"/>
  <c r="B997" i="2" s="1"/>
  <c r="E997" i="3"/>
  <c r="A997" i="2" s="1"/>
  <c r="E552" i="3"/>
  <c r="A552" i="2" s="1"/>
  <c r="J552" i="3"/>
  <c r="B552" i="2" s="1"/>
  <c r="J74" i="3"/>
  <c r="B74" i="2" s="1"/>
  <c r="E74" i="3"/>
  <c r="A74" i="2" s="1"/>
  <c r="J436" i="3"/>
  <c r="B436" i="2" s="1"/>
  <c r="E436" i="3"/>
  <c r="A436" i="2" s="1"/>
  <c r="J799" i="3"/>
  <c r="B799" i="2" s="1"/>
  <c r="E799" i="3"/>
  <c r="A799" i="2" s="1"/>
  <c r="J160" i="3"/>
  <c r="B160" i="2" s="1"/>
  <c r="E160" i="3"/>
  <c r="A160" i="2" s="1"/>
  <c r="E523" i="3"/>
  <c r="A523" i="2" s="1"/>
  <c r="J523" i="3"/>
  <c r="B523" i="2" s="1"/>
  <c r="J890" i="3"/>
  <c r="B890" i="2" s="1"/>
  <c r="E890" i="3"/>
  <c r="A890" i="2" s="1"/>
  <c r="J270" i="3"/>
  <c r="B270" i="2" s="1"/>
  <c r="E270" i="3"/>
  <c r="A270" i="2" s="1"/>
  <c r="E635" i="3"/>
  <c r="A635" i="2" s="1"/>
  <c r="J635" i="3"/>
  <c r="B635" i="2" s="1"/>
  <c r="E19" i="3"/>
  <c r="A19" i="2" s="1"/>
  <c r="J19" i="3"/>
  <c r="B19" i="2" s="1"/>
  <c r="J376" i="3"/>
  <c r="B376" i="2" s="1"/>
  <c r="E376" i="3"/>
  <c r="A376" i="2" s="1"/>
  <c r="J740" i="3"/>
  <c r="B740" i="2" s="1"/>
  <c r="E740" i="3"/>
  <c r="A740" i="2" s="1"/>
  <c r="E117" i="3"/>
  <c r="A117" i="2" s="1"/>
  <c r="J117" i="3"/>
  <c r="B117" i="2" s="1"/>
  <c r="J485" i="3"/>
  <c r="B485" i="2" s="1"/>
  <c r="E485" i="3"/>
  <c r="A485" i="2" s="1"/>
  <c r="J847" i="3"/>
  <c r="B847" i="2" s="1"/>
  <c r="E847" i="3"/>
  <c r="A847" i="2" s="1"/>
  <c r="E176" i="3"/>
  <c r="A176" i="2" s="1"/>
  <c r="J176" i="3"/>
  <c r="B176" i="2" s="1"/>
  <c r="J461" i="3"/>
  <c r="B461" i="2" s="1"/>
  <c r="E461" i="3"/>
  <c r="A461" i="2" s="1"/>
  <c r="E747" i="3"/>
  <c r="A747" i="2" s="1"/>
  <c r="J747" i="3"/>
  <c r="B747" i="2" s="1"/>
  <c r="E44" i="3"/>
  <c r="A44" i="2" s="1"/>
  <c r="J44" i="3"/>
  <c r="B44" i="2" s="1"/>
  <c r="J324" i="3"/>
  <c r="B324" i="2" s="1"/>
  <c r="E324" i="3"/>
  <c r="A324" i="2" s="1"/>
  <c r="J610" i="3"/>
  <c r="B610" i="2" s="1"/>
  <c r="E610" i="3"/>
  <c r="A610" i="2" s="1"/>
  <c r="J899" i="3"/>
  <c r="B899" i="2" s="1"/>
  <c r="E899" i="3"/>
  <c r="A899" i="2" s="1"/>
  <c r="J183" i="3"/>
  <c r="B183" i="2" s="1"/>
  <c r="E183" i="3"/>
  <c r="A183" i="2" s="1"/>
  <c r="E470" i="3"/>
  <c r="A470" i="2" s="1"/>
  <c r="J470" i="3"/>
  <c r="B470" i="2" s="1"/>
  <c r="E755" i="3"/>
  <c r="A755" i="2" s="1"/>
  <c r="J755" i="3"/>
  <c r="B755" i="2" s="1"/>
  <c r="J51" i="3"/>
  <c r="B51" i="2" s="1"/>
  <c r="E51" i="3"/>
  <c r="A51" i="2" s="1"/>
  <c r="J310" i="3"/>
  <c r="B310" i="2" s="1"/>
  <c r="E310" i="3"/>
  <c r="A310" i="2" s="1"/>
  <c r="J576" i="3"/>
  <c r="B576" i="2" s="1"/>
  <c r="E576" i="3"/>
  <c r="A576" i="2" s="1"/>
  <c r="E841" i="3"/>
  <c r="A841" i="2" s="1"/>
  <c r="J841" i="3"/>
  <c r="B841" i="2" s="1"/>
  <c r="J109" i="3"/>
  <c r="B109" i="2" s="1"/>
  <c r="E109" i="3"/>
  <c r="A109" i="2" s="1"/>
  <c r="E336" i="3"/>
  <c r="A336" i="2" s="1"/>
  <c r="J336" i="3"/>
  <c r="B336" i="2" s="1"/>
  <c r="E563" i="3"/>
  <c r="A563" i="2" s="1"/>
  <c r="J563" i="3"/>
  <c r="B563" i="2" s="1"/>
  <c r="J790" i="3"/>
  <c r="B790" i="2" s="1"/>
  <c r="E790" i="3"/>
  <c r="A790" i="2" s="1"/>
  <c r="J28" i="3"/>
  <c r="B28" i="2" s="1"/>
  <c r="E28" i="3"/>
  <c r="A28" i="2" s="1"/>
  <c r="J249" i="3"/>
  <c r="B249" i="2" s="1"/>
  <c r="E249" i="3"/>
  <c r="A249" i="2" s="1"/>
  <c r="E476" i="3"/>
  <c r="A476" i="2" s="1"/>
  <c r="J476" i="3"/>
  <c r="B476" i="2" s="1"/>
  <c r="J703" i="3"/>
  <c r="B703" i="2" s="1"/>
  <c r="E703" i="3"/>
  <c r="A703" i="2" s="1"/>
  <c r="J937" i="3"/>
  <c r="B937" i="2" s="1"/>
  <c r="E937" i="3"/>
  <c r="A937" i="2" s="1"/>
  <c r="E149" i="3"/>
  <c r="A149" i="2" s="1"/>
  <c r="J149" i="3"/>
  <c r="B149" i="2" s="1"/>
  <c r="E360" i="3"/>
  <c r="A360" i="2" s="1"/>
  <c r="J360" i="3"/>
  <c r="B360" i="2" s="1"/>
  <c r="J571" i="3"/>
  <c r="B571" i="2" s="1"/>
  <c r="E571" i="3"/>
  <c r="A571" i="2" s="1"/>
  <c r="J782" i="3"/>
  <c r="B782" i="2" s="1"/>
  <c r="E782" i="3"/>
  <c r="A782" i="2" s="1"/>
  <c r="J119" i="3"/>
  <c r="B119" i="2" s="1"/>
  <c r="E119" i="3"/>
  <c r="A119" i="2" s="1"/>
  <c r="J315" i="3"/>
  <c r="B315" i="2" s="1"/>
  <c r="E315" i="3"/>
  <c r="A315" i="2" s="1"/>
  <c r="E511" i="3"/>
  <c r="A511" i="2" s="1"/>
  <c r="J511" i="3"/>
  <c r="B511" i="2" s="1"/>
  <c r="J707" i="3"/>
  <c r="B707" i="2" s="1"/>
  <c r="E707" i="3"/>
  <c r="A707" i="2" s="1"/>
  <c r="E908" i="3"/>
  <c r="A908" i="2" s="1"/>
  <c r="J908" i="3"/>
  <c r="B908" i="2" s="1"/>
  <c r="E943" i="3"/>
  <c r="A943" i="2" s="1"/>
  <c r="J943" i="3"/>
  <c r="B943" i="2" s="1"/>
  <c r="J413" i="3"/>
  <c r="B413" i="2" s="1"/>
  <c r="E413" i="3"/>
  <c r="A413" i="2" s="1"/>
  <c r="J787" i="3"/>
  <c r="B787" i="2" s="1"/>
  <c r="E787" i="3"/>
  <c r="A787" i="2" s="1"/>
  <c r="E751" i="3"/>
  <c r="A751" i="2" s="1"/>
  <c r="J751" i="3"/>
  <c r="B751" i="2" s="1"/>
  <c r="J599" i="3"/>
  <c r="B599" i="2" s="1"/>
  <c r="E599" i="3"/>
  <c r="A599" i="2" s="1"/>
  <c r="J234" i="3"/>
  <c r="B234" i="2" s="1"/>
  <c r="E234" i="3"/>
  <c r="A234" i="2" s="1"/>
  <c r="E647" i="3"/>
  <c r="A647" i="2" s="1"/>
  <c r="J647" i="3"/>
  <c r="B647" i="2" s="1"/>
  <c r="E911" i="3"/>
  <c r="A911" i="2" s="1"/>
  <c r="J911" i="3"/>
  <c r="B911" i="2" s="1"/>
  <c r="J669" i="3"/>
  <c r="B669" i="2" s="1"/>
  <c r="E669" i="3"/>
  <c r="A669" i="2" s="1"/>
  <c r="E84" i="3"/>
  <c r="A84" i="2" s="1"/>
  <c r="J84" i="3"/>
  <c r="B84" i="2" s="1"/>
  <c r="J702" i="3"/>
  <c r="B702" i="2" s="1"/>
  <c r="E702" i="3"/>
  <c r="A702" i="2" s="1"/>
  <c r="E838" i="3"/>
  <c r="A838" i="2" s="1"/>
  <c r="J838" i="3"/>
  <c r="B838" i="2" s="1"/>
  <c r="J585" i="3"/>
  <c r="B585" i="2" s="1"/>
  <c r="E585" i="3"/>
  <c r="A585" i="2" s="1"/>
  <c r="J257" i="3"/>
  <c r="B257" i="2" s="1"/>
  <c r="E257" i="3"/>
  <c r="A257" i="2" s="1"/>
  <c r="J926" i="3"/>
  <c r="B926" i="2" s="1"/>
  <c r="E926" i="3"/>
  <c r="A926" i="2" s="1"/>
  <c r="E593" i="3"/>
  <c r="A593" i="2" s="1"/>
  <c r="J593" i="3"/>
  <c r="B593" i="2" s="1"/>
  <c r="J229" i="3"/>
  <c r="B229" i="2" s="1"/>
  <c r="E229" i="3"/>
  <c r="A229" i="2" s="1"/>
  <c r="J889" i="3"/>
  <c r="B889" i="2" s="1"/>
  <c r="E889" i="3"/>
  <c r="A889" i="2" s="1"/>
  <c r="E517" i="3"/>
  <c r="A517" i="2" s="1"/>
  <c r="J517" i="3"/>
  <c r="B517" i="2" s="1"/>
  <c r="E145" i="3"/>
  <c r="A145" i="2" s="1"/>
  <c r="J145" i="3"/>
  <c r="B145" i="2" s="1"/>
  <c r="J804" i="3"/>
  <c r="B804" i="2" s="1"/>
  <c r="E804" i="3"/>
  <c r="A804" i="2" s="1"/>
  <c r="J475" i="3"/>
  <c r="B475" i="2" s="1"/>
  <c r="E475" i="3"/>
  <c r="A475" i="2" s="1"/>
  <c r="E486" i="3"/>
  <c r="A486" i="2" s="1"/>
  <c r="J486" i="3"/>
  <c r="B486" i="2" s="1"/>
  <c r="J207" i="3"/>
  <c r="B207" i="2" s="1"/>
  <c r="E207" i="3"/>
  <c r="A207" i="2" s="1"/>
  <c r="J864" i="3"/>
  <c r="B864" i="2" s="1"/>
  <c r="E864" i="3"/>
  <c r="A864" i="2" s="1"/>
  <c r="J463" i="3"/>
  <c r="B463" i="2" s="1"/>
  <c r="E463" i="3"/>
  <c r="A463" i="2" s="1"/>
  <c r="J35" i="3"/>
  <c r="B35" i="2" s="1"/>
  <c r="E35" i="3"/>
  <c r="A35" i="2" s="1"/>
  <c r="J597" i="3"/>
  <c r="B597" i="2" s="1"/>
  <c r="E597" i="3"/>
  <c r="A597" i="2" s="1"/>
  <c r="E98" i="3"/>
  <c r="A98" i="2" s="1"/>
  <c r="J98" i="3"/>
  <c r="B98" i="2" s="1"/>
  <c r="E459" i="3"/>
  <c r="A459" i="2" s="1"/>
  <c r="J459" i="3"/>
  <c r="B459" i="2" s="1"/>
  <c r="J825" i="3"/>
  <c r="B825" i="2" s="1"/>
  <c r="E825" i="3"/>
  <c r="A825" i="2" s="1"/>
  <c r="J187" i="3"/>
  <c r="B187" i="2" s="1"/>
  <c r="E187" i="3"/>
  <c r="A187" i="2" s="1"/>
  <c r="E551" i="3"/>
  <c r="A551" i="2" s="1"/>
  <c r="J551" i="3"/>
  <c r="B551" i="2" s="1"/>
  <c r="J918" i="3"/>
  <c r="B918" i="2" s="1"/>
  <c r="E918" i="3"/>
  <c r="A918" i="2" s="1"/>
  <c r="E295" i="3"/>
  <c r="A295" i="2" s="1"/>
  <c r="J295" i="3"/>
  <c r="B295" i="2" s="1"/>
  <c r="E659" i="3"/>
  <c r="A659" i="2" s="1"/>
  <c r="J659" i="3"/>
  <c r="B659" i="2" s="1"/>
  <c r="J42" i="3"/>
  <c r="B42" i="2" s="1"/>
  <c r="E42" i="3"/>
  <c r="A42" i="2" s="1"/>
  <c r="E402" i="3"/>
  <c r="A402" i="2" s="1"/>
  <c r="J402" i="3"/>
  <c r="B402" i="2" s="1"/>
  <c r="E764" i="3"/>
  <c r="A764" i="2" s="1"/>
  <c r="J764" i="3"/>
  <c r="B764" i="2" s="1"/>
  <c r="J146" i="3"/>
  <c r="B146" i="2" s="1"/>
  <c r="E146" i="3"/>
  <c r="A146" i="2" s="1"/>
  <c r="J512" i="3"/>
  <c r="B512" i="2" s="1"/>
  <c r="E512" i="3"/>
  <c r="A512" i="2" s="1"/>
  <c r="J876" i="3"/>
  <c r="B876" i="2" s="1"/>
  <c r="E876" i="3"/>
  <c r="A876" i="2" s="1"/>
  <c r="J196" i="3"/>
  <c r="B196" i="2" s="1"/>
  <c r="E196" i="3"/>
  <c r="A196" i="2" s="1"/>
  <c r="E484" i="3"/>
  <c r="A484" i="2" s="1"/>
  <c r="J484" i="3"/>
  <c r="B484" i="2" s="1"/>
  <c r="J768" i="3"/>
  <c r="B768" i="2" s="1"/>
  <c r="E768" i="3"/>
  <c r="A768" i="2" s="1"/>
  <c r="J63" i="3"/>
  <c r="B63" i="2" s="1"/>
  <c r="E63" i="3"/>
  <c r="A63" i="2" s="1"/>
  <c r="J344" i="3"/>
  <c r="B344" i="2" s="1"/>
  <c r="E344" i="3"/>
  <c r="A344" i="2" s="1"/>
  <c r="E630" i="3"/>
  <c r="A630" i="2" s="1"/>
  <c r="J630" i="3"/>
  <c r="B630" i="2" s="1"/>
  <c r="E921" i="3"/>
  <c r="A921" i="2" s="1"/>
  <c r="J921" i="3"/>
  <c r="B921" i="2" s="1"/>
  <c r="E204" i="3"/>
  <c r="A204" i="2" s="1"/>
  <c r="J204" i="3"/>
  <c r="B204" i="2" s="1"/>
  <c r="J489" i="3"/>
  <c r="B489" i="2" s="1"/>
  <c r="E489" i="3"/>
  <c r="A489" i="2" s="1"/>
  <c r="E775" i="3"/>
  <c r="A775" i="2" s="1"/>
  <c r="J775" i="3"/>
  <c r="B775" i="2" s="1"/>
  <c r="J68" i="3"/>
  <c r="B68" i="2" s="1"/>
  <c r="E68" i="3"/>
  <c r="A68" i="2" s="1"/>
  <c r="E328" i="3"/>
  <c r="A328" i="2" s="1"/>
  <c r="J328" i="3"/>
  <c r="B328" i="2" s="1"/>
  <c r="E594" i="3"/>
  <c r="A594" i="2" s="1"/>
  <c r="J594" i="3"/>
  <c r="B594" i="2" s="1"/>
  <c r="J862" i="3"/>
  <c r="B862" i="2" s="1"/>
  <c r="E862" i="3"/>
  <c r="A862" i="2" s="1"/>
  <c r="J125" i="3"/>
  <c r="B125" i="2" s="1"/>
  <c r="E125" i="3"/>
  <c r="A125" i="2" s="1"/>
  <c r="J352" i="3"/>
  <c r="B352" i="2" s="1"/>
  <c r="E352" i="3"/>
  <c r="A352" i="2" s="1"/>
  <c r="E579" i="3"/>
  <c r="A579" i="2" s="1"/>
  <c r="J579" i="3"/>
  <c r="B579" i="2" s="1"/>
  <c r="J807" i="3"/>
  <c r="B807" i="2" s="1"/>
  <c r="E807" i="3"/>
  <c r="A807" i="2" s="1"/>
  <c r="E43" i="3"/>
  <c r="A43" i="2" s="1"/>
  <c r="J43" i="3"/>
  <c r="B43" i="2" s="1"/>
  <c r="E265" i="3"/>
  <c r="A265" i="2" s="1"/>
  <c r="J265" i="3"/>
  <c r="B265" i="2" s="1"/>
  <c r="J492" i="3"/>
  <c r="B492" i="2" s="1"/>
  <c r="E492" i="3"/>
  <c r="A492" i="2" s="1"/>
  <c r="E719" i="3"/>
  <c r="A719" i="2" s="1"/>
  <c r="J719" i="3"/>
  <c r="B719" i="2" s="1"/>
  <c r="J955" i="3"/>
  <c r="B955" i="2" s="1"/>
  <c r="E955" i="3"/>
  <c r="A955" i="2" s="1"/>
  <c r="J164" i="3"/>
  <c r="B164" i="2" s="1"/>
  <c r="E164" i="3"/>
  <c r="A164" i="2" s="1"/>
  <c r="J375" i="3"/>
  <c r="B375" i="2" s="1"/>
  <c r="E375" i="3"/>
  <c r="A375" i="2" s="1"/>
  <c r="J586" i="3"/>
  <c r="B586" i="2" s="1"/>
  <c r="E586" i="3"/>
  <c r="A586" i="2" s="1"/>
  <c r="E797" i="3"/>
  <c r="A797" i="2" s="1"/>
  <c r="J797" i="3"/>
  <c r="B797" i="2" s="1"/>
  <c r="J133" i="3"/>
  <c r="B133" i="2" s="1"/>
  <c r="E133" i="3"/>
  <c r="A133" i="2" s="1"/>
  <c r="J329" i="3"/>
  <c r="B329" i="2" s="1"/>
  <c r="E329" i="3"/>
  <c r="A329" i="2" s="1"/>
  <c r="J525" i="3"/>
  <c r="B525" i="2" s="1"/>
  <c r="E525" i="3"/>
  <c r="A525" i="2" s="1"/>
  <c r="J721" i="3"/>
  <c r="B721" i="2" s="1"/>
  <c r="E721" i="3"/>
  <c r="A721" i="2" s="1"/>
  <c r="J923" i="3"/>
  <c r="B923" i="2" s="1"/>
  <c r="E923" i="3"/>
  <c r="A923" i="2" s="1"/>
  <c r="E957" i="3"/>
  <c r="A957" i="2" s="1"/>
  <c r="J957" i="3"/>
  <c r="B957" i="2" s="1"/>
  <c r="E971" i="3"/>
  <c r="A971" i="2" s="1"/>
  <c r="J971" i="3"/>
  <c r="B971" i="2" s="1"/>
  <c r="E953" i="3"/>
  <c r="A953" i="2" s="1"/>
  <c r="J953" i="3"/>
  <c r="B953" i="2" s="1"/>
  <c r="E131" i="3"/>
  <c r="A131" i="2" s="1"/>
  <c r="J131" i="3"/>
  <c r="B131" i="2" s="1"/>
  <c r="E361" i="3"/>
  <c r="A361" i="2" s="1"/>
  <c r="J361" i="3"/>
  <c r="B361" i="2" s="1"/>
  <c r="E56" i="3"/>
  <c r="A56" i="2" s="1"/>
  <c r="J56" i="3"/>
  <c r="B56" i="2" s="1"/>
  <c r="E199" i="3"/>
  <c r="A199" i="2" s="1"/>
  <c r="J199" i="3"/>
  <c r="B199" i="2" s="1"/>
  <c r="E831" i="3"/>
  <c r="A831" i="2" s="1"/>
  <c r="J831" i="3"/>
  <c r="B831" i="2" s="1"/>
  <c r="J986" i="3"/>
  <c r="B986" i="2" s="1"/>
  <c r="E986" i="3"/>
  <c r="A986" i="2" s="1"/>
  <c r="E308" i="3"/>
  <c r="A308" i="2" s="1"/>
  <c r="J308" i="3"/>
  <c r="B308" i="2" s="1"/>
  <c r="J975" i="3"/>
  <c r="B975" i="2" s="1"/>
  <c r="E975" i="3"/>
  <c r="A975" i="2" s="1"/>
  <c r="J641" i="3"/>
  <c r="B641" i="2" s="1"/>
  <c r="E641" i="3"/>
  <c r="A641" i="2" s="1"/>
  <c r="E277" i="3"/>
  <c r="A277" i="2" s="1"/>
  <c r="J277" i="3"/>
  <c r="B277" i="2" s="1"/>
  <c r="J941" i="3"/>
  <c r="B941" i="2" s="1"/>
  <c r="E941" i="3"/>
  <c r="A941" i="2" s="1"/>
  <c r="J562" i="3"/>
  <c r="B562" i="2" s="1"/>
  <c r="E562" i="3"/>
  <c r="A562" i="2" s="1"/>
  <c r="J853" i="3"/>
  <c r="B853" i="2" s="1"/>
  <c r="E853" i="3"/>
  <c r="A853" i="2" s="1"/>
  <c r="J521" i="3"/>
  <c r="B521" i="2" s="1"/>
  <c r="E521" i="3"/>
  <c r="A521" i="2" s="1"/>
  <c r="E528" i="3"/>
  <c r="A528" i="2" s="1"/>
  <c r="J528" i="3"/>
  <c r="B528" i="2" s="1"/>
  <c r="E251" i="3"/>
  <c r="A251" i="2" s="1"/>
  <c r="J251" i="3"/>
  <c r="B251" i="2" s="1"/>
  <c r="E914" i="3"/>
  <c r="A914" i="2" s="1"/>
  <c r="J914" i="3"/>
  <c r="B914" i="2" s="1"/>
  <c r="E500" i="3"/>
  <c r="A500" i="2" s="1"/>
  <c r="J500" i="3"/>
  <c r="B500" i="2" s="1"/>
  <c r="J72" i="3"/>
  <c r="B72" i="2" s="1"/>
  <c r="E72" i="3"/>
  <c r="A72" i="2" s="1"/>
  <c r="J634" i="3"/>
  <c r="B634" i="2" s="1"/>
  <c r="E634" i="3"/>
  <c r="A634" i="2" s="1"/>
  <c r="J126" i="3"/>
  <c r="B126" i="2" s="1"/>
  <c r="E126" i="3"/>
  <c r="A126" i="2" s="1"/>
  <c r="E487" i="3"/>
  <c r="A487" i="2" s="1"/>
  <c r="J487" i="3"/>
  <c r="B487" i="2" s="1"/>
  <c r="E852" i="3"/>
  <c r="A852" i="2" s="1"/>
  <c r="J852" i="3"/>
  <c r="B852" i="2" s="1"/>
  <c r="J212" i="3"/>
  <c r="B212" i="2" s="1"/>
  <c r="E212" i="3"/>
  <c r="A212" i="2" s="1"/>
  <c r="E577" i="3"/>
  <c r="A577" i="2" s="1"/>
  <c r="J577" i="3"/>
  <c r="B577" i="2" s="1"/>
  <c r="E949" i="3"/>
  <c r="A949" i="2" s="1"/>
  <c r="J949" i="3"/>
  <c r="B949" i="2" s="1"/>
  <c r="E322" i="3"/>
  <c r="A322" i="2" s="1"/>
  <c r="J322" i="3"/>
  <c r="B322" i="2" s="1"/>
  <c r="E684" i="3"/>
  <c r="A684" i="2" s="1"/>
  <c r="J684" i="3"/>
  <c r="B684" i="2" s="1"/>
  <c r="J69" i="3"/>
  <c r="B69" i="2" s="1"/>
  <c r="E69" i="3"/>
  <c r="A69" i="2" s="1"/>
  <c r="E430" i="3"/>
  <c r="A430" i="2" s="1"/>
  <c r="J430" i="3"/>
  <c r="B430" i="2" s="1"/>
  <c r="E792" i="3"/>
  <c r="A792" i="2" s="1"/>
  <c r="J792" i="3"/>
  <c r="B792" i="2" s="1"/>
  <c r="E171" i="3"/>
  <c r="A171" i="2" s="1"/>
  <c r="J171" i="3"/>
  <c r="B171" i="2" s="1"/>
  <c r="E535" i="3"/>
  <c r="A535" i="2" s="1"/>
  <c r="J535" i="3"/>
  <c r="B535" i="2" s="1"/>
  <c r="J905" i="3"/>
  <c r="B905" i="2" s="1"/>
  <c r="E905" i="3"/>
  <c r="A905" i="2" s="1"/>
  <c r="E218" i="3"/>
  <c r="A218" i="2" s="1"/>
  <c r="J218" i="3"/>
  <c r="B218" i="2" s="1"/>
  <c r="E788" i="3"/>
  <c r="A788" i="2" s="1"/>
  <c r="J788" i="3"/>
  <c r="B788" i="2" s="1"/>
  <c r="J82" i="3"/>
  <c r="B82" i="2" s="1"/>
  <c r="E82" i="3"/>
  <c r="A82" i="2" s="1"/>
  <c r="E365" i="3"/>
  <c r="A365" i="2" s="1"/>
  <c r="J365" i="3"/>
  <c r="B365" i="2" s="1"/>
  <c r="E650" i="3"/>
  <c r="A650" i="2" s="1"/>
  <c r="J650" i="3"/>
  <c r="B650" i="2" s="1"/>
  <c r="J946" i="3"/>
  <c r="B946" i="2" s="1"/>
  <c r="E946" i="3"/>
  <c r="A946" i="2" s="1"/>
  <c r="J225" i="3"/>
  <c r="B225" i="2" s="1"/>
  <c r="E225" i="3"/>
  <c r="A225" i="2" s="1"/>
  <c r="J509" i="3"/>
  <c r="B509" i="2" s="1"/>
  <c r="E509" i="3"/>
  <c r="A509" i="2" s="1"/>
  <c r="J795" i="3"/>
  <c r="B795" i="2" s="1"/>
  <c r="E795" i="3"/>
  <c r="A795" i="2" s="1"/>
  <c r="E85" i="3"/>
  <c r="A85" i="2" s="1"/>
  <c r="J85" i="3"/>
  <c r="B85" i="2" s="1"/>
  <c r="J349" i="3"/>
  <c r="B349" i="2" s="1"/>
  <c r="E349" i="3"/>
  <c r="A349" i="2" s="1"/>
  <c r="J614" i="3"/>
  <c r="B614" i="2" s="1"/>
  <c r="E614" i="3"/>
  <c r="A614" i="2" s="1"/>
  <c r="E882" i="3"/>
  <c r="A882" i="2" s="1"/>
  <c r="J882" i="3"/>
  <c r="B882" i="2" s="1"/>
  <c r="J141" i="3"/>
  <c r="B141" i="2" s="1"/>
  <c r="E141" i="3"/>
  <c r="A141" i="2" s="1"/>
  <c r="J368" i="3"/>
  <c r="B368" i="2" s="1"/>
  <c r="E368" i="3"/>
  <c r="A368" i="2" s="1"/>
  <c r="J596" i="3"/>
  <c r="B596" i="2" s="1"/>
  <c r="E596" i="3"/>
  <c r="A596" i="2" s="1"/>
  <c r="E823" i="3"/>
  <c r="A823" i="2" s="1"/>
  <c r="J823" i="3"/>
  <c r="B823" i="2" s="1"/>
  <c r="E58" i="3"/>
  <c r="A58" i="2" s="1"/>
  <c r="J58" i="3"/>
  <c r="B58" i="2" s="1"/>
  <c r="E281" i="3"/>
  <c r="A281" i="2" s="1"/>
  <c r="J281" i="3"/>
  <c r="B281" i="2" s="1"/>
  <c r="E508" i="3"/>
  <c r="A508" i="2" s="1"/>
  <c r="J508" i="3"/>
  <c r="B508" i="2" s="1"/>
  <c r="E736" i="3"/>
  <c r="A736" i="2" s="1"/>
  <c r="J736" i="3"/>
  <c r="B736" i="2" s="1"/>
  <c r="J974" i="3"/>
  <c r="B974" i="2" s="1"/>
  <c r="E974" i="3"/>
  <c r="A974" i="2" s="1"/>
  <c r="J179" i="3"/>
  <c r="B179" i="2" s="1"/>
  <c r="E179" i="3"/>
  <c r="A179" i="2" s="1"/>
  <c r="J390" i="3"/>
  <c r="B390" i="2" s="1"/>
  <c r="E390" i="3"/>
  <c r="A390" i="2" s="1"/>
  <c r="E601" i="3"/>
  <c r="A601" i="2" s="1"/>
  <c r="J601" i="3"/>
  <c r="B601" i="2" s="1"/>
  <c r="E812" i="3"/>
  <c r="A812" i="2" s="1"/>
  <c r="J812" i="3"/>
  <c r="B812" i="2" s="1"/>
  <c r="J147" i="3"/>
  <c r="B147" i="2" s="1"/>
  <c r="E147" i="3"/>
  <c r="A147" i="2" s="1"/>
  <c r="J343" i="3"/>
  <c r="B343" i="2" s="1"/>
  <c r="E343" i="3"/>
  <c r="A343" i="2" s="1"/>
  <c r="J539" i="3"/>
  <c r="B539" i="2" s="1"/>
  <c r="E539" i="3"/>
  <c r="A539" i="2" s="1"/>
  <c r="J735" i="3"/>
  <c r="B735" i="2" s="1"/>
  <c r="E735" i="3"/>
  <c r="A735" i="2" s="1"/>
  <c r="E938" i="3"/>
  <c r="A938" i="2" s="1"/>
  <c r="J938" i="3"/>
  <c r="B938" i="2" s="1"/>
  <c r="J849" i="3"/>
  <c r="B849" i="2" s="1"/>
  <c r="E849" i="3"/>
  <c r="A849" i="2" s="1"/>
  <c r="J734" i="3"/>
  <c r="B734" i="2" s="1"/>
  <c r="E734" i="3"/>
  <c r="A734" i="2" s="1"/>
  <c r="J479" i="3"/>
  <c r="B479" i="2" s="1"/>
  <c r="E479" i="3"/>
  <c r="A479" i="2" s="1"/>
  <c r="E896" i="3"/>
  <c r="A896" i="2" s="1"/>
  <c r="J896" i="3"/>
  <c r="B896" i="2" s="1"/>
  <c r="E170" i="3"/>
  <c r="A170" i="2" s="1"/>
  <c r="J170" i="3"/>
  <c r="B170" i="2" s="1"/>
  <c r="E935" i="3"/>
  <c r="A935" i="2" s="1"/>
  <c r="J935" i="3"/>
  <c r="B935" i="2" s="1"/>
  <c r="J312" i="3"/>
  <c r="B312" i="2" s="1"/>
  <c r="E312" i="3"/>
  <c r="A312" i="2" s="1"/>
  <c r="E978" i="3"/>
  <c r="A978" i="2" s="1"/>
  <c r="J978" i="3"/>
  <c r="B978" i="2" s="1"/>
  <c r="E29" i="3"/>
  <c r="A29" i="2" s="1"/>
  <c r="J29" i="3"/>
  <c r="B29" i="2" s="1"/>
  <c r="J680" i="3"/>
  <c r="B680" i="2" s="1"/>
  <c r="E680" i="3"/>
  <c r="A680" i="2" s="1"/>
  <c r="E355" i="3"/>
  <c r="A355" i="2" s="1"/>
  <c r="J355" i="3"/>
  <c r="B355" i="2" s="1"/>
  <c r="J31" i="3"/>
  <c r="B31" i="2" s="1"/>
  <c r="E31" i="3"/>
  <c r="A31" i="2" s="1"/>
  <c r="J683" i="3"/>
  <c r="B683" i="2" s="1"/>
  <c r="E683" i="3"/>
  <c r="A683" i="2" s="1"/>
  <c r="J321" i="3"/>
  <c r="B321" i="2" s="1"/>
  <c r="E321" i="3"/>
  <c r="A321" i="2" s="1"/>
  <c r="E994" i="3"/>
  <c r="A994" i="2" s="1"/>
  <c r="J994" i="3"/>
  <c r="B994" i="2" s="1"/>
  <c r="E605" i="3"/>
  <c r="A605" i="2" s="1"/>
  <c r="J605" i="3"/>
  <c r="B605" i="2" s="1"/>
  <c r="J236" i="3"/>
  <c r="B236" i="2" s="1"/>
  <c r="E236" i="3"/>
  <c r="A236" i="2" s="1"/>
  <c r="J904" i="3"/>
  <c r="B904" i="2" s="1"/>
  <c r="E904" i="3"/>
  <c r="A904" i="2" s="1"/>
  <c r="J572" i="3"/>
  <c r="B572" i="2" s="1"/>
  <c r="E572" i="3"/>
  <c r="A572" i="2" s="1"/>
  <c r="J575" i="3"/>
  <c r="B575" i="2" s="1"/>
  <c r="E575" i="3"/>
  <c r="A575" i="2" s="1"/>
  <c r="E294" i="3"/>
  <c r="A294" i="2" s="1"/>
  <c r="J294" i="3"/>
  <c r="B294" i="2" s="1"/>
  <c r="E970" i="3"/>
  <c r="A970" i="2" s="1"/>
  <c r="J970" i="3"/>
  <c r="B970" i="2" s="1"/>
  <c r="J543" i="3"/>
  <c r="B543" i="2" s="1"/>
  <c r="E543" i="3"/>
  <c r="A543" i="2" s="1"/>
  <c r="E108" i="3"/>
  <c r="A108" i="2" s="1"/>
  <c r="J108" i="3"/>
  <c r="B108" i="2" s="1"/>
  <c r="J675" i="3"/>
  <c r="B675" i="2" s="1"/>
  <c r="E675" i="3"/>
  <c r="A675" i="2" s="1"/>
  <c r="J150" i="3"/>
  <c r="B150" i="2" s="1"/>
  <c r="E150" i="3"/>
  <c r="A150" i="2" s="1"/>
  <c r="E514" i="3"/>
  <c r="A514" i="2" s="1"/>
  <c r="J514" i="3"/>
  <c r="B514" i="2" s="1"/>
  <c r="J881" i="3"/>
  <c r="B881" i="2" s="1"/>
  <c r="E881" i="3"/>
  <c r="A881" i="2" s="1"/>
  <c r="J240" i="3"/>
  <c r="B240" i="2" s="1"/>
  <c r="E240" i="3"/>
  <c r="A240" i="2" s="1"/>
  <c r="E602" i="3"/>
  <c r="A602" i="2" s="1"/>
  <c r="J602" i="3"/>
  <c r="B602" i="2" s="1"/>
  <c r="J976" i="3"/>
  <c r="B976" i="2" s="1"/>
  <c r="E976" i="3"/>
  <c r="A976" i="2" s="1"/>
  <c r="E350" i="3"/>
  <c r="A350" i="2" s="1"/>
  <c r="J350" i="3"/>
  <c r="B350" i="2" s="1"/>
  <c r="J712" i="3"/>
  <c r="B712" i="2" s="1"/>
  <c r="E712" i="3"/>
  <c r="A712" i="2" s="1"/>
  <c r="J92" i="3"/>
  <c r="B92" i="2" s="1"/>
  <c r="E92" i="3"/>
  <c r="A92" i="2" s="1"/>
  <c r="E454" i="3"/>
  <c r="A454" i="2" s="1"/>
  <c r="J454" i="3"/>
  <c r="B454" i="2" s="1"/>
  <c r="J818" i="3"/>
  <c r="B818" i="2" s="1"/>
  <c r="E818" i="3"/>
  <c r="A818" i="2" s="1"/>
  <c r="E198" i="3"/>
  <c r="A198" i="2" s="1"/>
  <c r="J198" i="3"/>
  <c r="B198" i="2" s="1"/>
  <c r="J561" i="3"/>
  <c r="B561" i="2" s="1"/>
  <c r="E561" i="3"/>
  <c r="A561" i="2" s="1"/>
  <c r="J932" i="3"/>
  <c r="B932" i="2" s="1"/>
  <c r="E932" i="3"/>
  <c r="A932" i="2" s="1"/>
  <c r="J237" i="3"/>
  <c r="B237" i="2" s="1"/>
  <c r="E237" i="3"/>
  <c r="A237" i="2" s="1"/>
  <c r="E522" i="3"/>
  <c r="A522" i="2" s="1"/>
  <c r="J522" i="3"/>
  <c r="B522" i="2" s="1"/>
  <c r="E809" i="3"/>
  <c r="A809" i="2" s="1"/>
  <c r="J809" i="3"/>
  <c r="B809" i="2" s="1"/>
  <c r="J100" i="3"/>
  <c r="B100" i="2" s="1"/>
  <c r="E100" i="3"/>
  <c r="A100" i="2" s="1"/>
  <c r="J386" i="3"/>
  <c r="B386" i="2" s="1"/>
  <c r="E386" i="3"/>
  <c r="A386" i="2" s="1"/>
  <c r="E672" i="3"/>
  <c r="A672" i="2" s="1"/>
  <c r="J672" i="3"/>
  <c r="B672" i="2" s="1"/>
  <c r="E966" i="3"/>
  <c r="A966" i="2" s="1"/>
  <c r="J966" i="3"/>
  <c r="B966" i="2" s="1"/>
  <c r="E244" i="3"/>
  <c r="A244" i="2" s="1"/>
  <c r="J244" i="3"/>
  <c r="B244" i="2" s="1"/>
  <c r="J530" i="3"/>
  <c r="B530" i="2" s="1"/>
  <c r="E530" i="3"/>
  <c r="A530" i="2" s="1"/>
  <c r="J815" i="3"/>
  <c r="B815" i="2" s="1"/>
  <c r="E815" i="3"/>
  <c r="A815" i="2" s="1"/>
  <c r="J102" i="3"/>
  <c r="B102" i="2" s="1"/>
  <c r="E102" i="3"/>
  <c r="A102" i="2" s="1"/>
  <c r="J367" i="3"/>
  <c r="B367" i="2" s="1"/>
  <c r="E367" i="3"/>
  <c r="A367" i="2" s="1"/>
  <c r="E633" i="3"/>
  <c r="A633" i="2" s="1"/>
  <c r="J633" i="3"/>
  <c r="B633" i="2" s="1"/>
  <c r="J902" i="3"/>
  <c r="B902" i="2" s="1"/>
  <c r="E902" i="3"/>
  <c r="A902" i="2" s="1"/>
  <c r="J157" i="3"/>
  <c r="B157" i="2" s="1"/>
  <c r="E157" i="3"/>
  <c r="A157" i="2" s="1"/>
  <c r="J384" i="3"/>
  <c r="B384" i="2" s="1"/>
  <c r="E384" i="3"/>
  <c r="A384" i="2" s="1"/>
  <c r="E612" i="3"/>
  <c r="A612" i="2" s="1"/>
  <c r="J612" i="3"/>
  <c r="B612" i="2" s="1"/>
  <c r="J839" i="3"/>
  <c r="B839" i="2" s="1"/>
  <c r="E839" i="3"/>
  <c r="A839" i="2" s="1"/>
  <c r="J73" i="3"/>
  <c r="B73" i="2" s="1"/>
  <c r="E73" i="3"/>
  <c r="A73" i="2" s="1"/>
  <c r="J297" i="3"/>
  <c r="B297" i="2" s="1"/>
  <c r="E297" i="3"/>
  <c r="A297" i="2" s="1"/>
  <c r="E524" i="3"/>
  <c r="A524" i="2" s="1"/>
  <c r="J524" i="3"/>
  <c r="B524" i="2" s="1"/>
  <c r="J753" i="3"/>
  <c r="B753" i="2" s="1"/>
  <c r="E753" i="3"/>
  <c r="A753" i="2" s="1"/>
  <c r="E991" i="3"/>
  <c r="A991" i="2" s="1"/>
  <c r="J991" i="3"/>
  <c r="B991" i="2" s="1"/>
  <c r="J194" i="3"/>
  <c r="B194" i="2" s="1"/>
  <c r="E194" i="3"/>
  <c r="A194" i="2" s="1"/>
  <c r="J405" i="3"/>
  <c r="B405" i="2" s="1"/>
  <c r="E405" i="3"/>
  <c r="A405" i="2" s="1"/>
  <c r="E616" i="3"/>
  <c r="A616" i="2" s="1"/>
  <c r="J616" i="3"/>
  <c r="B616" i="2" s="1"/>
  <c r="E827" i="3"/>
  <c r="A827" i="2" s="1"/>
  <c r="J827" i="3"/>
  <c r="B827" i="2" s="1"/>
  <c r="J161" i="3"/>
  <c r="B161" i="2" s="1"/>
  <c r="E161" i="3"/>
  <c r="A161" i="2" s="1"/>
  <c r="J357" i="3"/>
  <c r="B357" i="2" s="1"/>
  <c r="E357" i="3"/>
  <c r="A357" i="2" s="1"/>
  <c r="J553" i="3"/>
  <c r="B553" i="2" s="1"/>
  <c r="E553" i="3"/>
  <c r="A553" i="2" s="1"/>
  <c r="J749" i="3"/>
  <c r="B749" i="2" s="1"/>
  <c r="E749" i="3"/>
  <c r="A749" i="2" s="1"/>
  <c r="E985" i="3"/>
  <c r="A985" i="2" s="1"/>
  <c r="J985" i="3"/>
  <c r="B985" i="2" s="1"/>
  <c r="J36" i="3"/>
  <c r="B36" i="2" s="1"/>
  <c r="E36" i="3"/>
  <c r="A36" i="2" s="1"/>
  <c r="E14" i="3"/>
  <c r="A14" i="2" s="1"/>
  <c r="J14" i="3"/>
  <c r="B14" i="2" s="1"/>
  <c r="J613" i="3"/>
  <c r="B613" i="2" s="1"/>
  <c r="E613" i="3"/>
  <c r="A613" i="2" s="1"/>
  <c r="J38" i="3"/>
  <c r="B38" i="2" s="1"/>
  <c r="E38" i="3"/>
  <c r="A38" i="2" s="1"/>
  <c r="J275" i="3"/>
  <c r="B275" i="2" s="1"/>
  <c r="E275" i="3"/>
  <c r="A275" i="2" s="1"/>
  <c r="E643" i="3"/>
  <c r="A643" i="2" s="1"/>
  <c r="J643" i="3"/>
  <c r="B643" i="2" s="1"/>
  <c r="E437" i="3"/>
  <c r="A437" i="2" s="1"/>
  <c r="J437" i="3"/>
  <c r="B437" i="2" s="1"/>
  <c r="E186" i="3"/>
  <c r="A186" i="2" s="1"/>
  <c r="J186" i="3"/>
  <c r="B186" i="2" s="1"/>
  <c r="E70" i="3"/>
  <c r="A70" i="2" s="1"/>
  <c r="J70" i="3"/>
  <c r="B70" i="2" s="1"/>
  <c r="J725" i="3"/>
  <c r="B725" i="2" s="1"/>
  <c r="E725" i="3"/>
  <c r="A725" i="2" s="1"/>
  <c r="E397" i="3"/>
  <c r="A397" i="2" s="1"/>
  <c r="J397" i="3"/>
  <c r="B397" i="2" s="1"/>
  <c r="J78" i="3"/>
  <c r="B78" i="2" s="1"/>
  <c r="E78" i="3"/>
  <c r="A78" i="2" s="1"/>
  <c r="J730" i="3"/>
  <c r="B730" i="2" s="1"/>
  <c r="E730" i="3"/>
  <c r="A730" i="2" s="1"/>
  <c r="E369" i="3"/>
  <c r="A369" i="2" s="1"/>
  <c r="J369" i="3"/>
  <c r="B369" i="2" s="1"/>
  <c r="E5" i="3"/>
  <c r="A5" i="2" s="1"/>
  <c r="J5" i="3"/>
  <c r="B5" i="2" s="1"/>
  <c r="E654" i="3"/>
  <c r="A654" i="2" s="1"/>
  <c r="J654" i="3"/>
  <c r="B654" i="2" s="1"/>
  <c r="E286" i="3"/>
  <c r="A286" i="2" s="1"/>
  <c r="J286" i="3"/>
  <c r="B286" i="2" s="1"/>
  <c r="E950" i="3"/>
  <c r="A950" i="2" s="1"/>
  <c r="J950" i="3"/>
  <c r="B950" i="2" s="1"/>
  <c r="E619" i="3"/>
  <c r="A619" i="2" s="1"/>
  <c r="J619" i="3"/>
  <c r="B619" i="2" s="1"/>
  <c r="J624" i="3"/>
  <c r="B624" i="2" s="1"/>
  <c r="E624" i="3"/>
  <c r="A624" i="2" s="1"/>
  <c r="E342" i="3"/>
  <c r="A342" i="2" s="1"/>
  <c r="J342" i="3"/>
  <c r="B342" i="2" s="1"/>
  <c r="E24" i="3"/>
  <c r="A24" i="2" s="1"/>
  <c r="J24" i="3"/>
  <c r="B24" i="2" s="1"/>
  <c r="E580" i="3"/>
  <c r="A580" i="2" s="1"/>
  <c r="J580" i="3"/>
  <c r="B580" i="2" s="1"/>
  <c r="J151" i="3"/>
  <c r="B151" i="2" s="1"/>
  <c r="E151" i="3"/>
  <c r="A151" i="2" s="1"/>
  <c r="J716" i="3"/>
  <c r="B716" i="2" s="1"/>
  <c r="E716" i="3"/>
  <c r="A716" i="2" s="1"/>
  <c r="J174" i="3"/>
  <c r="B174" i="2" s="1"/>
  <c r="E174" i="3"/>
  <c r="A174" i="2" s="1"/>
  <c r="E538" i="3"/>
  <c r="A538" i="2" s="1"/>
  <c r="J538" i="3"/>
  <c r="B538" i="2" s="1"/>
  <c r="J909" i="3"/>
  <c r="B909" i="2" s="1"/>
  <c r="E909" i="3"/>
  <c r="A909" i="2" s="1"/>
  <c r="E266" i="3"/>
  <c r="A266" i="2" s="1"/>
  <c r="J266" i="3"/>
  <c r="B266" i="2" s="1"/>
  <c r="J627" i="3"/>
  <c r="B627" i="2" s="1"/>
  <c r="E627" i="3"/>
  <c r="A627" i="2" s="1"/>
  <c r="J17" i="3"/>
  <c r="B17" i="2" s="1"/>
  <c r="E17" i="3"/>
  <c r="A17" i="2" s="1"/>
  <c r="E374" i="3"/>
  <c r="A374" i="2" s="1"/>
  <c r="J374" i="3"/>
  <c r="B374" i="2" s="1"/>
  <c r="J739" i="3"/>
  <c r="B739" i="2" s="1"/>
  <c r="E739" i="3"/>
  <c r="A739" i="2" s="1"/>
  <c r="E115" i="3"/>
  <c r="A115" i="2" s="1"/>
  <c r="J115" i="3"/>
  <c r="B115" i="2" s="1"/>
  <c r="J478" i="3"/>
  <c r="B478" i="2" s="1"/>
  <c r="E478" i="3"/>
  <c r="A478" i="2" s="1"/>
  <c r="E844" i="3"/>
  <c r="A844" i="2" s="1"/>
  <c r="J844" i="3"/>
  <c r="B844" i="2" s="1"/>
  <c r="J226" i="3"/>
  <c r="B226" i="2" s="1"/>
  <c r="E226" i="3"/>
  <c r="A226" i="2" s="1"/>
  <c r="E587" i="3"/>
  <c r="A587" i="2" s="1"/>
  <c r="J587" i="3"/>
  <c r="B587" i="2" s="1"/>
  <c r="J959" i="3"/>
  <c r="B959" i="2" s="1"/>
  <c r="E959" i="3"/>
  <c r="A959" i="2" s="1"/>
  <c r="E258" i="3"/>
  <c r="A258" i="2" s="1"/>
  <c r="J258" i="3"/>
  <c r="B258" i="2" s="1"/>
  <c r="J544" i="3"/>
  <c r="B544" i="2" s="1"/>
  <c r="E544" i="3"/>
  <c r="A544" i="2" s="1"/>
  <c r="J829" i="3"/>
  <c r="B829" i="2" s="1"/>
  <c r="E829" i="3"/>
  <c r="A829" i="2" s="1"/>
  <c r="E121" i="3"/>
  <c r="A121" i="2" s="1"/>
  <c r="J121" i="3"/>
  <c r="B121" i="2" s="1"/>
  <c r="J407" i="3"/>
  <c r="B407" i="2" s="1"/>
  <c r="E407" i="3"/>
  <c r="A407" i="2" s="1"/>
  <c r="J692" i="3"/>
  <c r="B692" i="2" s="1"/>
  <c r="E692" i="3"/>
  <c r="A692" i="2" s="1"/>
  <c r="J988" i="3"/>
  <c r="B988" i="2" s="1"/>
  <c r="E988" i="3"/>
  <c r="A988" i="2" s="1"/>
  <c r="E264" i="3"/>
  <c r="A264" i="2" s="1"/>
  <c r="J264" i="3"/>
  <c r="B264" i="2" s="1"/>
  <c r="J550" i="3"/>
  <c r="B550" i="2" s="1"/>
  <c r="E550" i="3"/>
  <c r="A550" i="2" s="1"/>
  <c r="J836" i="3"/>
  <c r="B836" i="2" s="1"/>
  <c r="E836" i="3"/>
  <c r="A836" i="2" s="1"/>
  <c r="J122" i="3"/>
  <c r="B122" i="2" s="1"/>
  <c r="E122" i="3"/>
  <c r="A122" i="2" s="1"/>
  <c r="E387" i="3"/>
  <c r="A387" i="2" s="1"/>
  <c r="J387" i="3"/>
  <c r="B387" i="2" s="1"/>
  <c r="J652" i="3"/>
  <c r="B652" i="2" s="1"/>
  <c r="E652" i="3"/>
  <c r="A652" i="2" s="1"/>
  <c r="E922" i="3"/>
  <c r="A922" i="2" s="1"/>
  <c r="J922" i="3"/>
  <c r="B922" i="2" s="1"/>
  <c r="J173" i="3"/>
  <c r="B173" i="2" s="1"/>
  <c r="E173" i="3"/>
  <c r="A173" i="2" s="1"/>
  <c r="E401" i="3"/>
  <c r="A401" i="2" s="1"/>
  <c r="J401" i="3"/>
  <c r="B401" i="2" s="1"/>
  <c r="J628" i="3"/>
  <c r="B628" i="2" s="1"/>
  <c r="E628" i="3"/>
  <c r="A628" i="2" s="1"/>
  <c r="J856" i="3"/>
  <c r="B856" i="2" s="1"/>
  <c r="E856" i="3"/>
  <c r="A856" i="2" s="1"/>
  <c r="J88" i="3"/>
  <c r="B88" i="2" s="1"/>
  <c r="E88" i="3"/>
  <c r="A88" i="2" s="1"/>
  <c r="E313" i="3"/>
  <c r="A313" i="2" s="1"/>
  <c r="J313" i="3"/>
  <c r="B313" i="2" s="1"/>
  <c r="E542" i="3"/>
  <c r="A542" i="2" s="1"/>
  <c r="J542" i="3"/>
  <c r="B542" i="2" s="1"/>
  <c r="E769" i="3"/>
  <c r="A769" i="2" s="1"/>
  <c r="J769" i="3"/>
  <c r="B769" i="2" s="1"/>
  <c r="J6" i="3"/>
  <c r="B6" i="2" s="1"/>
  <c r="E6" i="3"/>
  <c r="A6" i="2" s="1"/>
  <c r="E209" i="3"/>
  <c r="A209" i="2" s="1"/>
  <c r="J209" i="3"/>
  <c r="B209" i="2" s="1"/>
  <c r="E420" i="3"/>
  <c r="A420" i="2" s="1"/>
  <c r="J420" i="3"/>
  <c r="B420" i="2" s="1"/>
  <c r="J631" i="3"/>
  <c r="B631" i="2" s="1"/>
  <c r="E631" i="3"/>
  <c r="A631" i="2" s="1"/>
  <c r="J842" i="3"/>
  <c r="B842" i="2" s="1"/>
  <c r="E842" i="3"/>
  <c r="A842" i="2" s="1"/>
  <c r="J175" i="3"/>
  <c r="B175" i="2" s="1"/>
  <c r="E175" i="3"/>
  <c r="A175" i="2" s="1"/>
  <c r="J371" i="3"/>
  <c r="B371" i="2" s="1"/>
  <c r="E371" i="3"/>
  <c r="A371" i="2" s="1"/>
  <c r="J567" i="3"/>
  <c r="B567" i="2" s="1"/>
  <c r="E567" i="3"/>
  <c r="A567" i="2" s="1"/>
  <c r="J763" i="3"/>
  <c r="B763" i="2" s="1"/>
  <c r="E763" i="3"/>
  <c r="A763" i="2" s="1"/>
  <c r="J968" i="3"/>
  <c r="B968" i="2" s="1"/>
  <c r="E968" i="3"/>
  <c r="A968" i="2" s="1"/>
  <c r="E999" i="3"/>
  <c r="A999" i="2" s="1"/>
  <c r="J999" i="3"/>
  <c r="B999" i="2" s="1"/>
</calcChain>
</file>

<file path=xl/sharedStrings.xml><?xml version="1.0" encoding="utf-8"?>
<sst xmlns="http://schemas.openxmlformats.org/spreadsheetml/2006/main" count="1286" uniqueCount="578">
  <si>
    <t>AMS &amp; SI</t>
  </si>
  <si>
    <t>MB/L  SCAC CODE</t>
  </si>
  <si>
    <t>MBL NO</t>
  </si>
  <si>
    <t>HB/L SCAC</t>
  </si>
  <si>
    <t>HB/L NO.</t>
  </si>
  <si>
    <t>灰色部分客户无需填写或修改</t>
  </si>
  <si>
    <t>VESSEL/VOYAGE</t>
  </si>
  <si>
    <t>POL</t>
  </si>
  <si>
    <t>ETD</t>
  </si>
  <si>
    <t>POD</t>
  </si>
  <si>
    <t>ETA</t>
  </si>
  <si>
    <t>LAST FOREIGN PORT OF LOAD</t>
  </si>
  <si>
    <t>FIRST U.S PORT OF DISCHARGE</t>
  </si>
  <si>
    <t>SHIPPER (AMS) （必填，英文，需大写）</t>
  </si>
  <si>
    <t xml:space="preserve"> (Company Name)</t>
  </si>
  <si>
    <t>Address</t>
  </si>
  <si>
    <t>请确认信息是否正确。</t>
  </si>
  <si>
    <t>City</t>
  </si>
  <si>
    <t>States</t>
  </si>
  <si>
    <t>请参照填写说明填写</t>
  </si>
  <si>
    <t>zip code</t>
  </si>
  <si>
    <t>Country</t>
  </si>
  <si>
    <t>CONSIGNEE(AMS)（必填，英文，需大写）</t>
  </si>
  <si>
    <t>6120 Clinker Drive,</t>
  </si>
  <si>
    <t>Jurupa Valley</t>
  </si>
  <si>
    <t>CA</t>
  </si>
  <si>
    <t>US</t>
  </si>
  <si>
    <t>NOTIFY PARTY(AMS)（必填，英文，需大写）</t>
  </si>
  <si>
    <t>Amazon.com Services LLC</t>
  </si>
  <si>
    <t>Container number</t>
  </si>
  <si>
    <t>Seal number</t>
  </si>
  <si>
    <t>数量</t>
  </si>
  <si>
    <t>包装类型（CTN)</t>
  </si>
  <si>
    <t>Gross weight(kg)</t>
  </si>
  <si>
    <t>Volume(CBM)</t>
  </si>
  <si>
    <t>Cargo description （需大写）</t>
  </si>
  <si>
    <t>HTS code(For AMS/ISF filling)</t>
  </si>
  <si>
    <t>原产地国家/Country of Origin(For ISF filling)</t>
  </si>
  <si>
    <t>备注/Remark
(For ISF filling)</t>
  </si>
  <si>
    <t>Mark&amp;numbers</t>
  </si>
  <si>
    <t>黄色必填</t>
  </si>
  <si>
    <t>灰色部分请勿修改</t>
  </si>
  <si>
    <t>CARTON</t>
  </si>
  <si>
    <t>客户填写，具体填写方式请参照填写说明</t>
  </si>
  <si>
    <t>【ISF的信息将根据您填写在AMS的内容进行代入】，请在单元格中输入数值，
勿使用公式，或者剪切方式覆盖单元格，避免破坏原表格格式，影响您ISF数据的代入。由于ISF将只发送HTS Code的前六位，将只会对您表格中填写的HTS Code自动取前六位代入。</t>
  </si>
  <si>
    <t>关于Cargo description的填写提示：</t>
  </si>
  <si>
    <t>自2024年4月1日起，美国海关和边境保护局（CBP）将加强对于描述模糊货物的审查。如果提供的货物描述模糊，则进口商应纠正问题，以避免受到美国海关和边境保护局（CBP）的额外审查。请注意，美国海关和边境保护局在此处提供了描述模糊货物的示例以及可接受的替代方案：https://www.cbp.gov/trade/basic-import-export/e-commerce/examples-unacceptable-vs-acceptable-cargo-descriptions。如果您还有其他问题，请咨询 AGL 操作人员。</t>
  </si>
  <si>
    <t>From March 1, 2023, we have stopped the IOR review and the IOR information selected when placing an online order will prevail for ISF and entry filling. If need to change IOR, you can revise it before ETD-7&amp;CRD-5 in seller central or shipper central.
从2023年3月1号开始我们已经不会审核线下ISF文件中的IOR信息， 我们会直接使用您下单时填写的IOR 提交ISF和清关，如果需要修改IOR，您可以在ETD-7&amp;CRD-5之前回到亚马逊后台下单界面进行修改。</t>
  </si>
  <si>
    <t>需要按照品名或HTS CODE拆分数据明细后回传截单资料。</t>
  </si>
  <si>
    <t>进口商安全申报Importer Security Filing (10+2)</t>
  </si>
  <si>
    <t>客户无需填写在此页，卖家填写（AMS sheet） 表格后同步到此页。
此页的HTS CODE信息将根据客户填写在卖家填写（AMS sheet）界面的信息取值前六位并去掉重复的HTS CODE后用以发送ISF 信息。</t>
  </si>
  <si>
    <t>美国海关关税编号/
HTSUS Number</t>
  </si>
  <si>
    <t>原产地国家/
Country of Origin</t>
  </si>
  <si>
    <t>备注/
Remark</t>
  </si>
  <si>
    <t>1) 此页内容由贵公司提供，我司将视为真实有效，并将按照贵司所提供的内容及下单时选择的进口商信息向美国海关进行申报。</t>
  </si>
  <si>
    <t>2) 如因贵司填写不真实或提供延迟而产生任何后果，均与我司无关，因此请慎重填写并按时提供以上信息，谢谢配合！</t>
  </si>
  <si>
    <t>HTSUS Number*6</t>
  </si>
  <si>
    <t>去重</t>
  </si>
  <si>
    <t>无需填写</t>
  </si>
  <si>
    <t>SHIPPER (AMS) （发货人，需大写）</t>
  </si>
  <si>
    <t>SHIPPER( AMAZON B/L)</t>
  </si>
  <si>
    <t xml:space="preserve"> (Company Name)公司名</t>
  </si>
  <si>
    <t>填写发货公司（有多种情况，但不限于：填写卖家自己的公司，填写工厂对应的公司，填写外贸公司）</t>
  </si>
  <si>
    <t>和左边AMS信息相同,可以不填写</t>
  </si>
  <si>
    <t>Address（地址）</t>
  </si>
  <si>
    <t>填写上方公司对应的地址</t>
  </si>
  <si>
    <t xml:space="preserve"> (Address 1)</t>
  </si>
  <si>
    <t>City(城市)</t>
  </si>
  <si>
    <t>对应以上地址的城市（例如XIAMEN）</t>
  </si>
  <si>
    <t>States(省份)</t>
  </si>
  <si>
    <t>对应以上地址的省份（例如FUJIAN）</t>
  </si>
  <si>
    <t xml:space="preserve"> (Address 2)</t>
  </si>
  <si>
    <t>zip code（邮编）</t>
  </si>
  <si>
    <t>对应以上地址的的邮编（例如361000</t>
  </si>
  <si>
    <t>Country（国家）</t>
  </si>
  <si>
    <t>CN</t>
  </si>
  <si>
    <t xml:space="preserve"> (Address 3)</t>
  </si>
  <si>
    <t>CONSIGNEE(AMS)（收货人，需大写）</t>
  </si>
  <si>
    <t>CONSIGNEE( AMAZON B/L)</t>
  </si>
  <si>
    <t>填写Bond上的公司名称+ C/O FBA （例如：IND9 仓库,应该填写为： ABC COMPANY C/O FBA）</t>
  </si>
  <si>
    <t>已根据目的港仓库的实时情况，安排到最优的FC，请勿修改（可能与订舱FC不一致）。</t>
  </si>
  <si>
    <t>对应以上地址的城市（例如SAN BERNARDINO）</t>
  </si>
  <si>
    <t>对应以上地址的州代码（例如，CA）</t>
  </si>
  <si>
    <t>对应以上地址的的邮编（例如，92407）</t>
  </si>
  <si>
    <t>NOTIFY PARTY(AMS)（通知方，需大写）</t>
  </si>
  <si>
    <t>NOTIFY PARTY ( AMAZON B/L）</t>
  </si>
  <si>
    <t>已预填该票货物对应的 FC仓库名称（例如：GOLDEN STATE FC LLC）；</t>
  </si>
  <si>
    <t>已预填FC仓库地址</t>
  </si>
  <si>
    <t xml:space="preserve">和左边AMS信息相同,可以不填写
</t>
  </si>
  <si>
    <t>对应以上地址的城市（例如,SAN BERNARDINO）</t>
  </si>
  <si>
    <t>对应以上地址的州代码（例如，CA)</t>
  </si>
  <si>
    <t>包装类型（CTNS)</t>
  </si>
  <si>
    <t>入仓总数量，如需复量，请复量之后填写实际数据</t>
  </si>
  <si>
    <t>外包装件数，一般指纸箱，与报关单上的单位，数量一致。</t>
  </si>
  <si>
    <t>如果有多个HTS code， 需要分行填写每个HTS code对应的重量，拆分后的总毛重请与报关资料毛重保持一致。</t>
  </si>
  <si>
    <t>入仓总体积，如需复量，请复量之后填写实际数据;如果有多个HTS code， 需要分行填写每个HTS code对应的体积</t>
  </si>
  <si>
    <t>1.英文货物品名
2.上海和宁波必须和报关品名保持一致
3.多品名请分行填写并一 一对应HTS CODE</t>
  </si>
  <si>
    <t>海关编码，保留HTS code 前6位数字，不能保存标点符号</t>
  </si>
  <si>
    <t>根据货物原产地情况填写</t>
  </si>
  <si>
    <t>比如，是否 301豁免. 如果没有无需备注</t>
  </si>
  <si>
    <t>有唛头就按照实际，没有唛头就写：N/M</t>
  </si>
  <si>
    <t xml:space="preserve"> </t>
  </si>
  <si>
    <t xml:space="preserve">请注意，根据上海美线船公司要求，如多品名或多HTS CODE，需要按照品名或HTS CODE拆分数据明细后回传截单资料。
</t>
  </si>
  <si>
    <t>No need to fill in</t>
  </si>
  <si>
    <t>SHIPPER (AMS) (Capitalization is required)</t>
  </si>
  <si>
    <t xml:space="preserve"> Company Name</t>
  </si>
  <si>
    <t>Shipper company name</t>
  </si>
  <si>
    <t>Same as the left information</t>
  </si>
  <si>
    <t>The address corresponding to the company above</t>
  </si>
  <si>
    <t>The city of the corresponding to the company above</t>
  </si>
  <si>
    <t>The Province of the corresponding to the company above</t>
  </si>
  <si>
    <t>The Postal Code of the corresponding to the company above</t>
  </si>
  <si>
    <t>CONSIGNEE (AMS) (Capitalization is required)</t>
  </si>
  <si>
    <t xml:space="preserve">Company Name on Bond + C/O FBA (For example: ABC COMPANY C/O FBA) </t>
  </si>
  <si>
    <t>The optimal FC has been arranged according to the real-time situation of the FC in the destination, please do not modify (may not be consistent with the booking FC)</t>
  </si>
  <si>
    <t>The city of the FBA warehouse</t>
  </si>
  <si>
    <t>The State code of the FBA warehouse</t>
  </si>
  <si>
    <t>The Postal Code of the FBA warehouse</t>
  </si>
  <si>
    <t>The Country of the FBA warehouse</t>
  </si>
  <si>
    <t>NOTIFY PARTY (AMS) (Capitalization is required)</t>
  </si>
  <si>
    <t>The FBA warehouse name (For example：GOLDEN STATE FC LLC)</t>
  </si>
  <si>
    <t>The FBA warehouse address</t>
  </si>
  <si>
    <t xml:space="preserve">Same as the left information
</t>
  </si>
  <si>
    <t xml:space="preserve">Carton </t>
  </si>
  <si>
    <t>Package type</t>
  </si>
  <si>
    <t>Cargo description  (Capitalization is required)</t>
  </si>
  <si>
    <t>Country of Origin(For ISF filling)</t>
  </si>
  <si>
    <t>Remark(For ISF filling)</t>
  </si>
  <si>
    <t>Not required</t>
  </si>
  <si>
    <t>The total number of cartons(or packages) delivered to warehouse, if you need to remeasure, please fill in the actual carton after remeasurement.</t>
  </si>
  <si>
    <t>Number of outer packaging pieces, generally referring to cardboard boxes:CARTON.The number shouble be the same as "Manifest Quantity" on the Entry Summary.</t>
  </si>
  <si>
    <t>Actual cargo gross weight</t>
  </si>
  <si>
    <t>The total volume of cargo delivered to warehouse, if you need to remeasure, please fill in the actual CBM after remeasurement.</t>
  </si>
  <si>
    <t xml:space="preserve">Cargo description
(For shipment from Shanghai,Ningbo: Cargo description must be consistent with the cargo description declared at customs.)
</t>
  </si>
  <si>
    <t>Enter the HTS code, which will be 6 digits. (Punctuation cannot be saved.)</t>
  </si>
  <si>
    <t>Fill in according to the origin of the goods</t>
  </si>
  <si>
    <t>Enter the shipping mark.If there is no  shipping mark, enter "N/M”</t>
  </si>
  <si>
    <t>FC</t>
  </si>
  <si>
    <t>COMPANY_NAME</t>
  </si>
  <si>
    <t>ADDRESS</t>
  </si>
  <si>
    <t>CITY</t>
  </si>
  <si>
    <t>STATES</t>
  </si>
  <si>
    <t>POSTAL_CODE</t>
  </si>
  <si>
    <t>COUNTRY</t>
  </si>
  <si>
    <t>TYPE</t>
  </si>
  <si>
    <t>ABE3</t>
  </si>
  <si>
    <t>USNYC</t>
  </si>
  <si>
    <t>AMAZON.COM.DEDC, INC</t>
  </si>
  <si>
    <t>650 BOULDER DRIVE</t>
  </si>
  <si>
    <t>BREINIGSVILLE</t>
  </si>
  <si>
    <t>PA</t>
  </si>
  <si>
    <t>18031</t>
  </si>
  <si>
    <t>Shoes</t>
  </si>
  <si>
    <t>ABE4</t>
  </si>
  <si>
    <t>Amazon.com.dedc LLC</t>
  </si>
  <si>
    <t>1610 Van Buren Road</t>
  </si>
  <si>
    <t>Easton</t>
  </si>
  <si>
    <t>18045</t>
  </si>
  <si>
    <t>NonSort</t>
  </si>
  <si>
    <t>ACY2</t>
  </si>
  <si>
    <t>Amazon.com Services, Inc</t>
  </si>
  <si>
    <t>1101 E PEARL ST</t>
  </si>
  <si>
    <t>BURLINGTON</t>
  </si>
  <si>
    <t>NJ</t>
  </si>
  <si>
    <t>08016</t>
  </si>
  <si>
    <t>AVP3</t>
  </si>
  <si>
    <t>298 1ST AVE</t>
  </si>
  <si>
    <t>GOULDSBORO</t>
  </si>
  <si>
    <t>18424</t>
  </si>
  <si>
    <t>HB</t>
  </si>
  <si>
    <t>BWI4</t>
  </si>
  <si>
    <t>USBWI</t>
  </si>
  <si>
    <t>Amazon.com.kydc LLC</t>
  </si>
  <si>
    <t>165 Business Blvd</t>
  </si>
  <si>
    <t>Clear Brook</t>
  </si>
  <si>
    <t>VA</t>
  </si>
  <si>
    <t>22624</t>
  </si>
  <si>
    <t>DCA6</t>
  </si>
  <si>
    <t>AMAZON.COM.DEDC LLC</t>
  </si>
  <si>
    <t>6001 BETHLEHEM BLVD</t>
  </si>
  <si>
    <t xml:space="preserve"> Baltimore</t>
  </si>
  <si>
    <t xml:space="preserve"> MD</t>
  </si>
  <si>
    <t>21219</t>
  </si>
  <si>
    <t>FTW2</t>
  </si>
  <si>
    <t>USDAL</t>
  </si>
  <si>
    <t>AMAZON.COM.KYDC LLC</t>
  </si>
  <si>
    <t>2701 WEST BETHEL ROAD</t>
  </si>
  <si>
    <t>COPPELL</t>
  </si>
  <si>
    <t>TX</t>
  </si>
  <si>
    <t>75019</t>
  </si>
  <si>
    <t>GSP1</t>
  </si>
  <si>
    <t>USSAV</t>
  </si>
  <si>
    <t>GOLDEN STATE FC LLC</t>
  </si>
  <si>
    <t>402 JOHN DODD RD</t>
  </si>
  <si>
    <t>SPARTANBURG</t>
  </si>
  <si>
    <t>SC</t>
  </si>
  <si>
    <t>29303</t>
  </si>
  <si>
    <t>HOU3</t>
  </si>
  <si>
    <t>USHOU</t>
  </si>
  <si>
    <t>31555 HIGHWAY 90 E</t>
  </si>
  <si>
    <t>BROOKSHIRE</t>
  </si>
  <si>
    <t>77423</t>
  </si>
  <si>
    <t>HOU7</t>
  </si>
  <si>
    <t>Amazon.com Services INC.</t>
  </si>
  <si>
    <t>16225 TOMBALL PKWY BLDG A</t>
  </si>
  <si>
    <t>HOUSTON</t>
  </si>
  <si>
    <t>77064</t>
  </si>
  <si>
    <t>HOU8</t>
  </si>
  <si>
    <t>2303 Hurricane Lane</t>
  </si>
  <si>
    <t>FRESNO</t>
  </si>
  <si>
    <t>77545</t>
  </si>
  <si>
    <t>IND2</t>
  </si>
  <si>
    <t>USCHI</t>
  </si>
  <si>
    <t>AMAZON.COM.INDC LLC</t>
  </si>
  <si>
    <t>715 AIRTECH PKWY</t>
  </si>
  <si>
    <t>PLAINFIELD</t>
  </si>
  <si>
    <t>IN</t>
  </si>
  <si>
    <t>46168</t>
  </si>
  <si>
    <t>IND4</t>
  </si>
  <si>
    <t>710 SOUTH GIRLS SCHOOL ROAD</t>
  </si>
  <si>
    <t>INDIANAPOLIS</t>
  </si>
  <si>
    <t>46231</t>
  </si>
  <si>
    <t>IND5</t>
  </si>
  <si>
    <t>AMAZON.COM INDC LLC</t>
  </si>
  <si>
    <t>800 PERRY ROAD</t>
  </si>
  <si>
    <t>IND9</t>
  </si>
  <si>
    <t>Amazon.com Services, Inc.</t>
  </si>
  <si>
    <t>1151 S GRAHAM RD</t>
  </si>
  <si>
    <t>GREENWOOD</t>
  </si>
  <si>
    <t>46143</t>
  </si>
  <si>
    <t>Sort</t>
  </si>
  <si>
    <t>IUSM</t>
  </si>
  <si>
    <t>4200 FERRY RD</t>
  </si>
  <si>
    <t>NAPERVILLE</t>
  </si>
  <si>
    <t>IL</t>
  </si>
  <si>
    <t>60563</t>
  </si>
  <si>
    <t>STAR</t>
  </si>
  <si>
    <t>JAX3</t>
  </si>
  <si>
    <t>USJAX</t>
  </si>
  <si>
    <t>13333 103rd Street</t>
  </si>
  <si>
    <t xml:space="preserve"> Jacksonville</t>
  </si>
  <si>
    <t xml:space="preserve"> FL</t>
  </si>
  <si>
    <t>32221</t>
  </si>
  <si>
    <t>JVL1</t>
  </si>
  <si>
    <t>3150 E COLLEY RD</t>
  </si>
  <si>
    <t>BELOIT</t>
  </si>
  <si>
    <t xml:space="preserve"> WI</t>
  </si>
  <si>
    <t>53511</t>
  </si>
  <si>
    <t>KRB7</t>
  </si>
  <si>
    <t>USLAX</t>
  </si>
  <si>
    <t>36900 W 4th St</t>
  </si>
  <si>
    <t xml:space="preserve">BEAUMONT </t>
  </si>
  <si>
    <t>92223</t>
  </si>
  <si>
    <t>LGB4</t>
  </si>
  <si>
    <t>27517 Pioneer Avenue</t>
  </si>
  <si>
    <t>Redlands</t>
  </si>
  <si>
    <t>92374</t>
  </si>
  <si>
    <t>LGB6</t>
  </si>
  <si>
    <t>20901 KRAMERIA AVE</t>
  </si>
  <si>
    <t>RIVERSIDE</t>
  </si>
  <si>
    <t>92518</t>
  </si>
  <si>
    <t>MCO2</t>
  </si>
  <si>
    <t>2600 North Normandy Boulevard</t>
  </si>
  <si>
    <t xml:space="preserve"> Deltona</t>
  </si>
  <si>
    <t>32725</t>
  </si>
  <si>
    <t>MDT1</t>
  </si>
  <si>
    <t>2 AMES DRIVE</t>
  </si>
  <si>
    <t>CARLISLE</t>
  </si>
  <si>
    <t>17015</t>
  </si>
  <si>
    <t>MDT2</t>
  </si>
  <si>
    <t>600 PRINCIPIO PARKWAY WEST</t>
  </si>
  <si>
    <t>NORTH EAST</t>
  </si>
  <si>
    <t>MD</t>
  </si>
  <si>
    <t>21901</t>
  </si>
  <si>
    <t>MDW2</t>
  </si>
  <si>
    <t>250 Emerald Drive</t>
  </si>
  <si>
    <t>Joliet</t>
  </si>
  <si>
    <t>60433-9642</t>
  </si>
  <si>
    <t>MDW6</t>
  </si>
  <si>
    <t>1125 W REMINGTON BLVD</t>
  </si>
  <si>
    <t>ROMEOVILLE</t>
  </si>
  <si>
    <t>60446</t>
  </si>
  <si>
    <t>MDW8</t>
  </si>
  <si>
    <t>1750 BRIDGE DRIVE</t>
  </si>
  <si>
    <t>WAUKEGAN</t>
  </si>
  <si>
    <t>60085</t>
  </si>
  <si>
    <t>MDW9</t>
  </si>
  <si>
    <t>2865 DUKE PARKWAY</t>
  </si>
  <si>
    <t>AURORA</t>
  </si>
  <si>
    <t>60502</t>
  </si>
  <si>
    <t>MGE3</t>
  </si>
  <si>
    <t>808 HOG MOUNTAIN ROAD</t>
  </si>
  <si>
    <t>JEFFERSON</t>
  </si>
  <si>
    <t>GA</t>
  </si>
  <si>
    <t>30549</t>
  </si>
  <si>
    <t>MKC4</t>
  </si>
  <si>
    <t>USKAN</t>
  </si>
  <si>
    <t>AMAZON.COM.KSDC LLC</t>
  </si>
  <si>
    <t>19645 WAVERLY RD</t>
  </si>
  <si>
    <t>EDGERTON</t>
  </si>
  <si>
    <t>KS</t>
  </si>
  <si>
    <t>66021</t>
  </si>
  <si>
    <t>MQJ1</t>
  </si>
  <si>
    <t>4412 West County Road 300 North</t>
  </si>
  <si>
    <t>Greenfield</t>
  </si>
  <si>
    <t>46140</t>
  </si>
  <si>
    <t>ONT9</t>
  </si>
  <si>
    <t>2125 WEST SAN BERNARDINO AVE</t>
  </si>
  <si>
    <t>REDLANDS</t>
  </si>
  <si>
    <t>ORD2</t>
  </si>
  <si>
    <t>23714 West Amoco Road</t>
  </si>
  <si>
    <t xml:space="preserve"> Channahon</t>
  </si>
  <si>
    <t xml:space="preserve"> IL</t>
  </si>
  <si>
    <t>60410</t>
  </si>
  <si>
    <t>PHL4</t>
  </si>
  <si>
    <t>21 Roadway Drive</t>
  </si>
  <si>
    <t>Carlisle</t>
  </si>
  <si>
    <t>17013</t>
  </si>
  <si>
    <t>PHL5</t>
  </si>
  <si>
    <t>Amazon.com.dedc, Inc.</t>
  </si>
  <si>
    <t>500 McCarthy Drive</t>
  </si>
  <si>
    <t>Lewisberry</t>
  </si>
  <si>
    <t>17339</t>
  </si>
  <si>
    <t>PHL6</t>
  </si>
  <si>
    <t>675 Allen Road</t>
  </si>
  <si>
    <t>PHX3</t>
  </si>
  <si>
    <t>AMAZON.COM.AZDC INC</t>
  </si>
  <si>
    <t>6835 WEST BUCKEYE ROAD</t>
  </si>
  <si>
    <t>PHOENIX</t>
  </si>
  <si>
    <t>AZ</t>
  </si>
  <si>
    <t>85043</t>
  </si>
  <si>
    <t>RDG1</t>
  </si>
  <si>
    <t>3563 Mountain Road</t>
  </si>
  <si>
    <t xml:space="preserve"> Hamburg</t>
  </si>
  <si>
    <t xml:space="preserve"> PA</t>
  </si>
  <si>
    <t>19526</t>
  </si>
  <si>
    <t>RIC1</t>
  </si>
  <si>
    <t>USORF</t>
  </si>
  <si>
    <t>5000 Commerce Way</t>
  </si>
  <si>
    <t>Petersburg</t>
  </si>
  <si>
    <t>23803</t>
  </si>
  <si>
    <t>SAT4</t>
  </si>
  <si>
    <t>10384 W US HIGHWAY 90</t>
  </si>
  <si>
    <t>SAN ANTONIO</t>
  </si>
  <si>
    <t>78245-9512</t>
  </si>
  <si>
    <t>SAT6</t>
  </si>
  <si>
    <t>1346 Fortuna Road</t>
  </si>
  <si>
    <t>SAN MARCOS</t>
  </si>
  <si>
    <t>78666</t>
  </si>
  <si>
    <t>SAV3</t>
  </si>
  <si>
    <t>7001 Skipper Road</t>
  </si>
  <si>
    <t>Macon</t>
  </si>
  <si>
    <t>31216</t>
  </si>
  <si>
    <t>SBD2</t>
  </si>
  <si>
    <t>1494 South Waterman Avenue</t>
  </si>
  <si>
    <t xml:space="preserve"> San Bernardino</t>
  </si>
  <si>
    <t>92408</t>
  </si>
  <si>
    <t>SCK1</t>
  </si>
  <si>
    <t>USOAK</t>
  </si>
  <si>
    <t>4532 NEWCASTLE RD</t>
  </si>
  <si>
    <t>STOCKTON</t>
  </si>
  <si>
    <t>95215-9465</t>
  </si>
  <si>
    <t>SJC7</t>
  </si>
  <si>
    <t>Golden State FC LLC</t>
  </si>
  <si>
    <t>188 Mountain House Parkway</t>
  </si>
  <si>
    <t>Tracy</t>
  </si>
  <si>
    <t>95391</t>
  </si>
  <si>
    <t>SNA4</t>
  </si>
  <si>
    <t>2496 W WALNUT AVE</t>
  </si>
  <si>
    <t>RIALTO</t>
  </si>
  <si>
    <t>92376</t>
  </si>
  <si>
    <t>STL4</t>
  </si>
  <si>
    <t>USSTL</t>
  </si>
  <si>
    <t>3050 GATEWAY COMMERCE CENTER DR S</t>
  </si>
  <si>
    <t>EDWARDSVILLE</t>
  </si>
  <si>
    <t>62025</t>
  </si>
  <si>
    <t>STL6</t>
  </si>
  <si>
    <t>3931 Lakeview Corporate Drive</t>
  </si>
  <si>
    <t>Edwardsville</t>
  </si>
  <si>
    <t>TEB3</t>
  </si>
  <si>
    <t>2651 Oldmans Creek Rd</t>
  </si>
  <si>
    <t>Logan Township</t>
  </si>
  <si>
    <t>8085</t>
  </si>
  <si>
    <t>TEB6</t>
  </si>
  <si>
    <t>22 Hightstown Cranbury State Road</t>
  </si>
  <si>
    <t>Cranbury</t>
  </si>
  <si>
    <t>8512</t>
  </si>
  <si>
    <t>TTN2</t>
  </si>
  <si>
    <t>343 HALF ACRE RD</t>
  </si>
  <si>
    <t>CRANBURY</t>
  </si>
  <si>
    <t>08512</t>
  </si>
  <si>
    <t>XLX2</t>
  </si>
  <si>
    <t>657 W Nance Street</t>
  </si>
  <si>
    <t>Perris</t>
  </si>
  <si>
    <t>95336-8696</t>
  </si>
  <si>
    <t>SMF6</t>
  </si>
  <si>
    <t>4930 ALLBAUGH DR</t>
  </si>
  <si>
    <t>SACRAMENTO</t>
  </si>
  <si>
    <t>95837-9109</t>
  </si>
  <si>
    <t>MCE1</t>
  </si>
  <si>
    <t>3200 Fulkerth Road</t>
  </si>
  <si>
    <t>TURLOCK</t>
  </si>
  <si>
    <t>95380-9684</t>
  </si>
  <si>
    <t>XLX3</t>
  </si>
  <si>
    <t>21590 Needham Ranch Parkway</t>
  </si>
  <si>
    <t>Santa Clarita</t>
  </si>
  <si>
    <t>SCK8</t>
  </si>
  <si>
    <t>4700 WILBUR AVE</t>
  </si>
  <si>
    <t>OAKLEY</t>
  </si>
  <si>
    <t>94561-2677</t>
  </si>
  <si>
    <t>XCH1</t>
  </si>
  <si>
    <t>5800 Mesa Dr</t>
  </si>
  <si>
    <t>Houston</t>
  </si>
  <si>
    <t>IUSV</t>
  </si>
  <si>
    <t>1901 California St</t>
  </si>
  <si>
    <t>92374-5015</t>
  </si>
  <si>
    <t>AWD</t>
  </si>
  <si>
    <t>GEU2</t>
  </si>
  <si>
    <t>15301 W Northern Ave Litchfield Park</t>
  </si>
  <si>
    <t>Litchfield Park</t>
  </si>
  <si>
    <t>AMP/MSS (nIXD)</t>
  </si>
  <si>
    <t>GEU3</t>
  </si>
  <si>
    <t>18900 W McDowell Road</t>
  </si>
  <si>
    <t>BUCKEYE</t>
  </si>
  <si>
    <t>GEU5</t>
  </si>
  <si>
    <t>4660 N Cotton LN</t>
  </si>
  <si>
    <t>GOODYEAR</t>
  </si>
  <si>
    <t>IUSJ</t>
  </si>
  <si>
    <t>Beaumont</t>
  </si>
  <si>
    <t>WEST</t>
  </si>
  <si>
    <t>IUSP</t>
  </si>
  <si>
    <t>8140 Caliente Rd</t>
  </si>
  <si>
    <t>HESPERIA</t>
  </si>
  <si>
    <t>IUSQ</t>
  </si>
  <si>
    <t>2125 West San Bernardino Ave Redlands , CA 92374</t>
  </si>
  <si>
    <t>IUSW</t>
  </si>
  <si>
    <t>8130 Caliente Rd</t>
  </si>
  <si>
    <t>Hesperia</t>
  </si>
  <si>
    <t>WEST_PALLETS</t>
  </si>
  <si>
    <t>IUTE</t>
  </si>
  <si>
    <t>16155 W Elwood St</t>
  </si>
  <si>
    <t>IUTF</t>
  </si>
  <si>
    <t>4375 North Perris Boulevard</t>
  </si>
  <si>
    <t>PERRIS</t>
  </si>
  <si>
    <t>92571-7901</t>
  </si>
  <si>
    <t>LAS1</t>
  </si>
  <si>
    <t>12300 Bermuda Road</t>
  </si>
  <si>
    <t>Henderson</t>
  </si>
  <si>
    <t>NV</t>
  </si>
  <si>
    <t>SMP/GWD/AMP 2.0 (rIXD)</t>
  </si>
  <si>
    <t>NORTH_CENTRAL</t>
  </si>
  <si>
    <t>LAX9</t>
  </si>
  <si>
    <t>11263 Oleander Ave</t>
  </si>
  <si>
    <t>FONTANA</t>
  </si>
  <si>
    <t>92337-7441</t>
  </si>
  <si>
    <t>SOUTH_CENTRAL</t>
  </si>
  <si>
    <t>LGB8</t>
  </si>
  <si>
    <t>1568 N Linden Ave</t>
  </si>
  <si>
    <t>Rialto</t>
  </si>
  <si>
    <t>92376-8624</t>
  </si>
  <si>
    <t>MIT2</t>
  </si>
  <si>
    <t>5408 Express Avenue</t>
  </si>
  <si>
    <t>Shafter</t>
  </si>
  <si>
    <t>ONT8</t>
  </si>
  <si>
    <t>24300 Nandina Ave</t>
  </si>
  <si>
    <t>MORENO VALLEY</t>
  </si>
  <si>
    <t>92551-9534</t>
  </si>
  <si>
    <t>POC1</t>
  </si>
  <si>
    <t>4121 Coyote Canyon Road</t>
  </si>
  <si>
    <t>Fontana</t>
  </si>
  <si>
    <t>POC2</t>
  </si>
  <si>
    <t>4000 South Hamner Avenue,</t>
  </si>
  <si>
    <t>Ontario</t>
  </si>
  <si>
    <t>POC3</t>
  </si>
  <si>
    <t>PSP3</t>
  </si>
  <si>
    <t>64165 19th AVE,DESERT HOT SPRINGS</t>
  </si>
  <si>
    <t>DESERT HOT SPRINGS</t>
  </si>
  <si>
    <t>QXY2</t>
  </si>
  <si>
    <t>18580 GATEWAY DR</t>
  </si>
  <si>
    <t>VICTORVILLE</t>
  </si>
  <si>
    <t>HeavyBulky</t>
  </si>
  <si>
    <t>MSS</t>
  </si>
  <si>
    <t>QXY8</t>
  </si>
  <si>
    <t>3611 S NORTHPOINTE DR  FRESNO, CA 93725-1962</t>
  </si>
  <si>
    <t>Fresno</t>
  </si>
  <si>
    <t>SBD1</t>
  </si>
  <si>
    <t>3388 S Cactus Ave</t>
  </si>
  <si>
    <t>BLOOMINGTON</t>
  </si>
  <si>
    <t>92316-3819</t>
  </si>
  <si>
    <t>SBD3</t>
  </si>
  <si>
    <t>5990 N Cajon Blvd</t>
  </si>
  <si>
    <t>San Bernardino</t>
  </si>
  <si>
    <t>92407-1833</t>
  </si>
  <si>
    <t>AMP/MSS (1P IPC)</t>
  </si>
  <si>
    <t>VGT2</t>
  </si>
  <si>
    <t>6401 Howdy Wells Ave LAS VEGAS, Nevada 89115</t>
  </si>
  <si>
    <t>LAS VEGAS</t>
  </si>
  <si>
    <t>XLA4</t>
  </si>
  <si>
    <t>12801 Excelsior Dr</t>
  </si>
  <si>
    <t>Santa Fe Springs</t>
  </si>
  <si>
    <t>AMP/MSS (3P IPC)</t>
  </si>
  <si>
    <t>XLX7</t>
  </si>
  <si>
    <t>MEM1</t>
  </si>
  <si>
    <t>USMEM</t>
  </si>
  <si>
    <t>3292 East Holmes Road</t>
  </si>
  <si>
    <t>Memphis</t>
  </si>
  <si>
    <t>TN</t>
  </si>
  <si>
    <t>SOUTH_EAST</t>
  </si>
  <si>
    <t>ABE8</t>
  </si>
  <si>
    <t>401 Independence Road</t>
  </si>
  <si>
    <t>Florence</t>
  </si>
  <si>
    <t>08518-2200</t>
  </si>
  <si>
    <t>NORTH_EAST</t>
  </si>
  <si>
    <t>AVP1</t>
  </si>
  <si>
    <t>550 Oak Ridge Road</t>
  </si>
  <si>
    <t>Hazle Township</t>
  </si>
  <si>
    <t>18202-9361</t>
  </si>
  <si>
    <t>HEA2</t>
  </si>
  <si>
    <t>650 BOULDER DR</t>
  </si>
  <si>
    <t>Breinigsville</t>
  </si>
  <si>
    <t>EAST</t>
  </si>
  <si>
    <t>SWF2</t>
  </si>
  <si>
    <t>76 Patriot Way, Hopewell Junction, NY</t>
  </si>
  <si>
    <t>Hopewell Junction, NY</t>
  </si>
  <si>
    <t>NY</t>
  </si>
  <si>
    <t>TEB9</t>
  </si>
  <si>
    <t>601 Randolph Rd</t>
  </si>
  <si>
    <t>Somerset</t>
  </si>
  <si>
    <t>WBW2</t>
  </si>
  <si>
    <t>1300 Corporate Way</t>
  </si>
  <si>
    <t>Olyphant</t>
  </si>
  <si>
    <t>HLI2</t>
  </si>
  <si>
    <t>600 Ernie Drive</t>
  </si>
  <si>
    <t>Hollister</t>
  </si>
  <si>
    <t>SCK4</t>
  </si>
  <si>
    <t>6001 S AUSTIN RD</t>
  </si>
  <si>
    <t>95215-8354</t>
  </si>
  <si>
    <t>SMF3</t>
  </si>
  <si>
    <t>3923 S B ST</t>
  </si>
  <si>
    <t>Stockton</t>
  </si>
  <si>
    <t>95206-8202</t>
  </si>
  <si>
    <t>TCY1</t>
  </si>
  <si>
    <t>2690 East Arch Airport Road, Stockton, CA 95206</t>
  </si>
  <si>
    <t>TCY2</t>
  </si>
  <si>
    <t>6201 Newcastle Road, Stockton, CA 95215</t>
  </si>
  <si>
    <t>RDU2</t>
  </si>
  <si>
    <t>2150 US HWY 70 Business West</t>
  </si>
  <si>
    <t>Smithfield</t>
  </si>
  <si>
    <t>NC</t>
  </si>
  <si>
    <t>XIC3</t>
  </si>
  <si>
    <t>4949 Commerce Rd</t>
  </si>
  <si>
    <t>Richmond</t>
  </si>
  <si>
    <t>XPH1</t>
  </si>
  <si>
    <t>6625 College Drive</t>
  </si>
  <si>
    <t>Suffolk</t>
  </si>
  <si>
    <t>XRI3</t>
  </si>
  <si>
    <t>4949 Commerce Rd,Richmond, Virginia 23234 US</t>
  </si>
  <si>
    <t>CLT2</t>
  </si>
  <si>
    <t>10240 Old Dowd Rd</t>
  </si>
  <si>
    <t>Charlotte</t>
  </si>
  <si>
    <t>28214-8082</t>
  </si>
  <si>
    <t>IUSR</t>
  </si>
  <si>
    <t>1120 Mt Olive Rd</t>
  </si>
  <si>
    <t>COWPENS</t>
  </si>
  <si>
    <t>XAV3</t>
  </si>
  <si>
    <t>120 Crossgate Rd, Port Wentworth, GA 31407</t>
  </si>
  <si>
    <t>Port Wentworth</t>
  </si>
  <si>
    <t>XCH2</t>
  </si>
  <si>
    <t>2150 Dean Forest Road</t>
  </si>
  <si>
    <t>Garden City</t>
  </si>
  <si>
    <t>OLM1</t>
  </si>
  <si>
    <t>USSEA</t>
  </si>
  <si>
    <t>3300 HOGUM BAY RD NE</t>
  </si>
  <si>
    <t>OLYMPIA</t>
  </si>
  <si>
    <t>WA</t>
  </si>
  <si>
    <t>XSE2</t>
  </si>
  <si>
    <t>7530 150th ST SW, Lakewood, WA 98439</t>
  </si>
  <si>
    <t>Lakewood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</si>
</sst>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
  </numFmts>
  <fonts count="42">
    <font>
      <sz val="11"/>
      <color theme="1"/>
      <name val="等线"/>
      <charset val="134"/>
      <scheme val="minor"/>
    </font>
    <font>
      <b/>
      <sz val="11"/>
      <name val="Calibri"/>
      <family val="2"/>
    </font>
    <font>
      <sz val="9"/>
      <name val="宋体"/>
      <family val="3"/>
      <charset val="134"/>
    </font>
    <font>
      <b/>
      <sz val="16"/>
      <name val="宋体"/>
      <family val="3"/>
      <charset val="134"/>
    </font>
    <font>
      <b/>
      <sz val="9"/>
      <name val="Calibri"/>
      <family val="2"/>
    </font>
    <font>
      <sz val="9"/>
      <name val="Arial"/>
      <family val="2"/>
    </font>
    <font>
      <sz val="9"/>
      <name val="微软雅黑"/>
      <family val="2"/>
      <charset val="134"/>
    </font>
    <font>
      <sz val="9"/>
      <color rgb="FFFF0000"/>
      <name val="宋体"/>
      <family val="3"/>
      <charset val="134"/>
    </font>
    <font>
      <sz val="9"/>
      <name val="Calibri"/>
      <family val="2"/>
    </font>
    <font>
      <b/>
      <sz val="9"/>
      <name val="宋体"/>
      <family val="3"/>
      <charset val="134"/>
    </font>
    <font>
      <i/>
      <sz val="9"/>
      <name val="Arial"/>
      <family val="2"/>
    </font>
    <font>
      <sz val="10"/>
      <name val="Arial"/>
      <family val="2"/>
    </font>
    <font>
      <i/>
      <sz val="10"/>
      <name val="Arial"/>
      <family val="2"/>
    </font>
    <font>
      <sz val="9"/>
      <color rgb="FF00B0F0"/>
      <name val="Arial"/>
      <family val="2"/>
    </font>
    <font>
      <sz val="10"/>
      <color rgb="FFFF0000"/>
      <name val="Arial"/>
      <family val="2"/>
    </font>
    <font>
      <sz val="9"/>
      <name val="等线"/>
      <family val="3"/>
      <charset val="134"/>
      <scheme val="minor"/>
    </font>
    <font>
      <b/>
      <sz val="9"/>
      <name val="微软雅黑"/>
      <family val="2"/>
      <charset val="134"/>
    </font>
    <font>
      <sz val="9"/>
      <color rgb="FFFF0000"/>
      <name val="Arial"/>
      <family val="2"/>
    </font>
    <font>
      <sz val="9"/>
      <color rgb="FFFF0000"/>
      <name val="微软雅黑"/>
      <family val="2"/>
      <charset val="134"/>
    </font>
    <font>
      <b/>
      <sz val="10.5"/>
      <color rgb="FFFF0000"/>
      <name val="宋体"/>
      <family val="3"/>
      <charset val="134"/>
    </font>
    <font>
      <sz val="16"/>
      <color theme="1"/>
      <name val="等线"/>
      <family val="3"/>
      <charset val="134"/>
      <scheme val="minor"/>
    </font>
    <font>
      <sz val="10"/>
      <color theme="1"/>
      <name val="等线"/>
      <family val="3"/>
      <charset val="134"/>
      <scheme val="minor"/>
    </font>
    <font>
      <sz val="11"/>
      <color rgb="FFFF0000"/>
      <name val="思源黑体"/>
      <charset val="134"/>
    </font>
    <font>
      <sz val="11"/>
      <name val="思源黑体"/>
      <charset val="134"/>
    </font>
    <font>
      <sz val="11"/>
      <name val="Amazon Ember Display"/>
      <family val="2"/>
    </font>
    <font>
      <sz val="9"/>
      <name val="Maersk Text"/>
      <family val="1"/>
    </font>
    <font>
      <b/>
      <sz val="14"/>
      <name val="宋体"/>
      <family val="3"/>
      <charset val="134"/>
    </font>
    <font>
      <sz val="12"/>
      <name val="宋体"/>
      <family val="3"/>
      <charset val="134"/>
    </font>
    <font>
      <b/>
      <sz val="10"/>
      <name val="宋体"/>
      <family val="3"/>
      <charset val="134"/>
    </font>
    <font>
      <b/>
      <sz val="10"/>
      <name val="Calibri"/>
      <family val="2"/>
    </font>
    <font>
      <sz val="12"/>
      <color rgb="FFFF0000"/>
      <name val="宋体"/>
      <family val="3"/>
      <charset val="134"/>
    </font>
    <font>
      <sz val="11"/>
      <name val="Calibri"/>
      <family val="2"/>
    </font>
    <font>
      <i/>
      <sz val="9"/>
      <color rgb="FFFF0000"/>
      <name val="Arial"/>
      <family val="2"/>
    </font>
    <font>
      <sz val="9"/>
      <name val="Arial"/>
      <family val="2"/>
    </font>
    <font>
      <b/>
      <sz val="12"/>
      <color rgb="FFFF0000"/>
      <name val="宋体"/>
      <family val="3"/>
      <charset val="134"/>
    </font>
    <font>
      <b/>
      <sz val="12"/>
      <name val="宋体"/>
      <family val="3"/>
      <charset val="134"/>
    </font>
    <font>
      <sz val="11"/>
      <name val="等线"/>
      <family val="3"/>
      <charset val="134"/>
      <scheme val="minor"/>
    </font>
    <font>
      <b/>
      <sz val="11"/>
      <color rgb="FFFF0000"/>
      <name val="等线"/>
      <family val="3"/>
      <charset val="134"/>
      <scheme val="minor"/>
    </font>
    <font>
      <sz val="12"/>
      <color theme="1"/>
      <name val="宋体"/>
      <family val="3"/>
      <charset val="134"/>
    </font>
    <font>
      <b/>
      <sz val="10.5"/>
      <color theme="0"/>
      <name val="宋体"/>
      <family val="3"/>
      <charset val="134"/>
    </font>
    <font>
      <sz val="11"/>
      <color theme="1"/>
      <name val="等线"/>
      <family val="3"/>
      <charset val="134"/>
      <scheme val="minor"/>
    </font>
    <font>
      <sz val="11"/>
      <color theme="1"/>
      <name val="等线"/>
      <family val="3"/>
      <charset val="134"/>
      <scheme val="minor"/>
    </font>
  </fonts>
  <fills count="8">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rgb="FFFFFF00"/>
        <bgColor indexed="64"/>
      </patternFill>
    </fill>
    <fill>
      <patternFill patternType="solid">
        <fgColor theme="8" tint="0.79995117038483843"/>
        <bgColor indexed="64"/>
      </patternFill>
    </fill>
    <fill>
      <patternFill patternType="solid">
        <fgColor theme="4" tint="0.79995117038483843"/>
        <bgColor indexed="64"/>
      </patternFill>
    </fill>
    <fill>
      <patternFill patternType="solid">
        <fgColor theme="2" tint="-9.9978637043366805E-2"/>
        <bgColor indexed="64"/>
      </patternFill>
    </fill>
  </fills>
  <borders count="40">
    <border>
      <left/>
      <right/>
      <top/>
      <bottom/>
      <diagonal/>
    </border>
    <border>
      <left style="thin">
        <color auto="1"/>
      </left>
      <right style="thin">
        <color auto="1"/>
      </right>
      <top style="thin">
        <color auto="1"/>
      </top>
      <bottom style="thin">
        <color auto="1"/>
      </bottom>
      <diagonal/>
    </border>
    <border>
      <left style="medium">
        <color auto="1"/>
      </left>
      <right style="medium">
        <color indexed="8"/>
      </right>
      <top style="medium">
        <color auto="1"/>
      </top>
      <bottom/>
      <diagonal/>
    </border>
    <border>
      <left/>
      <right/>
      <top style="medium">
        <color auto="1"/>
      </top>
      <bottom/>
      <diagonal/>
    </border>
    <border>
      <left/>
      <right style="medium">
        <color indexed="8"/>
      </right>
      <top style="medium">
        <color auto="1"/>
      </top>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style="medium">
        <color auto="1"/>
      </left>
      <right/>
      <top/>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diagonal/>
    </border>
    <border>
      <left/>
      <right style="medium">
        <color auto="1"/>
      </right>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7">
    <xf numFmtId="0" fontId="0" fillId="0" borderId="0">
      <alignment vertical="center"/>
    </xf>
    <xf numFmtId="0" fontId="40" fillId="0" borderId="0"/>
    <xf numFmtId="0" fontId="41" fillId="0" borderId="0"/>
    <xf numFmtId="0" fontId="41" fillId="0" borderId="0">
      <alignment vertical="center"/>
    </xf>
    <xf numFmtId="0" fontId="11" fillId="0" borderId="0"/>
    <xf numFmtId="0" fontId="41" fillId="0" borderId="0"/>
    <xf numFmtId="0" fontId="41" fillId="0" borderId="0">
      <alignment vertical="center"/>
    </xf>
  </cellStyleXfs>
  <cellXfs count="191">
    <xf numFmtId="0" fontId="0" fillId="0" borderId="0" xfId="0">
      <alignment vertical="center"/>
    </xf>
    <xf numFmtId="0" fontId="41" fillId="0" borderId="0" xfId="2" applyAlignment="1">
      <alignment horizontal="center"/>
    </xf>
    <xf numFmtId="0" fontId="1" fillId="0" borderId="1" xfId="3" applyFont="1" applyBorder="1" applyAlignment="1">
      <alignment horizontal="center" vertical="top"/>
    </xf>
    <xf numFmtId="0" fontId="41" fillId="0" borderId="0" xfId="5"/>
    <xf numFmtId="0" fontId="0" fillId="0" borderId="0" xfId="0" applyAlignment="1">
      <alignment horizontal="left"/>
    </xf>
    <xf numFmtId="0" fontId="2" fillId="0" borderId="0" xfId="1" applyFont="1" applyAlignment="1">
      <alignment vertical="center"/>
    </xf>
    <xf numFmtId="0" fontId="4" fillId="3" borderId="8" xfId="1" applyFont="1" applyFill="1" applyBorder="1" applyAlignment="1">
      <alignment horizontal="left" vertical="center" wrapText="1"/>
    </xf>
    <xf numFmtId="0" fontId="5" fillId="3" borderId="1" xfId="1" applyFont="1" applyFill="1" applyBorder="1" applyAlignment="1">
      <alignment horizontal="center" vertical="center" wrapText="1"/>
    </xf>
    <xf numFmtId="0" fontId="4" fillId="3" borderId="1" xfId="1" applyFont="1" applyFill="1" applyBorder="1" applyAlignment="1">
      <alignment horizontal="left" vertical="center" wrapText="1"/>
    </xf>
    <xf numFmtId="0" fontId="6" fillId="3" borderId="1" xfId="1" applyFont="1" applyFill="1" applyBorder="1" applyAlignment="1">
      <alignment horizontal="center" vertical="center" wrapText="1"/>
    </xf>
    <xf numFmtId="0" fontId="6" fillId="3" borderId="11"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7" fillId="0" borderId="0" xfId="1" applyFont="1" applyAlignment="1">
      <alignment vertical="center"/>
    </xf>
    <xf numFmtId="0" fontId="6" fillId="3" borderId="15" xfId="1" applyFont="1" applyFill="1" applyBorder="1" applyAlignment="1">
      <alignment horizontal="left" vertical="top"/>
    </xf>
    <xf numFmtId="0" fontId="4" fillId="3" borderId="15" xfId="1" applyFont="1" applyFill="1" applyBorder="1" applyAlignment="1">
      <alignment horizontal="center" vertical="center" wrapText="1"/>
    </xf>
    <xf numFmtId="0" fontId="8" fillId="3" borderId="15" xfId="1" applyFont="1" applyFill="1" applyBorder="1" applyAlignment="1">
      <alignment vertical="center"/>
    </xf>
    <xf numFmtId="0" fontId="8" fillId="3" borderId="16" xfId="1" applyFont="1" applyFill="1" applyBorder="1" applyAlignment="1">
      <alignment horizontal="center" vertical="center" wrapText="1"/>
    </xf>
    <xf numFmtId="0" fontId="10" fillId="2" borderId="8" xfId="1" applyFont="1" applyFill="1" applyBorder="1" applyAlignment="1" applyProtection="1">
      <alignment vertical="center" wrapText="1"/>
      <protection locked="0"/>
    </xf>
    <xf numFmtId="0" fontId="11" fillId="4" borderId="1" xfId="1" applyFont="1" applyFill="1" applyBorder="1" applyAlignment="1" applyProtection="1">
      <alignment horizontal="left" vertical="center" wrapText="1"/>
      <protection locked="0"/>
    </xf>
    <xf numFmtId="0" fontId="10" fillId="2" borderId="1" xfId="1" applyFont="1" applyFill="1" applyBorder="1" applyAlignment="1" applyProtection="1">
      <alignment vertical="center" wrapText="1"/>
      <protection locked="0"/>
    </xf>
    <xf numFmtId="0" fontId="12" fillId="4" borderId="1" xfId="1" applyFont="1" applyFill="1" applyBorder="1" applyAlignment="1" applyProtection="1">
      <alignment vertical="center" wrapText="1"/>
      <protection locked="0"/>
    </xf>
    <xf numFmtId="0" fontId="12" fillId="2" borderId="1" xfId="1" applyFont="1" applyFill="1" applyBorder="1" applyAlignment="1" applyProtection="1">
      <alignment vertical="center" wrapText="1"/>
      <protection locked="0"/>
    </xf>
    <xf numFmtId="0" fontId="0" fillId="0" borderId="0" xfId="0" applyAlignment="1" applyProtection="1">
      <protection locked="0"/>
    </xf>
    <xf numFmtId="0" fontId="10" fillId="2" borderId="12" xfId="1" applyFont="1" applyFill="1" applyBorder="1" applyAlignment="1" applyProtection="1">
      <alignment vertical="center" wrapText="1"/>
      <protection locked="0"/>
    </xf>
    <xf numFmtId="0" fontId="10" fillId="2" borderId="14" xfId="1" applyFont="1" applyFill="1" applyBorder="1" applyAlignment="1" applyProtection="1">
      <alignment vertical="center" wrapText="1"/>
      <protection locked="0"/>
    </xf>
    <xf numFmtId="0" fontId="10" fillId="2" borderId="5" xfId="1" applyFont="1" applyFill="1" applyBorder="1" applyAlignment="1" applyProtection="1">
      <alignment vertical="center" wrapText="1"/>
      <protection locked="0"/>
    </xf>
    <xf numFmtId="0" fontId="10" fillId="2" borderId="26" xfId="1" applyFont="1" applyFill="1" applyBorder="1" applyAlignment="1" applyProtection="1">
      <alignment vertical="center" wrapText="1"/>
      <protection locked="0"/>
    </xf>
    <xf numFmtId="0" fontId="10" fillId="0" borderId="26" xfId="1" applyFont="1" applyBorder="1" applyAlignment="1" applyProtection="1">
      <alignment vertical="center" wrapText="1"/>
      <protection locked="0"/>
    </xf>
    <xf numFmtId="0" fontId="10" fillId="2" borderId="26" xfId="0" applyFont="1" applyFill="1" applyBorder="1" applyAlignment="1" applyProtection="1">
      <alignment vertical="center" wrapText="1"/>
      <protection locked="0"/>
    </xf>
    <xf numFmtId="0" fontId="10" fillId="2" borderId="27" xfId="0" applyFont="1" applyFill="1" applyBorder="1" applyAlignment="1" applyProtection="1">
      <alignment vertical="center" wrapText="1"/>
      <protection locked="0"/>
    </xf>
    <xf numFmtId="0" fontId="5" fillId="3" borderId="8" xfId="1" applyFont="1" applyFill="1" applyBorder="1" applyAlignment="1" applyProtection="1">
      <alignment vertical="center" wrapText="1"/>
      <protection locked="0"/>
    </xf>
    <xf numFmtId="0" fontId="5" fillId="3" borderId="1" xfId="1" applyFont="1" applyFill="1" applyBorder="1" applyAlignment="1" applyProtection="1">
      <alignment vertical="center" wrapText="1"/>
      <protection locked="0"/>
    </xf>
    <xf numFmtId="0" fontId="11" fillId="4" borderId="1" xfId="0" applyFont="1" applyFill="1" applyBorder="1" applyAlignment="1" applyProtection="1">
      <alignment vertical="center" wrapText="1"/>
      <protection locked="0"/>
    </xf>
    <xf numFmtId="0" fontId="10" fillId="4" borderId="1" xfId="1" applyFont="1" applyFill="1" applyBorder="1" applyAlignment="1" applyProtection="1">
      <alignment vertical="center" wrapText="1"/>
      <protection locked="0"/>
    </xf>
    <xf numFmtId="0" fontId="11" fillId="4" borderId="28" xfId="0" applyFont="1" applyFill="1" applyBorder="1" applyAlignment="1" applyProtection="1">
      <alignment vertical="center" wrapText="1"/>
      <protection locked="0"/>
    </xf>
    <xf numFmtId="0" fontId="2" fillId="0" borderId="29" xfId="1" applyFont="1" applyBorder="1" applyAlignment="1">
      <alignment vertical="center"/>
    </xf>
    <xf numFmtId="0" fontId="15" fillId="2" borderId="1" xfId="1" applyFont="1" applyFill="1" applyBorder="1" applyAlignment="1" applyProtection="1">
      <alignment vertical="center" wrapText="1"/>
      <protection locked="0"/>
    </xf>
    <xf numFmtId="0" fontId="10" fillId="2" borderId="30" xfId="1" applyFont="1" applyFill="1" applyBorder="1" applyAlignment="1" applyProtection="1">
      <alignment vertical="center" wrapText="1"/>
      <protection locked="0"/>
    </xf>
    <xf numFmtId="0" fontId="10" fillId="2" borderId="28" xfId="1" applyFont="1" applyFill="1" applyBorder="1" applyAlignment="1" applyProtection="1">
      <alignment vertical="center" wrapText="1"/>
      <protection locked="0"/>
    </xf>
    <xf numFmtId="0" fontId="10" fillId="2" borderId="11" xfId="1" applyFont="1" applyFill="1" applyBorder="1" applyAlignment="1" applyProtection="1">
      <alignment vertical="center" wrapText="1"/>
      <protection locked="0"/>
    </xf>
    <xf numFmtId="0" fontId="15" fillId="2" borderId="14" xfId="1" applyFont="1" applyFill="1" applyBorder="1" applyAlignment="1" applyProtection="1">
      <alignment vertical="center" wrapText="1"/>
      <protection locked="0"/>
    </xf>
    <xf numFmtId="0" fontId="10" fillId="2" borderId="31" xfId="1" applyFont="1" applyFill="1" applyBorder="1" applyAlignment="1" applyProtection="1">
      <alignment vertical="center" wrapText="1"/>
      <protection locked="0"/>
    </xf>
    <xf numFmtId="0" fontId="10" fillId="2" borderId="32" xfId="1" applyFont="1" applyFill="1" applyBorder="1" applyAlignment="1" applyProtection="1">
      <alignment vertical="center" wrapText="1"/>
      <protection locked="0"/>
    </xf>
    <xf numFmtId="0" fontId="16" fillId="3" borderId="1" xfId="1" applyFont="1" applyFill="1" applyBorder="1" applyAlignment="1">
      <alignment horizontal="center" vertical="center" wrapText="1"/>
    </xf>
    <xf numFmtId="0" fontId="16" fillId="3" borderId="11" xfId="1" applyFont="1" applyFill="1" applyBorder="1" applyAlignment="1">
      <alignment horizontal="center" vertical="center" wrapText="1"/>
    </xf>
    <xf numFmtId="0" fontId="16" fillId="3" borderId="15" xfId="1" applyFont="1" applyFill="1" applyBorder="1" applyAlignment="1">
      <alignment horizontal="left" vertical="top"/>
    </xf>
    <xf numFmtId="0" fontId="5" fillId="4" borderId="1" xfId="1" applyFont="1" applyFill="1" applyBorder="1" applyAlignment="1" applyProtection="1">
      <alignment horizontal="left" vertical="center" wrapText="1"/>
      <protection locked="0"/>
    </xf>
    <xf numFmtId="0" fontId="5" fillId="4" borderId="14" xfId="1" applyFont="1" applyFill="1" applyBorder="1" applyAlignment="1" applyProtection="1">
      <alignment horizontal="left" vertical="center" wrapText="1"/>
      <protection locked="0"/>
    </xf>
    <xf numFmtId="0" fontId="10" fillId="0" borderId="33" xfId="0" applyFont="1" applyBorder="1" applyAlignment="1" applyProtection="1">
      <alignment vertical="center" wrapText="1"/>
      <protection locked="0"/>
    </xf>
    <xf numFmtId="0" fontId="10" fillId="2" borderId="34" xfId="0" applyFont="1" applyFill="1" applyBorder="1" applyAlignment="1" applyProtection="1">
      <alignment vertical="center" wrapText="1"/>
      <protection locked="0"/>
    </xf>
    <xf numFmtId="0" fontId="6" fillId="4" borderId="1" xfId="1" applyFont="1" applyFill="1" applyBorder="1" applyAlignment="1" applyProtection="1">
      <alignment vertical="center" wrapText="1"/>
      <protection locked="0"/>
    </xf>
    <xf numFmtId="0" fontId="15" fillId="4" borderId="1" xfId="1" applyFont="1" applyFill="1" applyBorder="1" applyAlignment="1" applyProtection="1">
      <alignment vertical="center" wrapText="1"/>
      <protection locked="0"/>
    </xf>
    <xf numFmtId="0" fontId="15" fillId="4" borderId="11" xfId="1" applyFont="1" applyFill="1" applyBorder="1" applyAlignment="1" applyProtection="1">
      <alignment vertical="center" wrapText="1"/>
      <protection locked="0"/>
    </xf>
    <xf numFmtId="0" fontId="20" fillId="5" borderId="1" xfId="0" applyFont="1" applyFill="1" applyBorder="1" applyAlignment="1" applyProtection="1">
      <alignment horizontal="center" vertical="center"/>
      <protection locked="0"/>
    </xf>
    <xf numFmtId="0" fontId="0" fillId="5" borderId="1" xfId="0" applyFill="1" applyBorder="1" applyAlignment="1" applyProtection="1">
      <protection locked="0"/>
    </xf>
    <xf numFmtId="0" fontId="0" fillId="0" borderId="1" xfId="0" applyBorder="1" applyAlignment="1" applyProtection="1">
      <alignment vertical="center" wrapText="1"/>
      <protection locked="0"/>
    </xf>
    <xf numFmtId="0" fontId="21" fillId="2" borderId="1" xfId="0" applyFont="1" applyFill="1" applyBorder="1" applyAlignment="1">
      <alignment horizontal="center" vertical="center" wrapText="1" shrinkToFit="1"/>
    </xf>
    <xf numFmtId="178" fontId="0" fillId="0" borderId="0" xfId="0" applyNumberFormat="1" applyAlignment="1"/>
    <xf numFmtId="178" fontId="0" fillId="0" borderId="1" xfId="0" applyNumberFormat="1" applyBorder="1" applyAlignment="1">
      <alignment vertical="center" wrapText="1"/>
    </xf>
    <xf numFmtId="178" fontId="21" fillId="2" borderId="1" xfId="0" applyNumberFormat="1" applyFont="1" applyFill="1" applyBorder="1" applyAlignment="1">
      <alignment horizontal="center" vertical="center" wrapText="1" shrinkToFit="1"/>
    </xf>
    <xf numFmtId="178" fontId="0" fillId="0" borderId="1" xfId="0" applyNumberFormat="1" applyBorder="1" applyAlignment="1"/>
    <xf numFmtId="178" fontId="24" fillId="0" borderId="23" xfId="1" applyNumberFormat="1" applyFont="1" applyBorder="1" applyAlignment="1">
      <alignment vertical="top" wrapText="1"/>
    </xf>
    <xf numFmtId="178" fontId="24" fillId="0" borderId="0" xfId="1" applyNumberFormat="1" applyFont="1" applyAlignment="1">
      <alignment vertical="top" wrapText="1"/>
    </xf>
    <xf numFmtId="178" fontId="25" fillId="0" borderId="0" xfId="1" applyNumberFormat="1" applyFont="1" applyAlignment="1">
      <alignment vertical="center"/>
    </xf>
    <xf numFmtId="0" fontId="0" fillId="0" borderId="0" xfId="0" applyProtection="1">
      <alignment vertical="center"/>
      <protection locked="0"/>
    </xf>
    <xf numFmtId="0" fontId="27" fillId="0" borderId="0" xfId="0" applyFont="1" applyProtection="1">
      <alignment vertical="center"/>
      <protection locked="0"/>
    </xf>
    <xf numFmtId="0" fontId="4" fillId="3" borderId="8" xfId="0" applyFont="1" applyFill="1" applyBorder="1" applyAlignment="1" applyProtection="1">
      <alignment horizontal="left" vertical="center" wrapText="1"/>
      <protection locked="0"/>
    </xf>
    <xf numFmtId="0" fontId="4" fillId="3"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left" vertical="center" wrapText="1"/>
      <protection locked="0"/>
    </xf>
    <xf numFmtId="0" fontId="29" fillId="3" borderId="1" xfId="0" applyFont="1" applyFill="1" applyBorder="1" applyAlignment="1" applyProtection="1">
      <alignment horizontal="left" vertical="center" wrapText="1"/>
      <protection locked="0"/>
    </xf>
    <xf numFmtId="0" fontId="30" fillId="6" borderId="0" xfId="0" applyFont="1" applyFill="1" applyProtection="1">
      <alignment vertical="center"/>
      <protection locked="0"/>
    </xf>
    <xf numFmtId="14" fontId="31" fillId="3" borderId="1" xfId="0" applyNumberFormat="1" applyFont="1" applyFill="1" applyBorder="1" applyAlignment="1" applyProtection="1">
      <alignment horizontal="left" vertical="center"/>
      <protection locked="0"/>
    </xf>
    <xf numFmtId="0" fontId="31" fillId="3" borderId="1" xfId="0" applyFont="1" applyFill="1" applyBorder="1" applyAlignment="1" applyProtection="1">
      <alignment horizontal="left" vertical="center"/>
      <protection locked="0"/>
    </xf>
    <xf numFmtId="14" fontId="31" fillId="3" borderId="11" xfId="0" applyNumberFormat="1" applyFont="1" applyFill="1" applyBorder="1" applyAlignment="1" applyProtection="1">
      <alignment horizontal="left" vertical="center"/>
      <protection locked="0"/>
    </xf>
    <xf numFmtId="0" fontId="31" fillId="3" borderId="31" xfId="0" applyFont="1" applyFill="1" applyBorder="1" applyAlignment="1" applyProtection="1">
      <alignment horizontal="left" vertical="center"/>
      <protection locked="0"/>
    </xf>
    <xf numFmtId="0" fontId="29" fillId="3" borderId="15" xfId="0" applyFont="1" applyFill="1" applyBorder="1" applyAlignment="1" applyProtection="1">
      <alignment horizontal="center" vertical="center" wrapText="1"/>
      <protection locked="0"/>
    </xf>
    <xf numFmtId="0" fontId="31" fillId="3" borderId="15" xfId="0" applyFont="1" applyFill="1" applyBorder="1" applyProtection="1">
      <alignment vertical="center"/>
      <protection locked="0"/>
    </xf>
    <xf numFmtId="0" fontId="8" fillId="3" borderId="16" xfId="0" applyFont="1" applyFill="1" applyBorder="1" applyAlignment="1" applyProtection="1">
      <alignment horizontal="center" vertical="center" wrapText="1"/>
      <protection locked="0"/>
    </xf>
    <xf numFmtId="0" fontId="10" fillId="2" borderId="8" xfId="0" applyFont="1" applyFill="1" applyBorder="1" applyAlignment="1" applyProtection="1">
      <alignment vertical="center" wrapText="1"/>
      <protection locked="0"/>
    </xf>
    <xf numFmtId="0" fontId="5" fillId="4" borderId="1" xfId="0" applyFont="1" applyFill="1" applyBorder="1" applyAlignment="1" applyProtection="1">
      <alignment horizontal="left" vertical="center" wrapText="1"/>
      <protection locked="0"/>
    </xf>
    <xf numFmtId="0" fontId="10" fillId="2" borderId="0" xfId="0" applyFont="1" applyFill="1" applyAlignment="1" applyProtection="1">
      <alignment vertical="center" wrapText="1"/>
      <protection locked="0"/>
    </xf>
    <xf numFmtId="0" fontId="32" fillId="6" borderId="0" xfId="0" applyFont="1" applyFill="1" applyProtection="1">
      <alignment vertical="center"/>
      <protection locked="0"/>
    </xf>
    <xf numFmtId="0" fontId="10" fillId="4" borderId="1" xfId="0" applyFont="1" applyFill="1" applyBorder="1" applyAlignment="1" applyProtection="1">
      <alignment vertical="center" wrapText="1"/>
      <protection locked="0"/>
    </xf>
    <xf numFmtId="0" fontId="10" fillId="2" borderId="1" xfId="0" applyFont="1" applyFill="1" applyBorder="1" applyAlignment="1" applyProtection="1">
      <alignment vertical="center" wrapText="1"/>
      <protection locked="0"/>
    </xf>
    <xf numFmtId="0" fontId="32" fillId="6" borderId="0" xfId="0" applyFont="1" applyFill="1" applyAlignment="1" applyProtection="1">
      <alignment vertical="center" wrapText="1"/>
      <protection locked="0"/>
    </xf>
    <xf numFmtId="0" fontId="30" fillId="0" borderId="0" xfId="0" applyFont="1" applyProtection="1">
      <alignment vertical="center"/>
      <protection locked="0"/>
    </xf>
    <xf numFmtId="0" fontId="10" fillId="2" borderId="12" xfId="0" applyFont="1" applyFill="1" applyBorder="1" applyAlignment="1" applyProtection="1">
      <alignment vertical="center" wrapText="1"/>
      <protection locked="0"/>
    </xf>
    <xf numFmtId="0" fontId="5" fillId="4" borderId="14" xfId="0" applyFont="1" applyFill="1" applyBorder="1" applyAlignment="1" applyProtection="1">
      <alignment horizontal="left" vertical="center" wrapText="1"/>
      <protection locked="0"/>
    </xf>
    <xf numFmtId="0" fontId="10" fillId="2" borderId="14" xfId="0" applyFont="1" applyFill="1" applyBorder="1" applyAlignment="1" applyProtection="1">
      <alignment vertical="center" wrapText="1"/>
      <protection locked="0"/>
    </xf>
    <xf numFmtId="0" fontId="10" fillId="2" borderId="15" xfId="0" applyFont="1" applyFill="1" applyBorder="1" applyAlignment="1" applyProtection="1">
      <alignment vertical="center" wrapText="1"/>
      <protection locked="0"/>
    </xf>
    <xf numFmtId="0" fontId="10" fillId="2" borderId="5" xfId="0" applyFont="1" applyFill="1" applyBorder="1" applyAlignment="1" applyProtection="1">
      <alignment vertical="center" wrapText="1"/>
      <protection locked="0"/>
    </xf>
    <xf numFmtId="0" fontId="10" fillId="0" borderId="34" xfId="0" applyFont="1" applyBorder="1" applyAlignment="1" applyProtection="1">
      <alignment vertical="center" wrapText="1"/>
      <protection locked="0"/>
    </xf>
    <xf numFmtId="0" fontId="34" fillId="4" borderId="0" xfId="0" applyFont="1" applyFill="1" applyProtection="1">
      <alignment vertical="center"/>
      <protection locked="0"/>
    </xf>
    <xf numFmtId="0" fontId="35" fillId="7" borderId="0" xfId="0" applyFont="1" applyFill="1" applyProtection="1">
      <alignment vertical="center"/>
      <protection locked="0"/>
    </xf>
    <xf numFmtId="0" fontId="10" fillId="3" borderId="8" xfId="0" applyFont="1" applyFill="1" applyBorder="1" applyAlignment="1" applyProtection="1">
      <alignment vertical="center" wrapText="1"/>
      <protection locked="0"/>
    </xf>
    <xf numFmtId="0" fontId="10" fillId="3" borderId="1" xfId="0" applyFont="1" applyFill="1" applyBorder="1" applyAlignment="1" applyProtection="1">
      <alignment vertical="center" wrapText="1"/>
      <protection locked="0"/>
    </xf>
    <xf numFmtId="0" fontId="10" fillId="0" borderId="1" xfId="0" applyFont="1" applyBorder="1" applyAlignment="1" applyProtection="1">
      <alignment vertical="center" wrapText="1"/>
      <protection locked="0"/>
    </xf>
    <xf numFmtId="0" fontId="36" fillId="0" borderId="1" xfId="0" applyFont="1" applyBorder="1" applyAlignment="1" applyProtection="1">
      <alignment vertical="center" wrapText="1"/>
      <protection locked="0"/>
    </xf>
    <xf numFmtId="0" fontId="36" fillId="4" borderId="28" xfId="0" applyFont="1" applyFill="1" applyBorder="1" applyProtection="1">
      <alignment vertical="center"/>
      <protection locked="0"/>
    </xf>
    <xf numFmtId="0" fontId="36" fillId="4" borderId="1" xfId="0" applyFont="1" applyFill="1" applyBorder="1" applyProtection="1">
      <alignment vertical="center"/>
      <protection locked="0"/>
    </xf>
    <xf numFmtId="0" fontId="36" fillId="4" borderId="1" xfId="0" applyFont="1" applyFill="1" applyBorder="1" applyAlignment="1" applyProtection="1">
      <alignment vertical="center" wrapText="1"/>
      <protection locked="0"/>
    </xf>
    <xf numFmtId="0" fontId="36" fillId="0" borderId="1" xfId="0" applyFont="1" applyBorder="1" applyProtection="1">
      <alignment vertical="center"/>
      <protection locked="0"/>
    </xf>
    <xf numFmtId="0" fontId="36" fillId="4" borderId="11" xfId="0" applyFont="1" applyFill="1" applyBorder="1" applyAlignment="1" applyProtection="1">
      <alignment vertical="center" wrapText="1"/>
      <protection locked="0"/>
    </xf>
    <xf numFmtId="0" fontId="37" fillId="4" borderId="0" xfId="0" applyFont="1" applyFill="1" applyProtection="1">
      <alignment vertical="center"/>
      <protection locked="0"/>
    </xf>
    <xf numFmtId="0" fontId="10" fillId="3" borderId="37" xfId="0" applyFont="1" applyFill="1" applyBorder="1" applyAlignment="1" applyProtection="1">
      <alignment vertical="center" wrapText="1"/>
      <protection locked="0"/>
    </xf>
    <xf numFmtId="0" fontId="10" fillId="3" borderId="38" xfId="0" applyFont="1" applyFill="1" applyBorder="1" applyAlignment="1" applyProtection="1">
      <alignment vertical="center" wrapText="1"/>
      <protection locked="0"/>
    </xf>
    <xf numFmtId="0" fontId="10" fillId="0" borderId="38" xfId="0" applyFont="1" applyBorder="1" applyAlignment="1" applyProtection="1">
      <alignment vertical="center" wrapText="1"/>
      <protection locked="0"/>
    </xf>
    <xf numFmtId="0" fontId="36" fillId="0" borderId="38" xfId="0" applyFont="1" applyBorder="1" applyAlignment="1" applyProtection="1">
      <alignment vertical="center" wrapText="1"/>
      <protection locked="0"/>
    </xf>
    <xf numFmtId="0" fontId="36" fillId="4" borderId="21" xfId="0" applyFont="1" applyFill="1" applyBorder="1" applyProtection="1">
      <alignment vertical="center"/>
      <protection locked="0"/>
    </xf>
    <xf numFmtId="0" fontId="36" fillId="4" borderId="22" xfId="0" applyFont="1" applyFill="1" applyBorder="1" applyAlignment="1" applyProtection="1">
      <alignment vertical="center" wrapText="1"/>
      <protection locked="0"/>
    </xf>
    <xf numFmtId="0" fontId="36" fillId="0" borderId="22" xfId="0" applyFont="1" applyBorder="1" applyProtection="1">
      <alignment vertical="center"/>
      <protection locked="0"/>
    </xf>
    <xf numFmtId="0" fontId="36" fillId="4" borderId="39" xfId="0" applyFont="1" applyFill="1" applyBorder="1" applyAlignment="1" applyProtection="1">
      <alignment vertical="center" wrapText="1"/>
      <protection locked="0"/>
    </xf>
    <xf numFmtId="0" fontId="19" fillId="0" borderId="0" xfId="1" applyFont="1" applyAlignment="1" applyProtection="1">
      <alignment vertical="top" wrapText="1"/>
      <protection locked="0"/>
    </xf>
    <xf numFmtId="0" fontId="39" fillId="0" borderId="0" xfId="1" applyFont="1" applyAlignment="1" applyProtection="1">
      <alignment vertical="top" wrapText="1"/>
      <protection locked="0"/>
    </xf>
    <xf numFmtId="0" fontId="26" fillId="0" borderId="2" xfId="0" applyFont="1" applyBorder="1" applyAlignment="1" applyProtection="1">
      <alignment horizontal="center" vertical="center" wrapText="1"/>
      <protection locked="0"/>
    </xf>
    <xf numFmtId="0" fontId="0" fillId="0" borderId="3" xfId="0" applyBorder="1" applyAlignment="1" applyProtection="1">
      <protection locked="0"/>
    </xf>
    <xf numFmtId="0" fontId="0" fillId="0" borderId="4" xfId="0" applyBorder="1" applyAlignment="1" applyProtection="1">
      <protection locked="0"/>
    </xf>
    <xf numFmtId="0" fontId="28" fillId="3" borderId="5" xfId="0" applyFont="1" applyFill="1" applyBorder="1" applyAlignment="1" applyProtection="1">
      <alignment horizontal="center" vertical="center" wrapText="1"/>
      <protection locked="0"/>
    </xf>
    <xf numFmtId="0" fontId="0" fillId="0" borderId="6" xfId="0" applyBorder="1" applyAlignment="1" applyProtection="1">
      <protection locked="0"/>
    </xf>
    <xf numFmtId="0" fontId="0" fillId="0" borderId="7" xfId="0" applyBorder="1" applyAlignment="1" applyProtection="1">
      <protection locked="0"/>
    </xf>
    <xf numFmtId="0" fontId="4" fillId="3" borderId="1" xfId="0" applyFont="1" applyFill="1" applyBorder="1" applyAlignment="1" applyProtection="1">
      <alignment vertical="center" wrapText="1"/>
      <protection locked="0"/>
    </xf>
    <xf numFmtId="0" fontId="0" fillId="0" borderId="9" xfId="0" applyBorder="1" applyAlignment="1" applyProtection="1">
      <protection locked="0"/>
    </xf>
    <xf numFmtId="0" fontId="29" fillId="3" borderId="1" xfId="0" applyFont="1" applyFill="1" applyBorder="1" applyAlignment="1" applyProtection="1">
      <alignment horizontal="left" vertical="center" wrapText="1"/>
      <protection locked="0"/>
    </xf>
    <xf numFmtId="0" fontId="0" fillId="0" borderId="10" xfId="0" applyBorder="1" applyAlignment="1" applyProtection="1">
      <protection locked="0"/>
    </xf>
    <xf numFmtId="0" fontId="4" fillId="3" borderId="12" xfId="0" applyFont="1" applyFill="1" applyBorder="1" applyAlignment="1" applyProtection="1">
      <alignment horizontal="left" vertical="center" wrapText="1"/>
      <protection locked="0"/>
    </xf>
    <xf numFmtId="0" fontId="0" fillId="0" borderId="13" xfId="0" applyBorder="1" applyAlignment="1" applyProtection="1">
      <protection locked="0"/>
    </xf>
    <xf numFmtId="0" fontId="4" fillId="3" borderId="14" xfId="0" applyFont="1" applyFill="1" applyBorder="1" applyAlignment="1" applyProtection="1">
      <alignment horizontal="center" vertical="center" wrapText="1"/>
      <protection locked="0"/>
    </xf>
    <xf numFmtId="0" fontId="4" fillId="3" borderId="14" xfId="0" applyFont="1" applyFill="1" applyBorder="1" applyAlignment="1" applyProtection="1">
      <alignment horizontal="left" vertical="center" wrapText="1"/>
      <protection locked="0"/>
    </xf>
    <xf numFmtId="0" fontId="9" fillId="2" borderId="17" xfId="0" applyFont="1" applyFill="1" applyBorder="1" applyAlignment="1" applyProtection="1">
      <alignment horizontal="center" vertical="center" wrapText="1"/>
      <protection locked="0"/>
    </xf>
    <xf numFmtId="0" fontId="0" fillId="0" borderId="18" xfId="0" applyBorder="1" applyAlignment="1" applyProtection="1">
      <protection locked="0"/>
    </xf>
    <xf numFmtId="0" fontId="0" fillId="0" borderId="19" xfId="0" applyBorder="1" applyAlignment="1" applyProtection="1">
      <protection locked="0"/>
    </xf>
    <xf numFmtId="0" fontId="9" fillId="2" borderId="35" xfId="0" applyFont="1" applyFill="1" applyBorder="1" applyAlignment="1" applyProtection="1">
      <alignment horizontal="center" vertical="center" wrapText="1"/>
      <protection locked="0"/>
    </xf>
    <xf numFmtId="0" fontId="0" fillId="0" borderId="0" xfId="0" applyAlignment="1" applyProtection="1">
      <protection locked="0"/>
    </xf>
    <xf numFmtId="0" fontId="0" fillId="0" borderId="24" xfId="0" applyBorder="1" applyAlignment="1" applyProtection="1">
      <protection locked="0"/>
    </xf>
    <xf numFmtId="0" fontId="5" fillId="4" borderId="1" xfId="0" applyFont="1" applyFill="1" applyBorder="1" applyAlignment="1" applyProtection="1">
      <alignment horizontal="left" vertical="center" wrapText="1"/>
      <protection locked="0"/>
    </xf>
    <xf numFmtId="0" fontId="5" fillId="2" borderId="36" xfId="0" applyFont="1" applyFill="1" applyBorder="1" applyAlignment="1" applyProtection="1">
      <alignment horizontal="left" vertical="center" wrapText="1"/>
      <protection locked="0"/>
    </xf>
    <xf numFmtId="0" fontId="0" fillId="0" borderId="36" xfId="0" applyBorder="1" applyAlignment="1" applyProtection="1">
      <protection locked="0"/>
    </xf>
    <xf numFmtId="0" fontId="9" fillId="2" borderId="8" xfId="0" applyFont="1" applyFill="1" applyBorder="1" applyAlignment="1" applyProtection="1">
      <alignment horizontal="center" vertical="center" wrapText="1"/>
      <protection locked="0"/>
    </xf>
    <xf numFmtId="0" fontId="9" fillId="2" borderId="36" xfId="0" applyFont="1" applyFill="1" applyBorder="1" applyAlignment="1" applyProtection="1">
      <alignment horizontal="center" vertical="center" wrapText="1"/>
      <protection locked="0"/>
    </xf>
    <xf numFmtId="0" fontId="33" fillId="2" borderId="36" xfId="0" applyFont="1" applyFill="1" applyBorder="1" applyAlignment="1" applyProtection="1">
      <alignment horizontal="left" vertical="center" wrapText="1"/>
      <protection locked="0"/>
    </xf>
    <xf numFmtId="0" fontId="5" fillId="4" borderId="14" xfId="0" applyFont="1" applyFill="1" applyBorder="1" applyAlignment="1" applyProtection="1">
      <alignment horizontal="left" vertical="center" wrapText="1"/>
      <protection locked="0"/>
    </xf>
    <xf numFmtId="0" fontId="10" fillId="2" borderId="0" xfId="0" applyFont="1" applyFill="1" applyAlignment="1" applyProtection="1">
      <alignment vertical="center" wrapText="1"/>
      <protection locked="0"/>
    </xf>
    <xf numFmtId="0" fontId="30" fillId="6" borderId="29" xfId="0" applyFont="1" applyFill="1" applyBorder="1" applyAlignment="1" applyProtection="1">
      <alignment horizontal="left" vertical="top" wrapText="1"/>
      <protection locked="0"/>
    </xf>
    <xf numFmtId="0" fontId="0" fillId="0" borderId="29" xfId="0" applyBorder="1" applyAlignment="1" applyProtection="1">
      <protection locked="0"/>
    </xf>
    <xf numFmtId="0" fontId="38" fillId="2" borderId="29" xfId="0" applyFont="1" applyFill="1" applyBorder="1" applyAlignment="1" applyProtection="1">
      <alignment horizontal="left" vertical="top" wrapText="1"/>
      <protection locked="0"/>
    </xf>
    <xf numFmtId="0" fontId="5" fillId="2" borderId="16" xfId="0" applyFont="1" applyFill="1" applyBorder="1" applyAlignment="1" applyProtection="1">
      <alignment horizontal="left" vertical="center" wrapText="1"/>
      <protection locked="0"/>
    </xf>
    <xf numFmtId="0" fontId="0" fillId="0" borderId="15" xfId="0" applyBorder="1" applyAlignment="1" applyProtection="1">
      <protection locked="0"/>
    </xf>
    <xf numFmtId="0" fontId="0" fillId="0" borderId="16" xfId="0" applyBorder="1" applyAlignment="1" applyProtection="1">
      <protection locked="0"/>
    </xf>
    <xf numFmtId="178" fontId="20" fillId="5" borderId="1" xfId="0" applyNumberFormat="1" applyFont="1" applyFill="1" applyBorder="1" applyAlignment="1">
      <alignment horizontal="center" vertical="center"/>
    </xf>
    <xf numFmtId="0" fontId="0" fillId="0" borderId="10" xfId="0" applyBorder="1" applyAlignment="1"/>
    <xf numFmtId="0" fontId="0" fillId="0" borderId="9" xfId="0" applyBorder="1" applyAlignment="1"/>
    <xf numFmtId="178" fontId="22" fillId="0" borderId="23" xfId="1" applyNumberFormat="1" applyFont="1" applyBorder="1" applyAlignment="1">
      <alignment horizontal="left" vertical="center" wrapText="1"/>
    </xf>
    <xf numFmtId="178" fontId="0" fillId="0" borderId="0" xfId="0" applyNumberFormat="1" applyAlignment="1"/>
    <xf numFmtId="178" fontId="23" fillId="0" borderId="23" xfId="1" applyNumberFormat="1" applyFont="1" applyBorder="1" applyAlignment="1">
      <alignment horizontal="left" vertical="center"/>
    </xf>
    <xf numFmtId="0" fontId="3" fillId="0" borderId="2" xfId="1" applyFont="1" applyBorder="1" applyAlignment="1">
      <alignment horizontal="center" vertical="center" wrapText="1"/>
    </xf>
    <xf numFmtId="0" fontId="0" fillId="0" borderId="3" xfId="0" applyBorder="1" applyAlignment="1"/>
    <xf numFmtId="0" fontId="0" fillId="0" borderId="4" xfId="0" applyBorder="1" applyAlignment="1"/>
    <xf numFmtId="0" fontId="2" fillId="2" borderId="5" xfId="1" applyFont="1" applyFill="1" applyBorder="1" applyAlignment="1">
      <alignment horizontal="center" vertical="center" wrapText="1"/>
    </xf>
    <xf numFmtId="0" fontId="0" fillId="0" borderId="6" xfId="0" applyBorder="1" applyAlignment="1"/>
    <xf numFmtId="0" fontId="0" fillId="0" borderId="7" xfId="0" applyBorder="1" applyAlignment="1"/>
    <xf numFmtId="0" fontId="16" fillId="3" borderId="1" xfId="1" applyFont="1" applyFill="1" applyBorder="1" applyAlignment="1">
      <alignment horizontal="left" vertical="center" wrapText="1"/>
    </xf>
    <xf numFmtId="0" fontId="16" fillId="3" borderId="1" xfId="1" applyFont="1" applyFill="1" applyBorder="1" applyAlignment="1">
      <alignment horizontal="center" vertical="center" wrapText="1"/>
    </xf>
    <xf numFmtId="0" fontId="4" fillId="3" borderId="12" xfId="1" applyFont="1" applyFill="1" applyBorder="1" applyAlignment="1">
      <alignment horizontal="left" vertical="center" wrapText="1"/>
    </xf>
    <xf numFmtId="0" fontId="0" fillId="0" borderId="13" xfId="0" applyBorder="1" applyAlignment="1"/>
    <xf numFmtId="0" fontId="16" fillId="3" borderId="14" xfId="1" applyFont="1" applyFill="1" applyBorder="1" applyAlignment="1">
      <alignment horizontal="center" vertical="center" wrapText="1"/>
    </xf>
    <xf numFmtId="0" fontId="4" fillId="3" borderId="14" xfId="1" applyFont="1" applyFill="1" applyBorder="1" applyAlignment="1">
      <alignment horizontal="left" vertical="center" wrapText="1"/>
    </xf>
    <xf numFmtId="0" fontId="9" fillId="2" borderId="17" xfId="1" applyFont="1" applyFill="1" applyBorder="1" applyAlignment="1" applyProtection="1">
      <alignment horizontal="center" vertical="center" wrapText="1"/>
      <protection locked="0"/>
    </xf>
    <xf numFmtId="0" fontId="9" fillId="2" borderId="20" xfId="1" applyFont="1" applyFill="1" applyBorder="1" applyAlignment="1" applyProtection="1">
      <alignment horizontal="center" vertical="center" wrapText="1"/>
      <protection locked="0"/>
    </xf>
    <xf numFmtId="0" fontId="6" fillId="4" borderId="1" xfId="1" applyFont="1" applyFill="1" applyBorder="1" applyAlignment="1" applyProtection="1">
      <alignment horizontal="left" vertical="center" wrapText="1"/>
      <protection locked="0"/>
    </xf>
    <xf numFmtId="0" fontId="5" fillId="3" borderId="1" xfId="1" applyFont="1" applyFill="1" applyBorder="1" applyAlignment="1" applyProtection="1">
      <alignment horizontal="left" vertical="center" wrapText="1"/>
      <protection locked="0"/>
    </xf>
    <xf numFmtId="0" fontId="5" fillId="4" borderId="1" xfId="1" applyFont="1" applyFill="1" applyBorder="1" applyAlignment="1" applyProtection="1">
      <alignment horizontal="left" vertical="center" wrapText="1"/>
      <protection locked="0"/>
    </xf>
    <xf numFmtId="0" fontId="13" fillId="4" borderId="1" xfId="1" applyFont="1" applyFill="1" applyBorder="1" applyAlignment="1" applyProtection="1">
      <alignment horizontal="left" vertical="center" wrapText="1"/>
      <protection locked="0"/>
    </xf>
    <xf numFmtId="0" fontId="9" fillId="2" borderId="8" xfId="1" applyFont="1" applyFill="1" applyBorder="1" applyAlignment="1" applyProtection="1">
      <alignment horizontal="center" vertical="center" wrapText="1"/>
      <protection locked="0"/>
    </xf>
    <xf numFmtId="0" fontId="9" fillId="2" borderId="1" xfId="1" applyFont="1" applyFill="1" applyBorder="1" applyAlignment="1" applyProtection="1">
      <alignment horizontal="center" vertical="center" wrapText="1"/>
      <protection locked="0"/>
    </xf>
    <xf numFmtId="0" fontId="17" fillId="4" borderId="1" xfId="1" applyFont="1" applyFill="1" applyBorder="1" applyAlignment="1" applyProtection="1">
      <alignment horizontal="left" vertical="center" wrapText="1"/>
      <protection locked="0"/>
    </xf>
    <xf numFmtId="0" fontId="18" fillId="4" borderId="1" xfId="1" applyFont="1" applyFill="1" applyBorder="1" applyAlignment="1" applyProtection="1">
      <alignment horizontal="left" vertical="center" wrapText="1"/>
      <protection locked="0"/>
    </xf>
    <xf numFmtId="0" fontId="5" fillId="4" borderId="14" xfId="1" applyFont="1" applyFill="1" applyBorder="1" applyAlignment="1" applyProtection="1">
      <alignment horizontal="left" vertical="center" wrapText="1"/>
      <protection locked="0"/>
    </xf>
    <xf numFmtId="0" fontId="10" fillId="2" borderId="0" xfId="1" applyFont="1" applyFill="1" applyAlignment="1" applyProtection="1">
      <alignment vertical="center" wrapText="1"/>
      <protection locked="0"/>
    </xf>
    <xf numFmtId="0" fontId="0" fillId="0" borderId="21" xfId="0" applyBorder="1" applyAlignment="1" applyProtection="1">
      <protection locked="0"/>
    </xf>
    <xf numFmtId="0" fontId="0" fillId="0" borderId="22" xfId="0" applyBorder="1" applyAlignment="1" applyProtection="1">
      <protection locked="0"/>
    </xf>
    <xf numFmtId="0" fontId="0" fillId="0" borderId="23" xfId="0" applyBorder="1" applyAlignment="1" applyProtection="1">
      <protection locked="0"/>
    </xf>
    <xf numFmtId="0" fontId="0" fillId="0" borderId="25" xfId="0" applyBorder="1" applyAlignment="1" applyProtection="1">
      <protection locked="0"/>
    </xf>
    <xf numFmtId="0" fontId="19" fillId="4" borderId="3" xfId="1" applyFont="1" applyFill="1" applyBorder="1" applyAlignment="1">
      <alignment horizontal="left" vertical="center" wrapText="1"/>
    </xf>
    <xf numFmtId="0" fontId="2" fillId="0" borderId="0" xfId="1" applyFont="1" applyAlignment="1">
      <alignment vertical="center"/>
    </xf>
    <xf numFmtId="0" fontId="5" fillId="3" borderId="1" xfId="1" applyFont="1" applyFill="1" applyBorder="1" applyAlignment="1">
      <alignment horizontal="left" vertical="center" wrapText="1"/>
    </xf>
    <xf numFmtId="0" fontId="6" fillId="3" borderId="1" xfId="1" applyFont="1" applyFill="1" applyBorder="1" applyAlignment="1">
      <alignment horizontal="left" vertical="center" wrapText="1"/>
    </xf>
    <xf numFmtId="0" fontId="5" fillId="3" borderId="1" xfId="1" applyFont="1" applyFill="1" applyBorder="1" applyAlignment="1">
      <alignment horizontal="center" vertical="center" wrapText="1"/>
    </xf>
    <xf numFmtId="0" fontId="6" fillId="3" borderId="14" xfId="1" applyFont="1" applyFill="1" applyBorder="1" applyAlignment="1">
      <alignment horizontal="center" vertical="center" wrapText="1"/>
    </xf>
    <xf numFmtId="0" fontId="11" fillId="4" borderId="1" xfId="1" applyFont="1" applyFill="1" applyBorder="1" applyAlignment="1" applyProtection="1">
      <alignment horizontal="left" vertical="center" wrapText="1"/>
      <protection locked="0"/>
    </xf>
    <xf numFmtId="0" fontId="14" fillId="4" borderId="1" xfId="1" applyFont="1" applyFill="1" applyBorder="1" applyAlignment="1" applyProtection="1">
      <alignment horizontal="left" vertical="center" wrapText="1"/>
      <protection locked="0"/>
    </xf>
    <xf numFmtId="0" fontId="7" fillId="0" borderId="0" xfId="1" applyFont="1" applyAlignment="1">
      <alignment vertical="center" wrapText="1"/>
    </xf>
  </cellXfs>
  <cellStyles count="7">
    <cellStyle name="Normal 2" xfId="1" xr:uid="{00000000-0005-0000-0000-000031000000}"/>
    <cellStyle name="Normal 3" xfId="2" xr:uid="{00000000-0005-0000-0000-000032000000}"/>
    <cellStyle name="Normal 4" xfId="3" xr:uid="{00000000-0005-0000-0000-000033000000}"/>
    <cellStyle name="Normal 6" xfId="6" xr:uid="{00000000-0005-0000-0000-000036000000}"/>
    <cellStyle name="常规" xfId="0" builtinId="0"/>
    <cellStyle name="常规 2" xfId="4" xr:uid="{00000000-0005-0000-0000-000034000000}"/>
    <cellStyle name="常规 3" xfId="5" xr:uid="{00000000-0005-0000-0000-000035000000}"/>
  </cellStyles>
  <dxfs count="1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FF00"/>
        </patternFill>
      </fill>
    </dxf>
    <dxf>
      <font>
        <color auto="1"/>
      </font>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
  <sheetViews>
    <sheetView tabSelected="1" workbookViewId="0">
      <selection activeCell="E26" sqref="E26"/>
    </sheetView>
  </sheetViews>
  <sheetFormatPr defaultColWidth="9" defaultRowHeight="14.4"/>
  <cols>
    <col min="1" max="1" width="17" style="22" customWidth="1"/>
    <col min="2" max="2" width="19.88671875" style="22" customWidth="1"/>
    <col min="3" max="3" width="16.109375" style="64" customWidth="1"/>
    <col min="4" max="5" width="16.44140625" style="22" customWidth="1"/>
    <col min="6" max="6" width="18" style="22" customWidth="1"/>
    <col min="7" max="7" width="24.88671875" style="64" customWidth="1"/>
    <col min="8" max="8" width="23.33203125" style="64" customWidth="1"/>
    <col min="9" max="9" width="26.33203125" style="64" customWidth="1"/>
    <col min="10" max="10" width="22.88671875" style="22" customWidth="1"/>
    <col min="11" max="11" width="18.88671875" style="22" customWidth="1"/>
    <col min="12" max="12" width="55.44140625" style="64" customWidth="1"/>
    <col min="13" max="13" width="21.88671875" style="22" customWidth="1"/>
    <col min="14" max="14" width="9" style="64" customWidth="1"/>
    <col min="15" max="16384" width="9" style="64"/>
  </cols>
  <sheetData>
    <row r="1" spans="1:13" ht="15.65" customHeight="1">
      <c r="A1" s="114" t="s">
        <v>0</v>
      </c>
      <c r="B1" s="115"/>
      <c r="C1" s="115"/>
      <c r="D1" s="115"/>
      <c r="E1" s="115"/>
      <c r="F1" s="115"/>
      <c r="G1" s="115"/>
      <c r="H1" s="115"/>
      <c r="I1" s="115"/>
      <c r="J1" s="115"/>
      <c r="K1" s="116"/>
      <c r="L1" s="65"/>
      <c r="M1" s="65"/>
    </row>
    <row r="2" spans="1:13" ht="12.7" customHeight="1">
      <c r="A2" s="117"/>
      <c r="B2" s="118"/>
      <c r="C2" s="118"/>
      <c r="D2" s="118"/>
      <c r="E2" s="118"/>
      <c r="F2" s="118"/>
      <c r="G2" s="118"/>
      <c r="H2" s="118"/>
      <c r="I2" s="118"/>
      <c r="J2" s="118"/>
      <c r="K2" s="119"/>
      <c r="L2" s="65"/>
      <c r="M2" s="65"/>
    </row>
    <row r="3" spans="1:13" ht="12.7" customHeight="1">
      <c r="A3" s="66" t="s">
        <v>1</v>
      </c>
      <c r="B3" s="67"/>
      <c r="C3" s="68" t="s">
        <v>2</v>
      </c>
      <c r="D3" s="120"/>
      <c r="E3" s="121"/>
      <c r="F3" s="68" t="s">
        <v>3</v>
      </c>
      <c r="G3" s="67"/>
      <c r="H3" s="67" t="s">
        <v>4</v>
      </c>
      <c r="I3" s="122"/>
      <c r="J3" s="123"/>
      <c r="K3" s="121"/>
      <c r="L3" s="70" t="s">
        <v>5</v>
      </c>
    </row>
    <row r="4" spans="1:13" ht="12.7" customHeight="1">
      <c r="A4" s="66" t="s">
        <v>6</v>
      </c>
      <c r="B4" s="120"/>
      <c r="C4" s="121"/>
      <c r="D4" s="68" t="s">
        <v>7</v>
      </c>
      <c r="E4" s="69"/>
      <c r="F4" s="68" t="s">
        <v>8</v>
      </c>
      <c r="G4" s="71"/>
      <c r="H4" s="68" t="s">
        <v>9</v>
      </c>
      <c r="I4" s="72"/>
      <c r="J4" s="68" t="s">
        <v>10</v>
      </c>
      <c r="K4" s="73"/>
      <c r="L4" s="65"/>
      <c r="M4" s="65"/>
    </row>
    <row r="5" spans="1:13" ht="12.7" customHeight="1">
      <c r="A5" s="124" t="s">
        <v>11</v>
      </c>
      <c r="B5" s="125"/>
      <c r="C5" s="126"/>
      <c r="D5" s="125"/>
      <c r="E5" s="127" t="s">
        <v>12</v>
      </c>
      <c r="F5" s="125"/>
      <c r="G5" s="74"/>
      <c r="H5" s="75"/>
      <c r="I5" s="76"/>
      <c r="J5" s="75"/>
      <c r="K5" s="77"/>
      <c r="L5" s="65"/>
      <c r="M5" s="65"/>
    </row>
    <row r="6" spans="1:13" ht="15.05" customHeight="1">
      <c r="A6" s="128" t="s">
        <v>13</v>
      </c>
      <c r="B6" s="129"/>
      <c r="C6" s="129"/>
      <c r="D6" s="129"/>
      <c r="E6" s="130"/>
      <c r="F6" s="131"/>
      <c r="G6" s="132"/>
      <c r="H6" s="132"/>
      <c r="I6" s="132"/>
      <c r="J6" s="132"/>
      <c r="K6" s="133"/>
      <c r="L6" s="65"/>
    </row>
    <row r="7" spans="1:13" ht="15.05" customHeight="1">
      <c r="A7" s="78" t="s">
        <v>14</v>
      </c>
      <c r="B7" s="134"/>
      <c r="C7" s="123"/>
      <c r="D7" s="123"/>
      <c r="E7" s="121"/>
      <c r="F7" s="80"/>
      <c r="G7" s="135"/>
      <c r="H7" s="132"/>
      <c r="I7" s="132"/>
      <c r="J7" s="132"/>
      <c r="K7" s="136"/>
      <c r="L7" s="65"/>
    </row>
    <row r="8" spans="1:13" ht="15.05" customHeight="1">
      <c r="A8" s="78" t="s">
        <v>15</v>
      </c>
      <c r="B8" s="134"/>
      <c r="C8" s="123"/>
      <c r="D8" s="123"/>
      <c r="E8" s="121"/>
      <c r="F8" s="81" t="s">
        <v>16</v>
      </c>
      <c r="G8" s="135"/>
      <c r="H8" s="132"/>
      <c r="I8" s="132"/>
      <c r="J8" s="132"/>
      <c r="K8" s="136"/>
      <c r="L8" s="65"/>
    </row>
    <row r="9" spans="1:13" ht="15.05" customHeight="1">
      <c r="A9" s="78" t="s">
        <v>17</v>
      </c>
      <c r="B9" s="82"/>
      <c r="C9" s="83" t="s">
        <v>18</v>
      </c>
      <c r="D9" s="134"/>
      <c r="E9" s="121"/>
      <c r="F9" s="84" t="s">
        <v>19</v>
      </c>
      <c r="G9" s="132"/>
      <c r="H9" s="132"/>
      <c r="I9" s="132"/>
      <c r="J9" s="132"/>
      <c r="K9" s="136"/>
      <c r="L9" s="65"/>
      <c r="M9" s="65"/>
    </row>
    <row r="10" spans="1:13" ht="15.05" customHeight="1">
      <c r="A10" s="78" t="s">
        <v>20</v>
      </c>
      <c r="B10" s="79"/>
      <c r="C10" s="83" t="s">
        <v>21</v>
      </c>
      <c r="D10" s="134"/>
      <c r="E10" s="121"/>
      <c r="F10" s="80"/>
      <c r="G10" s="132"/>
      <c r="H10" s="132"/>
      <c r="I10" s="132"/>
      <c r="J10" s="132"/>
      <c r="K10" s="136"/>
      <c r="L10" s="65"/>
      <c r="M10" s="65"/>
    </row>
    <row r="11" spans="1:13" ht="15.05" customHeight="1">
      <c r="A11" s="137" t="s">
        <v>22</v>
      </c>
      <c r="B11" s="123"/>
      <c r="C11" s="123"/>
      <c r="D11" s="123"/>
      <c r="E11" s="121"/>
      <c r="F11" s="138"/>
      <c r="G11" s="132"/>
      <c r="H11" s="132"/>
      <c r="I11" s="132"/>
      <c r="J11" s="132"/>
      <c r="K11" s="136"/>
      <c r="L11" s="65"/>
      <c r="M11" s="65"/>
    </row>
    <row r="12" spans="1:13" ht="15.05" customHeight="1">
      <c r="A12" s="78" t="s">
        <v>14</v>
      </c>
      <c r="B12" s="134"/>
      <c r="C12" s="123"/>
      <c r="D12" s="123"/>
      <c r="E12" s="121"/>
      <c r="F12" s="80"/>
      <c r="G12" s="135"/>
      <c r="H12" s="132"/>
      <c r="I12" s="132"/>
      <c r="J12" s="132"/>
      <c r="K12" s="136"/>
      <c r="L12" s="65"/>
      <c r="M12" s="65"/>
    </row>
    <row r="13" spans="1:13" ht="15.05" customHeight="1">
      <c r="A13" s="78" t="s">
        <v>15</v>
      </c>
      <c r="B13" s="134"/>
      <c r="C13" s="123"/>
      <c r="D13" s="123"/>
      <c r="E13" s="121"/>
      <c r="F13" s="80"/>
      <c r="G13" s="135"/>
      <c r="H13" s="132"/>
      <c r="I13" s="132"/>
      <c r="J13" s="132"/>
      <c r="K13" s="136"/>
      <c r="L13" s="65"/>
      <c r="M13" s="85"/>
    </row>
    <row r="14" spans="1:13" ht="15.05" customHeight="1">
      <c r="A14" s="78" t="s">
        <v>17</v>
      </c>
      <c r="B14" s="82"/>
      <c r="C14" s="83" t="s">
        <v>18</v>
      </c>
      <c r="D14" s="134"/>
      <c r="E14" s="121"/>
      <c r="F14" s="80"/>
      <c r="G14" s="132"/>
      <c r="H14" s="132"/>
      <c r="I14" s="132"/>
      <c r="J14" s="132"/>
      <c r="K14" s="136"/>
      <c r="L14" s="65"/>
      <c r="M14" s="65"/>
    </row>
    <row r="15" spans="1:13" ht="15.05" customHeight="1">
      <c r="A15" s="78" t="s">
        <v>20</v>
      </c>
      <c r="B15" s="79"/>
      <c r="C15" s="83" t="s">
        <v>21</v>
      </c>
      <c r="D15" s="134"/>
      <c r="E15" s="121"/>
      <c r="F15" s="80"/>
      <c r="G15" s="132"/>
      <c r="H15" s="132"/>
      <c r="I15" s="132"/>
      <c r="J15" s="132"/>
      <c r="K15" s="136"/>
      <c r="L15" s="65"/>
      <c r="M15" s="65"/>
    </row>
    <row r="16" spans="1:13" ht="15.05" customHeight="1">
      <c r="A16" s="137" t="s">
        <v>27</v>
      </c>
      <c r="B16" s="123"/>
      <c r="C16" s="123"/>
      <c r="D16" s="123"/>
      <c r="E16" s="121"/>
      <c r="F16" s="138"/>
      <c r="G16" s="132"/>
      <c r="H16" s="132"/>
      <c r="I16" s="132"/>
      <c r="J16" s="132"/>
      <c r="K16" s="136"/>
      <c r="L16" s="65"/>
      <c r="M16" s="65"/>
    </row>
    <row r="17" spans="1:14" ht="15.05" customHeight="1">
      <c r="A17" s="78" t="s">
        <v>14</v>
      </c>
      <c r="B17" s="134"/>
      <c r="C17" s="123"/>
      <c r="D17" s="123"/>
      <c r="E17" s="121"/>
      <c r="F17" s="80"/>
      <c r="G17" s="139"/>
      <c r="H17" s="132"/>
      <c r="I17" s="132"/>
      <c r="J17" s="132"/>
      <c r="K17" s="136"/>
      <c r="L17" s="65"/>
      <c r="M17" s="65"/>
    </row>
    <row r="18" spans="1:14" ht="15.05" customHeight="1">
      <c r="A18" s="78" t="s">
        <v>15</v>
      </c>
      <c r="B18" s="134"/>
      <c r="C18" s="123"/>
      <c r="D18" s="123"/>
      <c r="E18" s="121"/>
      <c r="F18" s="80"/>
      <c r="G18" s="145"/>
      <c r="H18" s="132"/>
      <c r="I18" s="132"/>
      <c r="J18" s="132"/>
      <c r="K18" s="136"/>
      <c r="L18" s="65"/>
      <c r="M18" s="65"/>
    </row>
    <row r="19" spans="1:14" ht="15.05" customHeight="1">
      <c r="A19" s="78" t="s">
        <v>17</v>
      </c>
      <c r="B19" s="82"/>
      <c r="C19" s="83" t="s">
        <v>18</v>
      </c>
      <c r="D19" s="134"/>
      <c r="E19" s="121"/>
      <c r="F19" s="80"/>
      <c r="G19" s="132"/>
      <c r="H19" s="132"/>
      <c r="I19" s="132"/>
      <c r="J19" s="132"/>
      <c r="K19" s="136"/>
      <c r="L19" s="65"/>
      <c r="M19" s="65"/>
    </row>
    <row r="20" spans="1:14" ht="15.65" customHeight="1">
      <c r="A20" s="86" t="s">
        <v>20</v>
      </c>
      <c r="B20" s="87"/>
      <c r="C20" s="88" t="s">
        <v>21</v>
      </c>
      <c r="D20" s="140"/>
      <c r="E20" s="125"/>
      <c r="F20" s="89"/>
      <c r="G20" s="146"/>
      <c r="H20" s="146"/>
      <c r="I20" s="146"/>
      <c r="J20" s="146"/>
      <c r="K20" s="147"/>
      <c r="L20" s="65"/>
      <c r="M20" s="65"/>
      <c r="N20" s="65"/>
    </row>
    <row r="21" spans="1:14" ht="15.65" customHeight="1">
      <c r="A21" s="141"/>
      <c r="B21" s="132"/>
      <c r="C21" s="132"/>
      <c r="D21" s="132"/>
      <c r="E21" s="132"/>
      <c r="F21" s="132"/>
      <c r="G21" s="132"/>
      <c r="H21" s="132"/>
      <c r="I21" s="132"/>
      <c r="J21" s="132"/>
      <c r="K21" s="132"/>
      <c r="L21" s="65"/>
      <c r="M21" s="65"/>
    </row>
    <row r="22" spans="1:14" ht="36.799999999999997" customHeight="1">
      <c r="A22" s="90" t="s">
        <v>29</v>
      </c>
      <c r="B22" s="28" t="s">
        <v>30</v>
      </c>
      <c r="C22" s="28" t="s">
        <v>31</v>
      </c>
      <c r="D22" s="28" t="s">
        <v>32</v>
      </c>
      <c r="E22" s="28" t="s">
        <v>33</v>
      </c>
      <c r="F22" s="28" t="s">
        <v>34</v>
      </c>
      <c r="G22" s="48" t="s">
        <v>35</v>
      </c>
      <c r="H22" s="48" t="s">
        <v>36</v>
      </c>
      <c r="I22" s="48" t="s">
        <v>37</v>
      </c>
      <c r="J22" s="48" t="s">
        <v>38</v>
      </c>
      <c r="K22" s="91" t="s">
        <v>39</v>
      </c>
      <c r="L22" s="92" t="s">
        <v>40</v>
      </c>
      <c r="M22" s="93" t="s">
        <v>41</v>
      </c>
    </row>
    <row r="23" spans="1:14" ht="15.05" customHeight="1">
      <c r="A23" s="94"/>
      <c r="B23" s="95"/>
      <c r="C23" s="96"/>
      <c r="D23" s="97" t="s">
        <v>42</v>
      </c>
      <c r="E23" s="96"/>
      <c r="F23" s="96"/>
      <c r="G23" s="98"/>
      <c r="H23" s="99"/>
      <c r="I23" s="100"/>
      <c r="J23" s="101"/>
      <c r="K23" s="102"/>
      <c r="L23" s="70" t="s">
        <v>43</v>
      </c>
    </row>
    <row r="24" spans="1:14" ht="15.05" customHeight="1">
      <c r="A24" s="94"/>
      <c r="B24" s="95"/>
      <c r="C24" s="96"/>
      <c r="D24" s="97"/>
      <c r="E24" s="96"/>
      <c r="F24" s="96"/>
      <c r="G24" s="98"/>
      <c r="H24" s="99"/>
      <c r="I24" s="100"/>
      <c r="J24" s="101"/>
      <c r="K24" s="102"/>
      <c r="L24" s="142" t="s">
        <v>44</v>
      </c>
      <c r="M24" s="65"/>
    </row>
    <row r="25" spans="1:14" ht="15.05" customHeight="1">
      <c r="A25" s="94"/>
      <c r="B25" s="95"/>
      <c r="C25" s="96"/>
      <c r="D25" s="97"/>
      <c r="E25" s="96"/>
      <c r="F25" s="96"/>
      <c r="G25" s="98"/>
      <c r="H25" s="99"/>
      <c r="I25" s="100"/>
      <c r="J25" s="101"/>
      <c r="K25" s="102"/>
      <c r="L25" s="143"/>
    </row>
    <row r="26" spans="1:14" ht="15.05" customHeight="1">
      <c r="A26" s="94"/>
      <c r="B26" s="95"/>
      <c r="C26" s="96"/>
      <c r="D26" s="97"/>
      <c r="E26" s="96"/>
      <c r="F26" s="96"/>
      <c r="G26" s="98"/>
      <c r="H26" s="99"/>
      <c r="I26" s="100"/>
      <c r="J26" s="101"/>
      <c r="K26" s="102"/>
      <c r="L26" s="143"/>
      <c r="M26" s="65"/>
    </row>
    <row r="27" spans="1:14" ht="15.05" customHeight="1">
      <c r="A27" s="94"/>
      <c r="B27" s="95"/>
      <c r="C27" s="96"/>
      <c r="D27" s="97"/>
      <c r="E27" s="96"/>
      <c r="F27" s="96"/>
      <c r="G27" s="98"/>
      <c r="H27" s="99"/>
      <c r="I27" s="100"/>
      <c r="J27" s="101"/>
      <c r="K27" s="102"/>
      <c r="L27" s="143"/>
      <c r="M27" s="65"/>
    </row>
    <row r="28" spans="1:14" ht="15.05" customHeight="1">
      <c r="A28" s="94"/>
      <c r="B28" s="95"/>
      <c r="C28" s="96"/>
      <c r="D28" s="97"/>
      <c r="E28" s="96"/>
      <c r="F28" s="96"/>
      <c r="G28" s="98"/>
      <c r="H28" s="99"/>
      <c r="I28" s="100"/>
      <c r="J28" s="101"/>
      <c r="K28" s="102"/>
      <c r="L28" s="143"/>
      <c r="M28" s="65"/>
    </row>
    <row r="29" spans="1:14" ht="15.05" customHeight="1">
      <c r="A29" s="94"/>
      <c r="B29" s="95"/>
      <c r="C29" s="96"/>
      <c r="D29" s="97"/>
      <c r="E29" s="96"/>
      <c r="F29" s="96"/>
      <c r="G29" s="98"/>
      <c r="H29" s="99"/>
      <c r="I29" s="100"/>
      <c r="J29" s="101"/>
      <c r="K29" s="102"/>
      <c r="L29" s="143"/>
      <c r="M29" s="65"/>
    </row>
    <row r="30" spans="1:14" ht="15.05" customHeight="1">
      <c r="A30" s="94"/>
      <c r="B30" s="95"/>
      <c r="C30" s="96"/>
      <c r="D30" s="97"/>
      <c r="E30" s="96"/>
      <c r="F30" s="96"/>
      <c r="G30" s="98"/>
      <c r="H30" s="99"/>
      <c r="I30" s="100"/>
      <c r="J30" s="101"/>
      <c r="K30" s="102"/>
      <c r="L30" s="103" t="s">
        <v>45</v>
      </c>
      <c r="M30" s="65"/>
    </row>
    <row r="31" spans="1:14" ht="15.05" customHeight="1">
      <c r="A31" s="94"/>
      <c r="B31" s="95"/>
      <c r="C31" s="96"/>
      <c r="D31" s="97"/>
      <c r="E31" s="96"/>
      <c r="F31" s="96"/>
      <c r="G31" s="98"/>
      <c r="H31" s="99"/>
      <c r="I31" s="100"/>
      <c r="J31" s="101"/>
      <c r="K31" s="102"/>
      <c r="L31" s="142" t="s">
        <v>46</v>
      </c>
      <c r="M31" s="65"/>
    </row>
    <row r="32" spans="1:14" ht="15.05" customHeight="1">
      <c r="A32" s="94"/>
      <c r="B32" s="95"/>
      <c r="C32" s="96"/>
      <c r="D32" s="97"/>
      <c r="E32" s="96"/>
      <c r="F32" s="96"/>
      <c r="G32" s="98"/>
      <c r="H32" s="99"/>
      <c r="I32" s="100"/>
      <c r="J32" s="101"/>
      <c r="K32" s="102"/>
      <c r="L32" s="143"/>
      <c r="M32" s="65"/>
    </row>
    <row r="33" spans="1:13" ht="15.05" customHeight="1">
      <c r="A33" s="94"/>
      <c r="B33" s="95"/>
      <c r="C33" s="96"/>
      <c r="D33" s="97"/>
      <c r="E33" s="96"/>
      <c r="F33" s="96"/>
      <c r="G33" s="98"/>
      <c r="H33" s="99"/>
      <c r="I33" s="100"/>
      <c r="J33" s="101"/>
      <c r="K33" s="102"/>
      <c r="L33" s="143"/>
      <c r="M33" s="65"/>
    </row>
    <row r="34" spans="1:13" ht="15.05" customHeight="1">
      <c r="A34" s="94"/>
      <c r="B34" s="95"/>
      <c r="C34" s="96"/>
      <c r="D34" s="97"/>
      <c r="E34" s="96"/>
      <c r="F34" s="96"/>
      <c r="G34" s="98"/>
      <c r="H34" s="99"/>
      <c r="I34" s="100"/>
      <c r="J34" s="101"/>
      <c r="K34" s="102"/>
      <c r="L34" s="143"/>
      <c r="M34" s="65"/>
    </row>
    <row r="35" spans="1:13" ht="15.05" customHeight="1">
      <c r="A35" s="94"/>
      <c r="B35" s="95"/>
      <c r="C35" s="96"/>
      <c r="D35" s="97"/>
      <c r="E35" s="96"/>
      <c r="F35" s="96"/>
      <c r="G35" s="98"/>
      <c r="H35" s="99"/>
      <c r="I35" s="100"/>
      <c r="J35" s="101"/>
      <c r="K35" s="102"/>
      <c r="L35" s="143"/>
      <c r="M35" s="65"/>
    </row>
    <row r="36" spans="1:13" ht="15.05" customHeight="1">
      <c r="A36" s="94"/>
      <c r="B36" s="95"/>
      <c r="C36" s="96"/>
      <c r="D36" s="97"/>
      <c r="E36" s="96"/>
      <c r="F36" s="96"/>
      <c r="G36" s="98"/>
      <c r="H36" s="99"/>
      <c r="I36" s="100"/>
      <c r="J36" s="101"/>
      <c r="K36" s="102"/>
      <c r="L36" s="143"/>
      <c r="M36" s="65"/>
    </row>
    <row r="37" spans="1:13" ht="15.05" customHeight="1">
      <c r="A37" s="104"/>
      <c r="B37" s="105"/>
      <c r="C37" s="106"/>
      <c r="D37" s="107"/>
      <c r="E37" s="106"/>
      <c r="F37" s="106"/>
      <c r="G37" s="108"/>
      <c r="H37" s="99"/>
      <c r="I37" s="109"/>
      <c r="J37" s="110"/>
      <c r="K37" s="111"/>
      <c r="L37" s="143"/>
      <c r="M37" s="65"/>
    </row>
    <row r="38" spans="1:13" ht="15.05" customHeight="1">
      <c r="A38" s="104"/>
      <c r="B38" s="105"/>
      <c r="C38" s="106"/>
      <c r="D38" s="107"/>
      <c r="E38" s="106"/>
      <c r="F38" s="106"/>
      <c r="G38" s="108"/>
      <c r="H38" s="99"/>
      <c r="I38" s="109"/>
      <c r="J38" s="110"/>
      <c r="K38" s="111"/>
      <c r="L38" s="143"/>
      <c r="M38" s="65"/>
    </row>
    <row r="39" spans="1:13" ht="15.05" customHeight="1">
      <c r="A39" s="104"/>
      <c r="B39" s="105"/>
      <c r="C39" s="106"/>
      <c r="D39" s="107"/>
      <c r="E39" s="106"/>
      <c r="F39" s="106"/>
      <c r="G39" s="108"/>
      <c r="H39" s="99"/>
      <c r="I39" s="109"/>
      <c r="J39" s="110"/>
      <c r="K39" s="111"/>
      <c r="L39" s="143"/>
      <c r="M39" s="65"/>
    </row>
    <row r="40" spans="1:13" ht="15.05" customHeight="1">
      <c r="A40" s="104"/>
      <c r="B40" s="105"/>
      <c r="C40" s="106"/>
      <c r="D40" s="107"/>
      <c r="E40" s="106"/>
      <c r="F40" s="106"/>
      <c r="G40" s="108"/>
      <c r="H40" s="99"/>
      <c r="I40" s="109"/>
      <c r="J40" s="110"/>
      <c r="K40" s="111"/>
      <c r="L40" s="143"/>
      <c r="M40" s="65"/>
    </row>
    <row r="41" spans="1:13" ht="15.05" customHeight="1">
      <c r="A41" s="104"/>
      <c r="B41" s="105"/>
      <c r="C41" s="106"/>
      <c r="D41" s="107"/>
      <c r="E41" s="106"/>
      <c r="F41" s="106"/>
      <c r="G41" s="108"/>
      <c r="H41" s="99"/>
      <c r="I41" s="109"/>
      <c r="J41" s="110"/>
      <c r="K41" s="111"/>
      <c r="L41" s="144" t="s">
        <v>47</v>
      </c>
      <c r="M41" s="65"/>
    </row>
    <row r="42" spans="1:13" ht="15.05" customHeight="1">
      <c r="A42" s="104"/>
      <c r="B42" s="105"/>
      <c r="C42" s="106"/>
      <c r="D42" s="107"/>
      <c r="E42" s="106"/>
      <c r="F42" s="106"/>
      <c r="G42" s="108"/>
      <c r="H42" s="99"/>
      <c r="I42" s="109"/>
      <c r="J42" s="110"/>
      <c r="K42" s="111"/>
      <c r="L42" s="143"/>
      <c r="M42" s="65"/>
    </row>
    <row r="43" spans="1:13" ht="15.05" customHeight="1">
      <c r="A43" s="104"/>
      <c r="B43" s="105"/>
      <c r="C43" s="106"/>
      <c r="D43" s="107"/>
      <c r="E43" s="106"/>
      <c r="F43" s="106"/>
      <c r="G43" s="108"/>
      <c r="H43" s="99"/>
      <c r="I43" s="109"/>
      <c r="J43" s="110"/>
      <c r="K43" s="111"/>
      <c r="L43" s="143"/>
      <c r="M43" s="65"/>
    </row>
    <row r="44" spans="1:13" ht="15.05" customHeight="1">
      <c r="A44" s="104"/>
      <c r="B44" s="105"/>
      <c r="C44" s="106"/>
      <c r="D44" s="107"/>
      <c r="E44" s="106"/>
      <c r="F44" s="106"/>
      <c r="G44" s="108"/>
      <c r="H44" s="99"/>
      <c r="I44" s="109"/>
      <c r="J44" s="110"/>
      <c r="K44" s="111"/>
      <c r="L44" s="143"/>
      <c r="M44" s="65"/>
    </row>
    <row r="45" spans="1:13" ht="15.05" customHeight="1">
      <c r="A45" s="104"/>
      <c r="B45" s="105"/>
      <c r="C45" s="106"/>
      <c r="D45" s="107"/>
      <c r="E45" s="106"/>
      <c r="F45" s="106"/>
      <c r="G45" s="108"/>
      <c r="H45" s="99"/>
      <c r="I45" s="109"/>
      <c r="J45" s="110"/>
      <c r="K45" s="111"/>
      <c r="L45" s="143"/>
      <c r="M45" s="65"/>
    </row>
    <row r="46" spans="1:13" ht="15.05" customHeight="1">
      <c r="A46" s="104"/>
      <c r="B46" s="105"/>
      <c r="C46" s="106"/>
      <c r="D46" s="107"/>
      <c r="E46" s="106"/>
      <c r="F46" s="106"/>
      <c r="G46" s="108"/>
      <c r="H46" s="99"/>
      <c r="I46" s="109"/>
      <c r="J46" s="110"/>
      <c r="K46" s="111"/>
      <c r="L46" s="143"/>
      <c r="M46" s="65"/>
    </row>
    <row r="47" spans="1:13" ht="15.05" customHeight="1">
      <c r="A47" s="104"/>
      <c r="B47" s="105"/>
      <c r="C47" s="106"/>
      <c r="D47" s="107"/>
      <c r="E47" s="106"/>
      <c r="F47" s="106"/>
      <c r="G47" s="108"/>
      <c r="H47" s="99"/>
      <c r="I47" s="109"/>
      <c r="J47" s="110"/>
      <c r="K47" s="111"/>
      <c r="L47" s="143"/>
      <c r="M47" s="65"/>
    </row>
    <row r="48" spans="1:13" ht="15.05" customHeight="1">
      <c r="A48" s="104"/>
      <c r="B48" s="105"/>
      <c r="C48" s="106"/>
      <c r="D48" s="107"/>
      <c r="E48" s="106"/>
      <c r="F48" s="106"/>
      <c r="G48" s="108"/>
      <c r="H48" s="99"/>
      <c r="I48" s="109"/>
      <c r="J48" s="110"/>
      <c r="K48" s="111"/>
      <c r="L48" s="143"/>
      <c r="M48" s="65"/>
    </row>
    <row r="49" spans="1:13" ht="15.05" customHeight="1">
      <c r="A49" s="104"/>
      <c r="B49" s="105"/>
      <c r="C49" s="106"/>
      <c r="D49" s="107"/>
      <c r="E49" s="106"/>
      <c r="F49" s="106"/>
      <c r="G49" s="108"/>
      <c r="H49" s="99"/>
      <c r="I49" s="109"/>
      <c r="J49" s="110"/>
      <c r="K49" s="111"/>
      <c r="L49" s="143"/>
      <c r="M49" s="65"/>
    </row>
    <row r="50" spans="1:13" ht="15.05" customHeight="1">
      <c r="A50" s="104"/>
      <c r="B50" s="105"/>
      <c r="C50" s="106"/>
      <c r="D50" s="107"/>
      <c r="E50" s="106"/>
      <c r="F50" s="106"/>
      <c r="G50" s="108"/>
      <c r="H50" s="99"/>
      <c r="I50" s="109"/>
      <c r="J50" s="110"/>
      <c r="K50" s="111"/>
      <c r="L50" s="112"/>
      <c r="M50" s="65"/>
    </row>
    <row r="51" spans="1:13" ht="15.05" customHeight="1">
      <c r="A51" s="104"/>
      <c r="B51" s="105"/>
      <c r="C51" s="106"/>
      <c r="D51" s="107"/>
      <c r="E51" s="106"/>
      <c r="F51" s="106"/>
      <c r="G51" s="108"/>
      <c r="H51" s="99"/>
      <c r="I51" s="109"/>
      <c r="J51" s="110"/>
      <c r="K51" s="111"/>
      <c r="L51" s="112"/>
      <c r="M51" s="65"/>
    </row>
    <row r="52" spans="1:13" ht="15.05" customHeight="1">
      <c r="A52" s="104"/>
      <c r="B52" s="105"/>
      <c r="C52" s="106"/>
      <c r="D52" s="107"/>
      <c r="E52" s="106"/>
      <c r="F52" s="106"/>
      <c r="G52" s="108"/>
      <c r="H52" s="99"/>
      <c r="I52" s="109"/>
      <c r="J52" s="110"/>
      <c r="K52" s="111"/>
      <c r="L52" s="112"/>
      <c r="M52" s="65"/>
    </row>
    <row r="53" spans="1:13" ht="15.05" customHeight="1">
      <c r="A53" s="104"/>
      <c r="B53" s="105"/>
      <c r="C53" s="106"/>
      <c r="D53" s="107"/>
      <c r="E53" s="106"/>
      <c r="F53" s="106"/>
      <c r="G53" s="108"/>
      <c r="H53" s="99"/>
      <c r="I53" s="109"/>
      <c r="J53" s="110"/>
      <c r="K53" s="111"/>
      <c r="L53" s="112"/>
      <c r="M53" s="65"/>
    </row>
    <row r="54" spans="1:13" ht="15.05" customHeight="1">
      <c r="A54" s="104"/>
      <c r="B54" s="105"/>
      <c r="C54" s="106"/>
      <c r="D54" s="107"/>
      <c r="E54" s="106"/>
      <c r="F54" s="106"/>
      <c r="G54" s="108"/>
      <c r="H54" s="99"/>
      <c r="I54" s="109"/>
      <c r="J54" s="110"/>
      <c r="K54" s="111"/>
      <c r="L54" s="112"/>
      <c r="M54" s="65"/>
    </row>
    <row r="55" spans="1:13" ht="15.05" customHeight="1">
      <c r="A55" s="104"/>
      <c r="B55" s="105"/>
      <c r="C55" s="106"/>
      <c r="D55" s="107"/>
      <c r="E55" s="106"/>
      <c r="F55" s="106"/>
      <c r="G55" s="108"/>
      <c r="H55" s="99"/>
      <c r="I55" s="109"/>
      <c r="J55" s="110"/>
      <c r="K55" s="111"/>
      <c r="L55" s="112"/>
      <c r="M55" s="65"/>
    </row>
    <row r="56" spans="1:13" ht="15.05" customHeight="1">
      <c r="A56" s="104"/>
      <c r="B56" s="105"/>
      <c r="C56" s="106"/>
      <c r="D56" s="107"/>
      <c r="E56" s="106"/>
      <c r="F56" s="106"/>
      <c r="G56" s="108"/>
      <c r="H56" s="99"/>
      <c r="I56" s="109"/>
      <c r="J56" s="110"/>
      <c r="K56" s="111"/>
      <c r="L56" s="112"/>
      <c r="M56" s="65"/>
    </row>
    <row r="57" spans="1:13" ht="15.05" customHeight="1">
      <c r="A57" s="104"/>
      <c r="B57" s="105"/>
      <c r="C57" s="106"/>
      <c r="D57" s="107"/>
      <c r="E57" s="106"/>
      <c r="F57" s="106"/>
      <c r="G57" s="108"/>
      <c r="H57" s="99"/>
      <c r="I57" s="109"/>
      <c r="J57" s="110"/>
      <c r="K57" s="111"/>
      <c r="L57" s="112"/>
      <c r="M57" s="65"/>
    </row>
    <row r="58" spans="1:13" ht="15.05" customHeight="1">
      <c r="A58" s="104"/>
      <c r="B58" s="105"/>
      <c r="C58" s="106"/>
      <c r="D58" s="107"/>
      <c r="E58" s="106"/>
      <c r="F58" s="106"/>
      <c r="G58" s="108"/>
      <c r="H58" s="99"/>
      <c r="I58" s="109"/>
      <c r="J58" s="110"/>
      <c r="K58" s="111"/>
      <c r="L58" s="112"/>
      <c r="M58" s="65"/>
    </row>
    <row r="59" spans="1:13" ht="15.05" customHeight="1">
      <c r="A59" s="104"/>
      <c r="B59" s="105"/>
      <c r="C59" s="106"/>
      <c r="D59" s="107"/>
      <c r="E59" s="106"/>
      <c r="F59" s="106"/>
      <c r="G59" s="108"/>
      <c r="H59" s="99"/>
      <c r="I59" s="109"/>
      <c r="J59" s="110"/>
      <c r="K59" s="111"/>
      <c r="L59" s="112"/>
      <c r="M59" s="65"/>
    </row>
    <row r="60" spans="1:13" ht="15.05" customHeight="1">
      <c r="A60" s="95"/>
      <c r="B60" s="95"/>
      <c r="C60" s="96"/>
      <c r="D60" s="97"/>
      <c r="E60" s="96"/>
      <c r="F60" s="96"/>
      <c r="G60" s="99"/>
      <c r="H60" s="99"/>
      <c r="I60" s="100"/>
      <c r="J60" s="101"/>
      <c r="K60" s="100"/>
      <c r="L60" s="112"/>
      <c r="M60" s="65"/>
    </row>
    <row r="61" spans="1:13">
      <c r="A61" s="95"/>
      <c r="B61" s="95"/>
      <c r="C61" s="96"/>
      <c r="D61" s="97"/>
      <c r="E61" s="96"/>
      <c r="F61" s="96"/>
      <c r="G61" s="99"/>
      <c r="H61" s="99"/>
      <c r="I61" s="100"/>
      <c r="J61" s="101"/>
      <c r="K61" s="100"/>
      <c r="L61" s="112"/>
    </row>
    <row r="62" spans="1:13">
      <c r="A62" s="95"/>
      <c r="B62" s="95"/>
      <c r="C62" s="96"/>
      <c r="D62" s="97"/>
      <c r="E62" s="96"/>
      <c r="F62" s="96"/>
      <c r="G62" s="99"/>
      <c r="H62" s="99"/>
      <c r="I62" s="100"/>
      <c r="J62" s="101"/>
      <c r="K62" s="100"/>
      <c r="L62" s="112"/>
    </row>
    <row r="63" spans="1:13">
      <c r="A63" s="95"/>
      <c r="B63" s="95"/>
      <c r="C63" s="96"/>
      <c r="D63" s="97"/>
      <c r="E63" s="96"/>
      <c r="F63" s="96"/>
      <c r="G63" s="99"/>
      <c r="H63" s="99"/>
      <c r="I63" s="100"/>
      <c r="J63" s="101"/>
      <c r="K63" s="100"/>
      <c r="L63" s="112"/>
    </row>
    <row r="64" spans="1:13">
      <c r="A64" s="95"/>
      <c r="B64" s="95"/>
      <c r="C64" s="96"/>
      <c r="D64" s="97"/>
      <c r="E64" s="96"/>
      <c r="F64" s="96"/>
      <c r="G64" s="99"/>
      <c r="H64" s="99"/>
      <c r="I64" s="100"/>
      <c r="J64" s="101"/>
      <c r="K64" s="100"/>
      <c r="L64" s="112"/>
    </row>
    <row r="65" spans="1:12">
      <c r="A65" s="95"/>
      <c r="B65" s="95"/>
      <c r="C65" s="96"/>
      <c r="D65" s="97"/>
      <c r="E65" s="96"/>
      <c r="F65" s="96"/>
      <c r="G65" s="99"/>
      <c r="H65" s="99"/>
      <c r="I65" s="100"/>
      <c r="J65" s="101"/>
      <c r="K65" s="100"/>
      <c r="L65" s="112"/>
    </row>
    <row r="66" spans="1:12">
      <c r="A66" s="95"/>
      <c r="B66" s="95"/>
      <c r="C66" s="96"/>
      <c r="D66" s="97"/>
      <c r="E66" s="96"/>
      <c r="F66" s="96"/>
      <c r="G66" s="99"/>
      <c r="H66" s="99"/>
      <c r="I66" s="100"/>
      <c r="J66" s="101"/>
      <c r="K66" s="100"/>
      <c r="L66" s="112"/>
    </row>
    <row r="67" spans="1:12">
      <c r="A67" s="95"/>
      <c r="B67" s="95"/>
      <c r="C67" s="96"/>
      <c r="D67" s="97"/>
      <c r="E67" s="96"/>
      <c r="F67" s="96"/>
      <c r="G67" s="99"/>
      <c r="H67" s="99"/>
      <c r="I67" s="100"/>
      <c r="J67" s="101"/>
      <c r="K67" s="100"/>
      <c r="L67" s="112"/>
    </row>
    <row r="68" spans="1:12">
      <c r="A68" s="95"/>
      <c r="B68" s="95"/>
      <c r="C68" s="96"/>
      <c r="D68" s="97"/>
      <c r="E68" s="96"/>
      <c r="F68" s="96"/>
      <c r="G68" s="99"/>
      <c r="H68" s="99"/>
      <c r="I68" s="100"/>
      <c r="J68" s="101"/>
      <c r="K68" s="100"/>
      <c r="L68" s="112"/>
    </row>
    <row r="69" spans="1:12">
      <c r="A69" s="95"/>
      <c r="B69" s="95"/>
      <c r="C69" s="96"/>
      <c r="D69" s="97"/>
      <c r="E69" s="96"/>
      <c r="F69" s="96"/>
      <c r="G69" s="99"/>
      <c r="H69" s="99"/>
      <c r="I69" s="100"/>
      <c r="J69" s="101"/>
      <c r="K69" s="100"/>
      <c r="L69" s="112"/>
    </row>
    <row r="70" spans="1:12">
      <c r="A70" s="95"/>
      <c r="B70" s="95"/>
      <c r="C70" s="96"/>
      <c r="D70" s="97"/>
      <c r="E70" s="96"/>
      <c r="F70" s="96"/>
      <c r="G70" s="99"/>
      <c r="H70" s="99"/>
      <c r="I70" s="100"/>
      <c r="J70" s="101"/>
      <c r="K70" s="100"/>
      <c r="L70" s="112"/>
    </row>
    <row r="71" spans="1:12">
      <c r="A71" s="95"/>
      <c r="B71" s="95"/>
      <c r="C71" s="96"/>
      <c r="D71" s="97"/>
      <c r="E71" s="96"/>
      <c r="F71" s="96"/>
      <c r="G71" s="99"/>
      <c r="H71" s="99"/>
      <c r="I71" s="100"/>
      <c r="J71" s="101"/>
      <c r="K71" s="100"/>
      <c r="L71" s="112"/>
    </row>
    <row r="72" spans="1:12">
      <c r="A72" s="95"/>
      <c r="B72" s="95"/>
      <c r="C72" s="96"/>
      <c r="D72" s="97"/>
      <c r="E72" s="96"/>
      <c r="F72" s="96"/>
      <c r="G72" s="99"/>
      <c r="H72" s="99"/>
      <c r="I72" s="100"/>
      <c r="J72" s="101"/>
      <c r="K72" s="100"/>
      <c r="L72" s="112"/>
    </row>
    <row r="73" spans="1:12">
      <c r="A73" s="95"/>
      <c r="B73" s="95"/>
      <c r="C73" s="96"/>
      <c r="D73" s="97"/>
      <c r="E73" s="96"/>
      <c r="F73" s="96"/>
      <c r="G73" s="99"/>
      <c r="H73" s="99"/>
      <c r="I73" s="100"/>
      <c r="J73" s="101"/>
      <c r="K73" s="100"/>
      <c r="L73" s="112"/>
    </row>
    <row r="74" spans="1:12">
      <c r="A74" s="95"/>
      <c r="B74" s="95"/>
      <c r="C74" s="96"/>
      <c r="D74" s="97"/>
      <c r="E74" s="96"/>
      <c r="F74" s="96"/>
      <c r="G74" s="99"/>
      <c r="H74" s="99"/>
      <c r="I74" s="100"/>
      <c r="J74" s="101"/>
      <c r="K74" s="100"/>
      <c r="L74" s="112"/>
    </row>
    <row r="75" spans="1:12">
      <c r="A75" s="95"/>
      <c r="B75" s="95"/>
      <c r="C75" s="96"/>
      <c r="D75" s="97"/>
      <c r="E75" s="96"/>
      <c r="F75" s="96"/>
      <c r="G75" s="99"/>
      <c r="H75" s="99"/>
      <c r="I75" s="100"/>
      <c r="J75" s="101"/>
      <c r="K75" s="100"/>
      <c r="L75" s="112"/>
    </row>
    <row r="76" spans="1:12">
      <c r="A76" s="95"/>
      <c r="B76" s="95"/>
      <c r="C76" s="96"/>
      <c r="D76" s="97"/>
      <c r="E76" s="96"/>
      <c r="F76" s="96"/>
      <c r="G76" s="99"/>
      <c r="H76" s="99"/>
      <c r="I76" s="100"/>
      <c r="J76" s="101"/>
      <c r="K76" s="100"/>
      <c r="L76" s="112"/>
    </row>
    <row r="77" spans="1:12">
      <c r="A77" s="95"/>
      <c r="B77" s="95"/>
      <c r="C77" s="96"/>
      <c r="D77" s="97"/>
      <c r="E77" s="96"/>
      <c r="F77" s="96"/>
      <c r="G77" s="99"/>
      <c r="H77" s="99"/>
      <c r="I77" s="100"/>
      <c r="J77" s="101"/>
      <c r="K77" s="100"/>
      <c r="L77" s="112"/>
    </row>
    <row r="78" spans="1:12">
      <c r="A78" s="95"/>
      <c r="B78" s="95"/>
      <c r="C78" s="96"/>
      <c r="D78" s="97"/>
      <c r="E78" s="96"/>
      <c r="F78" s="96"/>
      <c r="G78" s="99"/>
      <c r="H78" s="99"/>
      <c r="I78" s="100"/>
      <c r="J78" s="101"/>
      <c r="K78" s="100"/>
      <c r="L78" s="112"/>
    </row>
    <row r="79" spans="1:12">
      <c r="A79" s="95"/>
      <c r="B79" s="95"/>
      <c r="C79" s="96"/>
      <c r="D79" s="97"/>
      <c r="E79" s="96"/>
      <c r="F79" s="96"/>
      <c r="G79" s="99"/>
      <c r="H79" s="99"/>
      <c r="I79" s="100"/>
      <c r="J79" s="101"/>
      <c r="K79" s="100"/>
      <c r="L79" s="112"/>
    </row>
    <row r="80" spans="1:12">
      <c r="A80" s="95"/>
      <c r="B80" s="95"/>
      <c r="C80" s="96"/>
      <c r="D80" s="97"/>
      <c r="E80" s="96"/>
      <c r="F80" s="96"/>
      <c r="G80" s="99"/>
      <c r="H80" s="99"/>
      <c r="I80" s="100"/>
      <c r="J80" s="101"/>
      <c r="K80" s="100"/>
      <c r="L80" s="112"/>
    </row>
    <row r="81" spans="1:12">
      <c r="A81" s="95"/>
      <c r="B81" s="95"/>
      <c r="C81" s="96"/>
      <c r="D81" s="97"/>
      <c r="E81" s="96"/>
      <c r="F81" s="96"/>
      <c r="G81" s="99"/>
      <c r="H81" s="99"/>
      <c r="I81" s="100"/>
      <c r="J81" s="101"/>
      <c r="K81" s="100"/>
      <c r="L81" s="112"/>
    </row>
    <row r="82" spans="1:12">
      <c r="A82" s="95"/>
      <c r="B82" s="95"/>
      <c r="C82" s="96"/>
      <c r="D82" s="97"/>
      <c r="E82" s="96"/>
      <c r="F82" s="96"/>
      <c r="G82" s="99"/>
      <c r="H82" s="99"/>
      <c r="I82" s="100"/>
      <c r="J82" s="101"/>
      <c r="K82" s="100"/>
      <c r="L82" s="112"/>
    </row>
    <row r="83" spans="1:12">
      <c r="A83" s="95"/>
      <c r="B83" s="95"/>
      <c r="C83" s="96"/>
      <c r="D83" s="97"/>
      <c r="E83" s="96"/>
      <c r="F83" s="96"/>
      <c r="G83" s="99"/>
      <c r="H83" s="99"/>
      <c r="I83" s="100"/>
      <c r="J83" s="101"/>
      <c r="K83" s="100"/>
      <c r="L83" s="112"/>
    </row>
    <row r="84" spans="1:12">
      <c r="A84" s="95"/>
      <c r="B84" s="95"/>
      <c r="C84" s="96"/>
      <c r="D84" s="97"/>
      <c r="E84" s="96"/>
      <c r="F84" s="96"/>
      <c r="G84" s="99"/>
      <c r="H84" s="99"/>
      <c r="I84" s="100"/>
      <c r="J84" s="101"/>
      <c r="K84" s="100"/>
      <c r="L84" s="112"/>
    </row>
    <row r="85" spans="1:12">
      <c r="A85" s="95"/>
      <c r="B85" s="95"/>
      <c r="C85" s="96"/>
      <c r="D85" s="97"/>
      <c r="E85" s="96"/>
      <c r="F85" s="96"/>
      <c r="G85" s="99"/>
      <c r="H85" s="99"/>
      <c r="I85" s="100"/>
      <c r="J85" s="101"/>
      <c r="K85" s="100"/>
      <c r="L85" s="112"/>
    </row>
    <row r="86" spans="1:12">
      <c r="A86" s="95"/>
      <c r="B86" s="95"/>
      <c r="C86" s="96"/>
      <c r="D86" s="97"/>
      <c r="E86" s="96"/>
      <c r="F86" s="96"/>
      <c r="G86" s="99"/>
      <c r="H86" s="99"/>
      <c r="I86" s="100"/>
      <c r="J86" s="101"/>
      <c r="K86" s="100"/>
      <c r="L86" s="112"/>
    </row>
    <row r="87" spans="1:12">
      <c r="A87" s="95"/>
      <c r="B87" s="95"/>
      <c r="C87" s="96"/>
      <c r="D87" s="97"/>
      <c r="E87" s="96"/>
      <c r="F87" s="96"/>
      <c r="G87" s="99"/>
      <c r="H87" s="99"/>
      <c r="I87" s="100"/>
      <c r="J87" s="101"/>
      <c r="K87" s="100"/>
      <c r="L87" s="112"/>
    </row>
    <row r="88" spans="1:12">
      <c r="A88" s="95"/>
      <c r="B88" s="95"/>
      <c r="C88" s="96"/>
      <c r="D88" s="97"/>
      <c r="E88" s="96"/>
      <c r="F88" s="96"/>
      <c r="G88" s="99"/>
      <c r="H88" s="99"/>
      <c r="I88" s="100"/>
      <c r="J88" s="101"/>
      <c r="K88" s="100"/>
      <c r="L88" s="112"/>
    </row>
    <row r="89" spans="1:12">
      <c r="A89" s="95"/>
      <c r="B89" s="95"/>
      <c r="C89" s="96"/>
      <c r="D89" s="97"/>
      <c r="E89" s="96"/>
      <c r="F89" s="96"/>
      <c r="G89" s="99"/>
      <c r="H89" s="99"/>
      <c r="I89" s="100"/>
      <c r="J89" s="101"/>
      <c r="K89" s="100"/>
      <c r="L89" s="112"/>
    </row>
    <row r="90" spans="1:12">
      <c r="A90" s="95"/>
      <c r="B90" s="95"/>
      <c r="C90" s="96"/>
      <c r="D90" s="97"/>
      <c r="E90" s="96"/>
      <c r="F90" s="96"/>
      <c r="G90" s="99"/>
      <c r="H90" s="99"/>
      <c r="I90" s="100"/>
      <c r="J90" s="101"/>
      <c r="K90" s="100"/>
      <c r="L90" s="112"/>
    </row>
    <row r="91" spans="1:12">
      <c r="A91" s="95"/>
      <c r="B91" s="95"/>
      <c r="C91" s="96"/>
      <c r="D91" s="97"/>
      <c r="E91" s="96"/>
      <c r="F91" s="96"/>
      <c r="G91" s="99"/>
      <c r="H91" s="99"/>
      <c r="I91" s="100"/>
      <c r="J91" s="101"/>
      <c r="K91" s="100"/>
      <c r="L91" s="112"/>
    </row>
    <row r="92" spans="1:12">
      <c r="A92" s="95"/>
      <c r="B92" s="95"/>
      <c r="C92" s="96"/>
      <c r="D92" s="97"/>
      <c r="E92" s="96"/>
      <c r="F92" s="96"/>
      <c r="G92" s="99"/>
      <c r="H92" s="99"/>
      <c r="I92" s="100"/>
      <c r="J92" s="101"/>
      <c r="K92" s="100"/>
      <c r="L92" s="112"/>
    </row>
    <row r="93" spans="1:12">
      <c r="A93" s="95"/>
      <c r="B93" s="95"/>
      <c r="C93" s="96"/>
      <c r="D93" s="97"/>
      <c r="E93" s="96"/>
      <c r="F93" s="96"/>
      <c r="G93" s="99"/>
      <c r="H93" s="99"/>
      <c r="I93" s="100"/>
      <c r="J93" s="101"/>
      <c r="K93" s="100"/>
      <c r="L93" s="112"/>
    </row>
    <row r="94" spans="1:12">
      <c r="A94" s="95"/>
      <c r="B94" s="95"/>
      <c r="C94" s="96"/>
      <c r="D94" s="97"/>
      <c r="E94" s="96"/>
      <c r="F94" s="96"/>
      <c r="G94" s="99"/>
      <c r="H94" s="99"/>
      <c r="I94" s="100"/>
      <c r="J94" s="101"/>
      <c r="K94" s="100"/>
      <c r="L94" s="112"/>
    </row>
    <row r="95" spans="1:12">
      <c r="A95" s="95"/>
      <c r="B95" s="95"/>
      <c r="C95" s="96"/>
      <c r="D95" s="97"/>
      <c r="E95" s="96"/>
      <c r="F95" s="96"/>
      <c r="G95" s="99"/>
      <c r="H95" s="99"/>
      <c r="I95" s="100"/>
      <c r="J95" s="101"/>
      <c r="K95" s="100"/>
      <c r="L95" s="112"/>
    </row>
    <row r="96" spans="1:12">
      <c r="A96" s="95"/>
      <c r="B96" s="95"/>
      <c r="C96" s="96"/>
      <c r="D96" s="97"/>
      <c r="E96" s="96"/>
      <c r="F96" s="96"/>
      <c r="G96" s="99"/>
      <c r="H96" s="99"/>
      <c r="I96" s="100"/>
      <c r="J96" s="101"/>
      <c r="K96" s="100"/>
      <c r="L96" s="112"/>
    </row>
    <row r="97" spans="1:12">
      <c r="A97" s="95"/>
      <c r="B97" s="95"/>
      <c r="C97" s="96"/>
      <c r="D97" s="97"/>
      <c r="E97" s="96"/>
      <c r="F97" s="96"/>
      <c r="G97" s="99"/>
      <c r="H97" s="99"/>
      <c r="I97" s="100"/>
      <c r="J97" s="101"/>
      <c r="K97" s="100"/>
      <c r="L97" s="112"/>
    </row>
    <row r="98" spans="1:12">
      <c r="A98" s="95"/>
      <c r="B98" s="95"/>
      <c r="C98" s="96"/>
      <c r="D98" s="97"/>
      <c r="E98" s="96"/>
      <c r="F98" s="96"/>
      <c r="G98" s="99"/>
      <c r="H98" s="99"/>
      <c r="I98" s="100"/>
      <c r="J98" s="101"/>
      <c r="K98" s="100"/>
      <c r="L98" s="112"/>
    </row>
    <row r="99" spans="1:12">
      <c r="A99" s="95"/>
      <c r="B99" s="95"/>
      <c r="C99" s="96"/>
      <c r="D99" s="97"/>
      <c r="E99" s="96"/>
      <c r="F99" s="96"/>
      <c r="G99" s="99"/>
      <c r="H99" s="99"/>
      <c r="I99" s="100"/>
      <c r="J99" s="101"/>
      <c r="K99" s="100"/>
      <c r="L99" s="112"/>
    </row>
    <row r="100" spans="1:12">
      <c r="A100" s="95"/>
      <c r="B100" s="95"/>
      <c r="C100" s="96"/>
      <c r="D100" s="97"/>
      <c r="E100" s="96"/>
      <c r="F100" s="96"/>
      <c r="G100" s="99"/>
      <c r="H100" s="99"/>
      <c r="I100" s="100"/>
      <c r="J100" s="101"/>
      <c r="K100" s="100"/>
      <c r="L100" s="112"/>
    </row>
    <row r="101" spans="1:12">
      <c r="A101" s="95"/>
      <c r="B101" s="95"/>
      <c r="C101" s="96"/>
      <c r="D101" s="97"/>
      <c r="E101" s="96"/>
      <c r="F101" s="96"/>
      <c r="G101" s="99"/>
      <c r="H101" s="99"/>
      <c r="I101" s="100"/>
      <c r="J101" s="101"/>
      <c r="K101" s="100"/>
      <c r="L101" s="112"/>
    </row>
    <row r="102" spans="1:12">
      <c r="A102" s="95"/>
      <c r="B102" s="95"/>
      <c r="C102" s="96"/>
      <c r="D102" s="97"/>
      <c r="E102" s="96"/>
      <c r="F102" s="96"/>
      <c r="G102" s="99"/>
      <c r="H102" s="99"/>
      <c r="I102" s="100"/>
      <c r="J102" s="101"/>
      <c r="K102" s="100"/>
      <c r="L102" s="112"/>
    </row>
    <row r="103" spans="1:12">
      <c r="A103" s="95"/>
      <c r="B103" s="95"/>
      <c r="C103" s="96"/>
      <c r="D103" s="97"/>
      <c r="E103" s="96"/>
      <c r="F103" s="96"/>
      <c r="G103" s="99"/>
      <c r="H103" s="99"/>
      <c r="I103" s="100"/>
      <c r="J103" s="101"/>
      <c r="K103" s="100"/>
      <c r="L103" s="112"/>
    </row>
    <row r="104" spans="1:12">
      <c r="A104" s="95"/>
      <c r="B104" s="95"/>
      <c r="C104" s="96"/>
      <c r="D104" s="97"/>
      <c r="E104" s="96"/>
      <c r="F104" s="96"/>
      <c r="G104" s="99"/>
      <c r="H104" s="99"/>
      <c r="I104" s="100"/>
      <c r="J104" s="101"/>
      <c r="K104" s="100"/>
      <c r="L104" s="112"/>
    </row>
    <row r="105" spans="1:12">
      <c r="A105" s="95"/>
      <c r="B105" s="95"/>
      <c r="C105" s="96"/>
      <c r="D105" s="97"/>
      <c r="E105" s="96"/>
      <c r="F105" s="96"/>
      <c r="G105" s="99"/>
      <c r="H105" s="99"/>
      <c r="I105" s="100"/>
      <c r="J105" s="101"/>
      <c r="K105" s="100"/>
      <c r="L105" s="112"/>
    </row>
    <row r="106" spans="1:12">
      <c r="A106" s="95"/>
      <c r="B106" s="95"/>
      <c r="C106" s="96"/>
      <c r="D106" s="97"/>
      <c r="E106" s="96"/>
      <c r="F106" s="96"/>
      <c r="G106" s="99"/>
      <c r="H106" s="99"/>
      <c r="I106" s="100"/>
      <c r="J106" s="101"/>
      <c r="K106" s="100"/>
      <c r="L106" s="112"/>
    </row>
    <row r="107" spans="1:12">
      <c r="A107" s="95"/>
      <c r="B107" s="95"/>
      <c r="C107" s="96"/>
      <c r="D107" s="97"/>
      <c r="E107" s="96"/>
      <c r="F107" s="96"/>
      <c r="G107" s="99"/>
      <c r="H107" s="99"/>
      <c r="I107" s="100"/>
      <c r="J107" s="101"/>
      <c r="K107" s="100"/>
      <c r="L107" s="112"/>
    </row>
    <row r="108" spans="1:12">
      <c r="A108" s="95"/>
      <c r="B108" s="95"/>
      <c r="C108" s="96"/>
      <c r="D108" s="97"/>
      <c r="E108" s="96"/>
      <c r="F108" s="96"/>
      <c r="G108" s="99"/>
      <c r="H108" s="99"/>
      <c r="I108" s="100"/>
      <c r="J108" s="101"/>
      <c r="K108" s="100"/>
      <c r="L108" s="112"/>
    </row>
    <row r="109" spans="1:12">
      <c r="A109" s="95"/>
      <c r="B109" s="95"/>
      <c r="C109" s="96"/>
      <c r="D109" s="97"/>
      <c r="E109" s="96"/>
      <c r="F109" s="96"/>
      <c r="G109" s="99"/>
      <c r="H109" s="99"/>
      <c r="I109" s="100"/>
      <c r="J109" s="101"/>
      <c r="K109" s="100"/>
      <c r="L109" s="112"/>
    </row>
    <row r="110" spans="1:12">
      <c r="A110" s="95"/>
      <c r="B110" s="95"/>
      <c r="C110" s="96"/>
      <c r="D110" s="97"/>
      <c r="E110" s="96"/>
      <c r="F110" s="96"/>
      <c r="G110" s="99"/>
      <c r="H110" s="99"/>
      <c r="I110" s="100"/>
      <c r="J110" s="101"/>
      <c r="K110" s="100"/>
      <c r="L110" s="112"/>
    </row>
    <row r="111" spans="1:12">
      <c r="A111" s="95"/>
      <c r="B111" s="95"/>
      <c r="C111" s="96"/>
      <c r="D111" s="97"/>
      <c r="E111" s="96"/>
      <c r="F111" s="96"/>
      <c r="G111" s="99"/>
      <c r="H111" s="99"/>
      <c r="I111" s="100"/>
      <c r="J111" s="101"/>
      <c r="K111" s="100"/>
      <c r="L111" s="112"/>
    </row>
    <row r="112" spans="1:12">
      <c r="A112" s="95"/>
      <c r="B112" s="95"/>
      <c r="C112" s="96"/>
      <c r="D112" s="97"/>
      <c r="E112" s="96"/>
      <c r="F112" s="96"/>
      <c r="G112" s="99"/>
      <c r="H112" s="99"/>
      <c r="I112" s="100"/>
      <c r="J112" s="101"/>
      <c r="K112" s="100"/>
      <c r="L112" s="112"/>
    </row>
    <row r="113" spans="1:12">
      <c r="A113" s="95"/>
      <c r="B113" s="95"/>
      <c r="C113" s="96"/>
      <c r="D113" s="97"/>
      <c r="E113" s="96"/>
      <c r="F113" s="96"/>
      <c r="G113" s="99"/>
      <c r="H113" s="99"/>
      <c r="I113" s="100"/>
      <c r="J113" s="101"/>
      <c r="K113" s="100"/>
      <c r="L113" s="112"/>
    </row>
    <row r="114" spans="1:12">
      <c r="A114" s="95"/>
      <c r="B114" s="95"/>
      <c r="C114" s="96"/>
      <c r="D114" s="97"/>
      <c r="E114" s="96"/>
      <c r="F114" s="96"/>
      <c r="G114" s="99"/>
      <c r="H114" s="99"/>
      <c r="I114" s="100"/>
      <c r="J114" s="101"/>
      <c r="K114" s="100"/>
      <c r="L114" s="112"/>
    </row>
    <row r="115" spans="1:12">
      <c r="A115" s="95"/>
      <c r="B115" s="95"/>
      <c r="C115" s="96"/>
      <c r="D115" s="97"/>
      <c r="E115" s="96"/>
      <c r="F115" s="96"/>
      <c r="G115" s="99"/>
      <c r="H115" s="99"/>
      <c r="I115" s="100"/>
      <c r="J115" s="101"/>
      <c r="K115" s="100"/>
      <c r="L115" s="112"/>
    </row>
    <row r="116" spans="1:12">
      <c r="A116" s="95"/>
      <c r="B116" s="95"/>
      <c r="C116" s="96"/>
      <c r="D116" s="97"/>
      <c r="E116" s="96"/>
      <c r="F116" s="96"/>
      <c r="G116" s="99"/>
      <c r="H116" s="99"/>
      <c r="I116" s="100"/>
      <c r="J116" s="101"/>
      <c r="K116" s="100"/>
      <c r="L116" s="112"/>
    </row>
    <row r="117" spans="1:12">
      <c r="A117" s="95"/>
      <c r="B117" s="95"/>
      <c r="C117" s="96"/>
      <c r="D117" s="97"/>
      <c r="E117" s="96"/>
      <c r="F117" s="96"/>
      <c r="G117" s="99"/>
      <c r="H117" s="99"/>
      <c r="I117" s="100"/>
      <c r="J117" s="101"/>
      <c r="K117" s="100"/>
      <c r="L117" s="112"/>
    </row>
    <row r="118" spans="1:12">
      <c r="A118" s="95"/>
      <c r="B118" s="95"/>
      <c r="C118" s="96"/>
      <c r="D118" s="97"/>
      <c r="E118" s="96"/>
      <c r="F118" s="96"/>
      <c r="G118" s="99"/>
      <c r="H118" s="99"/>
      <c r="I118" s="100"/>
      <c r="J118" s="101"/>
      <c r="K118" s="100"/>
      <c r="L118" s="112"/>
    </row>
    <row r="119" spans="1:12">
      <c r="A119" s="95"/>
      <c r="B119" s="95"/>
      <c r="C119" s="96"/>
      <c r="D119" s="97"/>
      <c r="E119" s="96"/>
      <c r="F119" s="96"/>
      <c r="G119" s="99"/>
      <c r="H119" s="99"/>
      <c r="I119" s="100"/>
      <c r="J119" s="101"/>
      <c r="K119" s="100"/>
      <c r="L119" s="112"/>
    </row>
    <row r="120" spans="1:12">
      <c r="A120" s="95"/>
      <c r="B120" s="95"/>
      <c r="C120" s="96"/>
      <c r="D120" s="97"/>
      <c r="E120" s="96"/>
      <c r="F120" s="96"/>
      <c r="G120" s="99"/>
      <c r="H120" s="99"/>
      <c r="I120" s="100"/>
      <c r="J120" s="101"/>
      <c r="K120" s="100"/>
      <c r="L120" s="112"/>
    </row>
    <row r="121" spans="1:12">
      <c r="A121" s="95"/>
      <c r="B121" s="95"/>
      <c r="C121" s="96"/>
      <c r="D121" s="97"/>
      <c r="E121" s="96"/>
      <c r="F121" s="96"/>
      <c r="G121" s="99"/>
      <c r="H121" s="99"/>
      <c r="I121" s="100"/>
      <c r="J121" s="101"/>
      <c r="K121" s="100"/>
      <c r="L121" s="112"/>
    </row>
    <row r="122" spans="1:12">
      <c r="A122" s="95"/>
      <c r="B122" s="95"/>
      <c r="C122" s="96"/>
      <c r="D122" s="97"/>
      <c r="E122" s="96"/>
      <c r="F122" s="96"/>
      <c r="G122" s="99"/>
      <c r="H122" s="99"/>
      <c r="I122" s="100"/>
      <c r="J122" s="101"/>
      <c r="K122" s="100"/>
      <c r="L122" s="112"/>
    </row>
    <row r="123" spans="1:12">
      <c r="A123" s="95"/>
      <c r="B123" s="95"/>
      <c r="C123" s="96"/>
      <c r="D123" s="97"/>
      <c r="E123" s="96"/>
      <c r="F123" s="96"/>
      <c r="G123" s="99"/>
      <c r="H123" s="99"/>
      <c r="I123" s="100"/>
      <c r="J123" s="101"/>
      <c r="K123" s="100"/>
      <c r="L123" s="112"/>
    </row>
    <row r="124" spans="1:12">
      <c r="A124" s="95"/>
      <c r="B124" s="95"/>
      <c r="C124" s="96"/>
      <c r="D124" s="97"/>
      <c r="E124" s="96"/>
      <c r="F124" s="96"/>
      <c r="G124" s="99"/>
      <c r="H124" s="99"/>
      <c r="I124" s="100"/>
      <c r="J124" s="101"/>
      <c r="K124" s="100"/>
      <c r="L124" s="112"/>
    </row>
    <row r="125" spans="1:12">
      <c r="A125" s="95"/>
      <c r="B125" s="95"/>
      <c r="C125" s="96"/>
      <c r="D125" s="97"/>
      <c r="E125" s="96"/>
      <c r="F125" s="96"/>
      <c r="G125" s="99"/>
      <c r="H125" s="99"/>
      <c r="I125" s="100"/>
      <c r="J125" s="101"/>
      <c r="K125" s="100"/>
      <c r="L125" s="112"/>
    </row>
    <row r="126" spans="1:12">
      <c r="A126" s="95"/>
      <c r="B126" s="95"/>
      <c r="C126" s="96"/>
      <c r="D126" s="97"/>
      <c r="E126" s="96"/>
      <c r="F126" s="96"/>
      <c r="G126" s="99"/>
      <c r="H126" s="99"/>
      <c r="I126" s="100"/>
      <c r="J126" s="101"/>
      <c r="K126" s="100"/>
      <c r="L126" s="112"/>
    </row>
    <row r="127" spans="1:12">
      <c r="A127" s="95"/>
      <c r="B127" s="95"/>
      <c r="C127" s="96"/>
      <c r="D127" s="97"/>
      <c r="E127" s="96"/>
      <c r="F127" s="96"/>
      <c r="G127" s="99"/>
      <c r="H127" s="99"/>
      <c r="I127" s="100"/>
      <c r="J127" s="101"/>
      <c r="K127" s="100"/>
      <c r="L127" s="112"/>
    </row>
    <row r="128" spans="1:12">
      <c r="A128" s="95"/>
      <c r="B128" s="95"/>
      <c r="C128" s="96"/>
      <c r="D128" s="97"/>
      <c r="E128" s="96"/>
      <c r="F128" s="96"/>
      <c r="G128" s="99"/>
      <c r="H128" s="99"/>
      <c r="I128" s="100"/>
      <c r="J128" s="101"/>
      <c r="K128" s="100"/>
      <c r="L128" s="112"/>
    </row>
    <row r="129" spans="1:12">
      <c r="A129" s="95"/>
      <c r="B129" s="95"/>
      <c r="C129" s="96"/>
      <c r="D129" s="97"/>
      <c r="E129" s="96"/>
      <c r="F129" s="96"/>
      <c r="G129" s="99"/>
      <c r="H129" s="99"/>
      <c r="I129" s="100"/>
      <c r="J129" s="101"/>
      <c r="K129" s="100"/>
      <c r="L129" s="112"/>
    </row>
    <row r="130" spans="1:12">
      <c r="A130" s="95"/>
      <c r="B130" s="95"/>
      <c r="C130" s="96"/>
      <c r="D130" s="97"/>
      <c r="E130" s="96"/>
      <c r="F130" s="96"/>
      <c r="G130" s="99"/>
      <c r="H130" s="99"/>
      <c r="I130" s="100"/>
      <c r="J130" s="101"/>
      <c r="K130" s="100"/>
      <c r="L130" s="112"/>
    </row>
    <row r="131" spans="1:12">
      <c r="A131" s="95"/>
      <c r="B131" s="95"/>
      <c r="C131" s="96"/>
      <c r="D131" s="97"/>
      <c r="E131" s="96"/>
      <c r="F131" s="96"/>
      <c r="G131" s="99"/>
      <c r="H131" s="99"/>
      <c r="I131" s="100"/>
      <c r="J131" s="101"/>
      <c r="K131" s="100"/>
      <c r="L131" s="112"/>
    </row>
    <row r="132" spans="1:12">
      <c r="A132" s="95"/>
      <c r="B132" s="95"/>
      <c r="C132" s="96"/>
      <c r="D132" s="97"/>
      <c r="E132" s="96"/>
      <c r="F132" s="96"/>
      <c r="G132" s="99"/>
      <c r="H132" s="99"/>
      <c r="I132" s="100"/>
      <c r="J132" s="101"/>
      <c r="K132" s="100"/>
      <c r="L132" s="112"/>
    </row>
    <row r="133" spans="1:12">
      <c r="A133" s="95"/>
      <c r="B133" s="95"/>
      <c r="C133" s="96"/>
      <c r="D133" s="97"/>
      <c r="E133" s="96"/>
      <c r="F133" s="96"/>
      <c r="G133" s="99"/>
      <c r="H133" s="99"/>
      <c r="I133" s="100"/>
      <c r="J133" s="101"/>
      <c r="K133" s="100"/>
      <c r="L133" s="112"/>
    </row>
    <row r="134" spans="1:12">
      <c r="A134" s="95"/>
      <c r="B134" s="95"/>
      <c r="C134" s="96"/>
      <c r="D134" s="97"/>
      <c r="E134" s="96"/>
      <c r="F134" s="96"/>
      <c r="G134" s="99"/>
      <c r="H134" s="99"/>
      <c r="I134" s="100"/>
      <c r="J134" s="101"/>
      <c r="K134" s="100"/>
      <c r="L134" s="112"/>
    </row>
    <row r="135" spans="1:12">
      <c r="A135" s="95"/>
      <c r="B135" s="95"/>
      <c r="C135" s="96"/>
      <c r="D135" s="97"/>
      <c r="E135" s="96"/>
      <c r="F135" s="96"/>
      <c r="G135" s="99"/>
      <c r="H135" s="99"/>
      <c r="I135" s="100"/>
      <c r="J135" s="101"/>
      <c r="K135" s="100"/>
      <c r="L135" s="112"/>
    </row>
    <row r="136" spans="1:12">
      <c r="A136" s="95"/>
      <c r="B136" s="95"/>
      <c r="C136" s="96"/>
      <c r="D136" s="97"/>
      <c r="E136" s="96"/>
      <c r="F136" s="96"/>
      <c r="G136" s="99"/>
      <c r="H136" s="99"/>
      <c r="I136" s="100"/>
      <c r="J136" s="101"/>
      <c r="K136" s="100"/>
      <c r="L136" s="112"/>
    </row>
    <row r="137" spans="1:12">
      <c r="A137" s="95"/>
      <c r="B137" s="95"/>
      <c r="C137" s="96"/>
      <c r="D137" s="97"/>
      <c r="E137" s="96"/>
      <c r="F137" s="96"/>
      <c r="G137" s="99"/>
      <c r="H137" s="99"/>
      <c r="I137" s="100"/>
      <c r="J137" s="101"/>
      <c r="K137" s="100"/>
      <c r="L137" s="112"/>
    </row>
    <row r="138" spans="1:12">
      <c r="A138" s="95"/>
      <c r="B138" s="95"/>
      <c r="C138" s="96"/>
      <c r="D138" s="97"/>
      <c r="E138" s="96"/>
      <c r="F138" s="96"/>
      <c r="G138" s="99"/>
      <c r="H138" s="99"/>
      <c r="I138" s="100"/>
      <c r="J138" s="101"/>
      <c r="K138" s="100"/>
      <c r="L138" s="112"/>
    </row>
    <row r="139" spans="1:12">
      <c r="A139" s="95"/>
      <c r="B139" s="95"/>
      <c r="C139" s="96"/>
      <c r="D139" s="97"/>
      <c r="E139" s="96"/>
      <c r="F139" s="96"/>
      <c r="G139" s="99"/>
      <c r="H139" s="99"/>
      <c r="I139" s="100"/>
      <c r="J139" s="101"/>
      <c r="K139" s="100"/>
      <c r="L139" s="112"/>
    </row>
    <row r="140" spans="1:12">
      <c r="A140" s="95"/>
      <c r="B140" s="95"/>
      <c r="C140" s="96"/>
      <c r="D140" s="97"/>
      <c r="E140" s="96"/>
      <c r="F140" s="96"/>
      <c r="G140" s="99"/>
      <c r="H140" s="99"/>
      <c r="I140" s="100"/>
      <c r="J140" s="101"/>
      <c r="K140" s="100"/>
      <c r="L140" s="112"/>
    </row>
    <row r="141" spans="1:12">
      <c r="A141" s="95"/>
      <c r="B141" s="95"/>
      <c r="C141" s="96"/>
      <c r="D141" s="97"/>
      <c r="E141" s="96"/>
      <c r="F141" s="96"/>
      <c r="G141" s="99"/>
      <c r="H141" s="99"/>
      <c r="I141" s="100"/>
      <c r="J141" s="101"/>
      <c r="K141" s="100"/>
      <c r="L141" s="112"/>
    </row>
    <row r="142" spans="1:12">
      <c r="A142" s="95"/>
      <c r="B142" s="95"/>
      <c r="C142" s="96"/>
      <c r="D142" s="97"/>
      <c r="E142" s="96"/>
      <c r="F142" s="96"/>
      <c r="G142" s="99"/>
      <c r="H142" s="99"/>
      <c r="I142" s="100"/>
      <c r="J142" s="101"/>
      <c r="K142" s="100"/>
      <c r="L142" s="112"/>
    </row>
    <row r="143" spans="1:12">
      <c r="A143" s="95"/>
      <c r="B143" s="95"/>
      <c r="C143" s="96"/>
      <c r="D143" s="97"/>
      <c r="E143" s="96"/>
      <c r="F143" s="96"/>
      <c r="G143" s="99"/>
      <c r="H143" s="99"/>
      <c r="I143" s="100"/>
      <c r="J143" s="101"/>
      <c r="K143" s="100"/>
      <c r="L143" s="112"/>
    </row>
    <row r="144" spans="1:12">
      <c r="A144" s="95"/>
      <c r="B144" s="95"/>
      <c r="C144" s="96"/>
      <c r="D144" s="97"/>
      <c r="E144" s="96"/>
      <c r="F144" s="96"/>
      <c r="G144" s="99"/>
      <c r="H144" s="99"/>
      <c r="I144" s="100"/>
      <c r="J144" s="101"/>
      <c r="K144" s="100"/>
      <c r="L144" s="112"/>
    </row>
    <row r="145" spans="1:12">
      <c r="A145" s="95"/>
      <c r="B145" s="95"/>
      <c r="C145" s="96"/>
      <c r="D145" s="97"/>
      <c r="E145" s="96"/>
      <c r="F145" s="96"/>
      <c r="G145" s="99"/>
      <c r="H145" s="99"/>
      <c r="I145" s="100"/>
      <c r="J145" s="101"/>
      <c r="K145" s="100"/>
      <c r="L145" s="112"/>
    </row>
    <row r="146" spans="1:12">
      <c r="A146" s="95"/>
      <c r="B146" s="95"/>
      <c r="C146" s="96"/>
      <c r="D146" s="97"/>
      <c r="E146" s="96"/>
      <c r="F146" s="96"/>
      <c r="G146" s="99"/>
      <c r="H146" s="99"/>
      <c r="I146" s="100"/>
      <c r="J146" s="101"/>
      <c r="K146" s="100"/>
      <c r="L146" s="112"/>
    </row>
    <row r="147" spans="1:12">
      <c r="A147" s="95"/>
      <c r="B147" s="95"/>
      <c r="C147" s="96"/>
      <c r="D147" s="97"/>
      <c r="E147" s="96"/>
      <c r="F147" s="96"/>
      <c r="G147" s="99"/>
      <c r="H147" s="99"/>
      <c r="I147" s="100"/>
      <c r="J147" s="101"/>
      <c r="K147" s="100"/>
      <c r="L147" s="112"/>
    </row>
    <row r="148" spans="1:12">
      <c r="A148" s="95"/>
      <c r="B148" s="95"/>
      <c r="C148" s="96"/>
      <c r="D148" s="97"/>
      <c r="E148" s="96"/>
      <c r="F148" s="96"/>
      <c r="G148" s="99"/>
      <c r="H148" s="99"/>
      <c r="I148" s="100"/>
      <c r="J148" s="101"/>
      <c r="K148" s="100"/>
      <c r="L148" s="112"/>
    </row>
    <row r="149" spans="1:12">
      <c r="A149" s="95"/>
      <c r="B149" s="95"/>
      <c r="C149" s="96"/>
      <c r="D149" s="97"/>
      <c r="E149" s="96"/>
      <c r="F149" s="96"/>
      <c r="G149" s="99"/>
      <c r="H149" s="99"/>
      <c r="I149" s="100"/>
      <c r="J149" s="101"/>
      <c r="K149" s="100"/>
      <c r="L149" s="112"/>
    </row>
    <row r="150" spans="1:12">
      <c r="A150" s="95"/>
      <c r="B150" s="95"/>
      <c r="C150" s="96"/>
      <c r="D150" s="97"/>
      <c r="E150" s="96"/>
      <c r="F150" s="96"/>
      <c r="G150" s="99"/>
      <c r="H150" s="99"/>
      <c r="I150" s="100"/>
      <c r="J150" s="101"/>
      <c r="K150" s="100"/>
      <c r="L150" s="112"/>
    </row>
    <row r="151" spans="1:12">
      <c r="A151" s="95"/>
      <c r="B151" s="95"/>
      <c r="C151" s="96"/>
      <c r="D151" s="97"/>
      <c r="E151" s="96"/>
      <c r="F151" s="96"/>
      <c r="G151" s="99"/>
      <c r="H151" s="99"/>
      <c r="I151" s="100"/>
      <c r="J151" s="101"/>
      <c r="K151" s="100"/>
      <c r="L151" s="112"/>
    </row>
    <row r="152" spans="1:12">
      <c r="A152" s="95"/>
      <c r="B152" s="95"/>
      <c r="C152" s="96"/>
      <c r="D152" s="97"/>
      <c r="E152" s="96"/>
      <c r="F152" s="96"/>
      <c r="G152" s="99"/>
      <c r="H152" s="99"/>
      <c r="I152" s="100"/>
      <c r="J152" s="101"/>
      <c r="K152" s="100"/>
      <c r="L152" s="112"/>
    </row>
    <row r="153" spans="1:12">
      <c r="A153" s="95"/>
      <c r="B153" s="95"/>
      <c r="C153" s="96"/>
      <c r="D153" s="97"/>
      <c r="E153" s="96"/>
      <c r="F153" s="96"/>
      <c r="G153" s="99"/>
      <c r="H153" s="99"/>
      <c r="I153" s="100"/>
      <c r="J153" s="101"/>
      <c r="K153" s="100"/>
      <c r="L153" s="112"/>
    </row>
    <row r="154" spans="1:12">
      <c r="A154" s="95"/>
      <c r="B154" s="95"/>
      <c r="C154" s="96"/>
      <c r="D154" s="97"/>
      <c r="E154" s="96"/>
      <c r="F154" s="96"/>
      <c r="G154" s="99"/>
      <c r="H154" s="99"/>
      <c r="I154" s="100"/>
      <c r="J154" s="101"/>
      <c r="K154" s="100"/>
      <c r="L154" s="112"/>
    </row>
    <row r="155" spans="1:12">
      <c r="A155" s="95"/>
      <c r="B155" s="95"/>
      <c r="C155" s="96"/>
      <c r="D155" s="97"/>
      <c r="E155" s="96"/>
      <c r="F155" s="96"/>
      <c r="G155" s="99"/>
      <c r="H155" s="99"/>
      <c r="I155" s="100"/>
      <c r="J155" s="101"/>
      <c r="K155" s="100"/>
      <c r="L155" s="112"/>
    </row>
    <row r="156" spans="1:12">
      <c r="A156" s="95"/>
      <c r="B156" s="95"/>
      <c r="C156" s="96"/>
      <c r="D156" s="97"/>
      <c r="E156" s="96"/>
      <c r="F156" s="96"/>
      <c r="G156" s="99"/>
      <c r="H156" s="99"/>
      <c r="I156" s="100"/>
      <c r="J156" s="101"/>
      <c r="K156" s="100"/>
      <c r="L156" s="112"/>
    </row>
    <row r="157" spans="1:12">
      <c r="A157" s="95"/>
      <c r="B157" s="95"/>
      <c r="C157" s="96"/>
      <c r="D157" s="97"/>
      <c r="E157" s="96"/>
      <c r="F157" s="96"/>
      <c r="G157" s="99"/>
      <c r="H157" s="99"/>
      <c r="I157" s="100"/>
      <c r="J157" s="101"/>
      <c r="K157" s="100"/>
      <c r="L157" s="112"/>
    </row>
    <row r="158" spans="1:12">
      <c r="A158" s="95"/>
      <c r="B158" s="95"/>
      <c r="C158" s="96"/>
      <c r="D158" s="97"/>
      <c r="E158" s="96"/>
      <c r="F158" s="96"/>
      <c r="G158" s="99"/>
      <c r="H158" s="99"/>
      <c r="I158" s="100"/>
      <c r="J158" s="101"/>
      <c r="K158" s="100"/>
      <c r="L158" s="112"/>
    </row>
    <row r="159" spans="1:12">
      <c r="A159" s="95"/>
      <c r="B159" s="95"/>
      <c r="C159" s="96"/>
      <c r="D159" s="97"/>
      <c r="E159" s="96"/>
      <c r="F159" s="96"/>
      <c r="G159" s="99"/>
      <c r="H159" s="99"/>
      <c r="I159" s="100"/>
      <c r="J159" s="101"/>
      <c r="K159" s="100"/>
      <c r="L159" s="112"/>
    </row>
    <row r="160" spans="1:12">
      <c r="A160" s="95"/>
      <c r="B160" s="95"/>
      <c r="C160" s="96"/>
      <c r="D160" s="97"/>
      <c r="E160" s="96"/>
      <c r="F160" s="96"/>
      <c r="G160" s="99"/>
      <c r="H160" s="99"/>
      <c r="I160" s="100"/>
      <c r="J160" s="101"/>
      <c r="K160" s="100"/>
      <c r="L160" s="112"/>
    </row>
    <row r="161" spans="1:12">
      <c r="A161" s="95"/>
      <c r="B161" s="95"/>
      <c r="C161" s="96"/>
      <c r="D161" s="97"/>
      <c r="E161" s="96"/>
      <c r="F161" s="96"/>
      <c r="G161" s="99"/>
      <c r="H161" s="99"/>
      <c r="I161" s="100"/>
      <c r="J161" s="101"/>
      <c r="K161" s="100"/>
      <c r="L161" s="112"/>
    </row>
    <row r="162" spans="1:12">
      <c r="A162" s="95"/>
      <c r="B162" s="95"/>
      <c r="C162" s="96"/>
      <c r="D162" s="97"/>
      <c r="E162" s="96"/>
      <c r="F162" s="96"/>
      <c r="G162" s="99"/>
      <c r="H162" s="99"/>
      <c r="I162" s="100"/>
      <c r="J162" s="101"/>
      <c r="K162" s="100"/>
      <c r="L162" s="112"/>
    </row>
    <row r="163" spans="1:12">
      <c r="A163" s="95"/>
      <c r="B163" s="95"/>
      <c r="C163" s="96"/>
      <c r="D163" s="97"/>
      <c r="E163" s="96"/>
      <c r="F163" s="96"/>
      <c r="G163" s="99"/>
      <c r="H163" s="99"/>
      <c r="I163" s="100"/>
      <c r="J163" s="101"/>
      <c r="K163" s="100"/>
      <c r="L163" s="112"/>
    </row>
    <row r="164" spans="1:12">
      <c r="A164" s="95"/>
      <c r="B164" s="95"/>
      <c r="C164" s="96"/>
      <c r="D164" s="97"/>
      <c r="E164" s="96"/>
      <c r="F164" s="96"/>
      <c r="G164" s="99"/>
      <c r="H164" s="99"/>
      <c r="I164" s="100"/>
      <c r="J164" s="101"/>
      <c r="K164" s="100"/>
      <c r="L164" s="112"/>
    </row>
    <row r="165" spans="1:12">
      <c r="A165" s="95"/>
      <c r="B165" s="95"/>
      <c r="C165" s="96"/>
      <c r="D165" s="97"/>
      <c r="E165" s="96"/>
      <c r="F165" s="96"/>
      <c r="G165" s="99"/>
      <c r="H165" s="99"/>
      <c r="I165" s="100"/>
      <c r="J165" s="101"/>
      <c r="K165" s="100"/>
      <c r="L165" s="112"/>
    </row>
    <row r="166" spans="1:12">
      <c r="A166" s="95"/>
      <c r="B166" s="95"/>
      <c r="C166" s="96"/>
      <c r="D166" s="97"/>
      <c r="E166" s="96"/>
      <c r="F166" s="96"/>
      <c r="G166" s="99"/>
      <c r="H166" s="99"/>
      <c r="I166" s="100"/>
      <c r="J166" s="101"/>
      <c r="K166" s="100"/>
      <c r="L166" s="112"/>
    </row>
    <row r="167" spans="1:12">
      <c r="A167" s="95"/>
      <c r="B167" s="95"/>
      <c r="C167" s="96"/>
      <c r="D167" s="97"/>
      <c r="E167" s="96"/>
      <c r="F167" s="96"/>
      <c r="G167" s="99"/>
      <c r="H167" s="99"/>
      <c r="I167" s="100"/>
      <c r="J167" s="101"/>
      <c r="K167" s="100"/>
      <c r="L167" s="112"/>
    </row>
    <row r="168" spans="1:12">
      <c r="A168" s="95"/>
      <c r="B168" s="95"/>
      <c r="C168" s="96"/>
      <c r="D168" s="97"/>
      <c r="E168" s="96"/>
      <c r="F168" s="96"/>
      <c r="G168" s="99"/>
      <c r="H168" s="99"/>
      <c r="I168" s="100"/>
      <c r="J168" s="101"/>
      <c r="K168" s="100"/>
      <c r="L168" s="112"/>
    </row>
    <row r="169" spans="1:12">
      <c r="A169" s="95"/>
      <c r="B169" s="95"/>
      <c r="C169" s="96"/>
      <c r="D169" s="97"/>
      <c r="E169" s="96"/>
      <c r="F169" s="96"/>
      <c r="G169" s="99"/>
      <c r="H169" s="99"/>
      <c r="I169" s="100"/>
      <c r="J169" s="101"/>
      <c r="K169" s="100"/>
      <c r="L169" s="112"/>
    </row>
    <row r="170" spans="1:12">
      <c r="A170" s="95"/>
      <c r="B170" s="95"/>
      <c r="C170" s="96"/>
      <c r="D170" s="97"/>
      <c r="E170" s="96"/>
      <c r="F170" s="96"/>
      <c r="G170" s="99"/>
      <c r="H170" s="99"/>
      <c r="I170" s="100"/>
      <c r="J170" s="101"/>
      <c r="K170" s="100"/>
      <c r="L170" s="112"/>
    </row>
    <row r="171" spans="1:12">
      <c r="A171" s="95"/>
      <c r="B171" s="95"/>
      <c r="C171" s="96"/>
      <c r="D171" s="97"/>
      <c r="E171" s="96"/>
      <c r="F171" s="96"/>
      <c r="G171" s="99"/>
      <c r="H171" s="99"/>
      <c r="I171" s="100"/>
      <c r="J171" s="101"/>
      <c r="K171" s="100"/>
      <c r="L171" s="112"/>
    </row>
    <row r="172" spans="1:12">
      <c r="A172" s="95"/>
      <c r="B172" s="95"/>
      <c r="C172" s="96"/>
      <c r="D172" s="97"/>
      <c r="E172" s="96"/>
      <c r="F172" s="96"/>
      <c r="G172" s="99"/>
      <c r="H172" s="99"/>
      <c r="I172" s="100"/>
      <c r="J172" s="101"/>
      <c r="K172" s="100"/>
      <c r="L172" s="112"/>
    </row>
    <row r="173" spans="1:12">
      <c r="A173" s="95"/>
      <c r="B173" s="95"/>
      <c r="C173" s="96"/>
      <c r="D173" s="97"/>
      <c r="E173" s="96"/>
      <c r="F173" s="96"/>
      <c r="G173" s="99"/>
      <c r="H173" s="99"/>
      <c r="I173" s="100"/>
      <c r="J173" s="101"/>
      <c r="K173" s="100"/>
      <c r="L173" s="112"/>
    </row>
    <row r="174" spans="1:12">
      <c r="A174" s="95"/>
      <c r="B174" s="95"/>
      <c r="C174" s="96"/>
      <c r="D174" s="97"/>
      <c r="E174" s="96"/>
      <c r="F174" s="96"/>
      <c r="G174" s="99"/>
      <c r="H174" s="99"/>
      <c r="I174" s="100"/>
      <c r="J174" s="101"/>
      <c r="K174" s="100"/>
      <c r="L174" s="112"/>
    </row>
    <row r="175" spans="1:12">
      <c r="A175" s="95"/>
      <c r="B175" s="95"/>
      <c r="C175" s="96"/>
      <c r="D175" s="97"/>
      <c r="E175" s="96"/>
      <c r="F175" s="96"/>
      <c r="G175" s="99"/>
      <c r="H175" s="99"/>
      <c r="I175" s="100"/>
      <c r="J175" s="101"/>
      <c r="K175" s="100"/>
      <c r="L175" s="112"/>
    </row>
    <row r="176" spans="1:12">
      <c r="A176" s="95"/>
      <c r="B176" s="95"/>
      <c r="C176" s="96"/>
      <c r="D176" s="97"/>
      <c r="E176" s="96"/>
      <c r="F176" s="96"/>
      <c r="G176" s="99"/>
      <c r="H176" s="99"/>
      <c r="I176" s="100"/>
      <c r="J176" s="101"/>
      <c r="K176" s="100"/>
      <c r="L176" s="112"/>
    </row>
    <row r="177" spans="1:12">
      <c r="A177" s="95"/>
      <c r="B177" s="95"/>
      <c r="C177" s="96"/>
      <c r="D177" s="97"/>
      <c r="E177" s="96"/>
      <c r="F177" s="96"/>
      <c r="G177" s="99"/>
      <c r="H177" s="99"/>
      <c r="I177" s="100"/>
      <c r="J177" s="101"/>
      <c r="K177" s="100"/>
      <c r="L177" s="112"/>
    </row>
    <row r="178" spans="1:12">
      <c r="A178" s="95"/>
      <c r="B178" s="95"/>
      <c r="C178" s="96"/>
      <c r="D178" s="97"/>
      <c r="E178" s="96"/>
      <c r="F178" s="96"/>
      <c r="G178" s="99"/>
      <c r="H178" s="99"/>
      <c r="I178" s="100"/>
      <c r="J178" s="101"/>
      <c r="K178" s="100"/>
      <c r="L178" s="112"/>
    </row>
    <row r="179" spans="1:12">
      <c r="A179" s="95"/>
      <c r="B179" s="95"/>
      <c r="C179" s="96"/>
      <c r="D179" s="97"/>
      <c r="E179" s="96"/>
      <c r="F179" s="96"/>
      <c r="G179" s="99"/>
      <c r="H179" s="99"/>
      <c r="I179" s="100"/>
      <c r="J179" s="101"/>
      <c r="K179" s="100"/>
      <c r="L179" s="112"/>
    </row>
    <row r="180" spans="1:12">
      <c r="A180" s="95"/>
      <c r="B180" s="95"/>
      <c r="C180" s="96"/>
      <c r="D180" s="97"/>
      <c r="E180" s="96"/>
      <c r="F180" s="96"/>
      <c r="G180" s="99"/>
      <c r="H180" s="99"/>
      <c r="I180" s="100"/>
      <c r="J180" s="101"/>
      <c r="K180" s="100"/>
      <c r="L180" s="112"/>
    </row>
    <row r="181" spans="1:12">
      <c r="A181" s="95"/>
      <c r="B181" s="95"/>
      <c r="C181" s="96"/>
      <c r="D181" s="97"/>
      <c r="E181" s="96"/>
      <c r="F181" s="96"/>
      <c r="G181" s="99"/>
      <c r="H181" s="99"/>
      <c r="I181" s="100"/>
      <c r="J181" s="101"/>
      <c r="K181" s="100"/>
      <c r="L181" s="112"/>
    </row>
    <row r="182" spans="1:12">
      <c r="A182" s="95"/>
      <c r="B182" s="95"/>
      <c r="C182" s="96"/>
      <c r="D182" s="97"/>
      <c r="E182" s="96"/>
      <c r="F182" s="96"/>
      <c r="G182" s="99"/>
      <c r="H182" s="99"/>
      <c r="I182" s="100"/>
      <c r="J182" s="101"/>
      <c r="K182" s="100"/>
      <c r="L182" s="112"/>
    </row>
    <row r="183" spans="1:12">
      <c r="A183" s="95"/>
      <c r="B183" s="95"/>
      <c r="C183" s="96"/>
      <c r="D183" s="97"/>
      <c r="E183" s="96"/>
      <c r="F183" s="96"/>
      <c r="G183" s="99"/>
      <c r="H183" s="99"/>
      <c r="I183" s="100"/>
      <c r="J183" s="101"/>
      <c r="K183" s="100"/>
      <c r="L183" s="112"/>
    </row>
    <row r="184" spans="1:12">
      <c r="A184" s="95"/>
      <c r="B184" s="95"/>
      <c r="C184" s="96"/>
      <c r="D184" s="97"/>
      <c r="E184" s="96"/>
      <c r="F184" s="96"/>
      <c r="G184" s="99"/>
      <c r="H184" s="99"/>
      <c r="I184" s="100"/>
      <c r="J184" s="101"/>
      <c r="K184" s="100"/>
      <c r="L184" s="112"/>
    </row>
    <row r="185" spans="1:12">
      <c r="A185" s="95"/>
      <c r="B185" s="95"/>
      <c r="C185" s="96"/>
      <c r="D185" s="97"/>
      <c r="E185" s="96"/>
      <c r="F185" s="96"/>
      <c r="G185" s="99"/>
      <c r="H185" s="99"/>
      <c r="I185" s="100"/>
      <c r="J185" s="101"/>
      <c r="K185" s="100"/>
      <c r="L185" s="112"/>
    </row>
    <row r="186" spans="1:12">
      <c r="A186" s="95"/>
      <c r="B186" s="95"/>
      <c r="C186" s="96"/>
      <c r="D186" s="97"/>
      <c r="E186" s="96"/>
      <c r="F186" s="96"/>
      <c r="G186" s="99"/>
      <c r="H186" s="99"/>
      <c r="I186" s="100"/>
      <c r="J186" s="101"/>
      <c r="K186" s="100"/>
      <c r="L186" s="112"/>
    </row>
    <row r="187" spans="1:12">
      <c r="A187" s="95"/>
      <c r="B187" s="95"/>
      <c r="C187" s="96"/>
      <c r="D187" s="97"/>
      <c r="E187" s="96"/>
      <c r="F187" s="96"/>
      <c r="G187" s="99"/>
      <c r="H187" s="99"/>
      <c r="I187" s="100"/>
      <c r="J187" s="101"/>
      <c r="K187" s="100"/>
      <c r="L187" s="112"/>
    </row>
    <row r="188" spans="1:12">
      <c r="A188" s="95"/>
      <c r="B188" s="95"/>
      <c r="C188" s="96"/>
      <c r="D188" s="97"/>
      <c r="E188" s="96"/>
      <c r="F188" s="96"/>
      <c r="G188" s="99"/>
      <c r="H188" s="99"/>
      <c r="I188" s="100"/>
      <c r="J188" s="101"/>
      <c r="K188" s="100"/>
      <c r="L188" s="112"/>
    </row>
    <row r="189" spans="1:12">
      <c r="A189" s="95"/>
      <c r="B189" s="95"/>
      <c r="C189" s="96"/>
      <c r="D189" s="97"/>
      <c r="E189" s="96"/>
      <c r="F189" s="96"/>
      <c r="G189" s="99"/>
      <c r="H189" s="99"/>
      <c r="I189" s="100"/>
      <c r="J189" s="101"/>
      <c r="K189" s="100"/>
      <c r="L189" s="112"/>
    </row>
    <row r="190" spans="1:12">
      <c r="A190" s="95"/>
      <c r="B190" s="95"/>
      <c r="C190" s="96"/>
      <c r="D190" s="97"/>
      <c r="E190" s="96"/>
      <c r="F190" s="96"/>
      <c r="G190" s="99"/>
      <c r="H190" s="99"/>
      <c r="I190" s="100"/>
      <c r="J190" s="101"/>
      <c r="K190" s="100"/>
      <c r="L190" s="112"/>
    </row>
    <row r="191" spans="1:12">
      <c r="A191" s="95"/>
      <c r="B191" s="95"/>
      <c r="C191" s="96"/>
      <c r="D191" s="97"/>
      <c r="E191" s="96"/>
      <c r="F191" s="96"/>
      <c r="G191" s="99"/>
      <c r="H191" s="99"/>
      <c r="I191" s="100"/>
      <c r="J191" s="101"/>
      <c r="K191" s="100"/>
      <c r="L191" s="112"/>
    </row>
    <row r="192" spans="1:12">
      <c r="A192" s="95"/>
      <c r="B192" s="95"/>
      <c r="C192" s="96"/>
      <c r="D192" s="97"/>
      <c r="E192" s="96"/>
      <c r="F192" s="96"/>
      <c r="G192" s="99"/>
      <c r="H192" s="99"/>
      <c r="I192" s="100"/>
      <c r="J192" s="101"/>
      <c r="K192" s="100"/>
      <c r="L192" s="112"/>
    </row>
    <row r="193" spans="1:12">
      <c r="A193" s="95"/>
      <c r="B193" s="95"/>
      <c r="C193" s="96"/>
      <c r="D193" s="97"/>
      <c r="E193" s="96"/>
      <c r="F193" s="96"/>
      <c r="G193" s="99"/>
      <c r="H193" s="99"/>
      <c r="I193" s="100"/>
      <c r="J193" s="101"/>
      <c r="K193" s="100"/>
      <c r="L193" s="112"/>
    </row>
    <row r="194" spans="1:12">
      <c r="A194" s="95"/>
      <c r="B194" s="95"/>
      <c r="C194" s="96"/>
      <c r="D194" s="97"/>
      <c r="E194" s="96"/>
      <c r="F194" s="96"/>
      <c r="G194" s="99"/>
      <c r="H194" s="99"/>
      <c r="I194" s="100"/>
      <c r="J194" s="101"/>
      <c r="K194" s="100"/>
      <c r="L194" s="112"/>
    </row>
    <row r="195" spans="1:12">
      <c r="A195" s="95"/>
      <c r="B195" s="95"/>
      <c r="C195" s="96"/>
      <c r="D195" s="97"/>
      <c r="E195" s="96"/>
      <c r="F195" s="96"/>
      <c r="G195" s="99"/>
      <c r="H195" s="99"/>
      <c r="I195" s="100"/>
      <c r="J195" s="101"/>
      <c r="K195" s="100"/>
      <c r="L195" s="112"/>
    </row>
    <row r="196" spans="1:12">
      <c r="A196" s="95"/>
      <c r="B196" s="95"/>
      <c r="C196" s="96"/>
      <c r="D196" s="97"/>
      <c r="E196" s="96"/>
      <c r="F196" s="96"/>
      <c r="G196" s="99"/>
      <c r="H196" s="99"/>
      <c r="I196" s="100"/>
      <c r="J196" s="101"/>
      <c r="K196" s="100"/>
      <c r="L196" s="112"/>
    </row>
    <row r="197" spans="1:12">
      <c r="A197" s="95"/>
      <c r="B197" s="95"/>
      <c r="C197" s="96"/>
      <c r="D197" s="97"/>
      <c r="E197" s="96"/>
      <c r="F197" s="96"/>
      <c r="G197" s="99"/>
      <c r="H197" s="99"/>
      <c r="I197" s="100"/>
      <c r="J197" s="101"/>
      <c r="K197" s="100"/>
      <c r="L197" s="112"/>
    </row>
    <row r="198" spans="1:12">
      <c r="A198" s="95"/>
      <c r="B198" s="95"/>
      <c r="C198" s="96"/>
      <c r="D198" s="97"/>
      <c r="E198" s="96"/>
      <c r="F198" s="96"/>
      <c r="G198" s="99"/>
      <c r="H198" s="99"/>
      <c r="I198" s="100"/>
      <c r="J198" s="101"/>
      <c r="K198" s="100"/>
      <c r="L198" s="112"/>
    </row>
    <row r="199" spans="1:12">
      <c r="A199" s="95"/>
      <c r="B199" s="95"/>
      <c r="C199" s="96"/>
      <c r="D199" s="97"/>
      <c r="E199" s="96"/>
      <c r="F199" s="96"/>
      <c r="G199" s="99"/>
      <c r="H199" s="99"/>
      <c r="I199" s="100"/>
      <c r="J199" s="101"/>
      <c r="K199" s="100"/>
      <c r="L199" s="112"/>
    </row>
    <row r="200" spans="1:12">
      <c r="A200" s="95"/>
      <c r="B200" s="95"/>
      <c r="C200" s="96"/>
      <c r="D200" s="97"/>
      <c r="E200" s="96"/>
      <c r="F200" s="96"/>
      <c r="G200" s="99"/>
      <c r="H200" s="99"/>
      <c r="I200" s="100"/>
      <c r="J200" s="101"/>
      <c r="K200" s="100"/>
      <c r="L200" s="113" t="s">
        <v>48</v>
      </c>
    </row>
  </sheetData>
  <mergeCells count="36">
    <mergeCell ref="L31:L40"/>
    <mergeCell ref="L41:L49"/>
    <mergeCell ref="G8:K10"/>
    <mergeCell ref="G13:K15"/>
    <mergeCell ref="G18:K20"/>
    <mergeCell ref="B18:E18"/>
    <mergeCell ref="D19:E19"/>
    <mergeCell ref="D20:E20"/>
    <mergeCell ref="A21:K21"/>
    <mergeCell ref="L24:L29"/>
    <mergeCell ref="D14:E14"/>
    <mergeCell ref="D15:E15"/>
    <mergeCell ref="A16:E16"/>
    <mergeCell ref="F16:K16"/>
    <mergeCell ref="B17:E17"/>
    <mergeCell ref="G17:K17"/>
    <mergeCell ref="A11:E11"/>
    <mergeCell ref="F11:K11"/>
    <mergeCell ref="B12:E12"/>
    <mergeCell ref="G12:K12"/>
    <mergeCell ref="B13:E13"/>
    <mergeCell ref="B7:E7"/>
    <mergeCell ref="G7:K7"/>
    <mergeCell ref="B8:E8"/>
    <mergeCell ref="D9:E9"/>
    <mergeCell ref="D10:E10"/>
    <mergeCell ref="A5:B5"/>
    <mergeCell ref="C5:D5"/>
    <mergeCell ref="E5:F5"/>
    <mergeCell ref="A6:E6"/>
    <mergeCell ref="F6:K6"/>
    <mergeCell ref="A1:K1"/>
    <mergeCell ref="A2:K2"/>
    <mergeCell ref="D3:E3"/>
    <mergeCell ref="I3:K3"/>
    <mergeCell ref="B4:C4"/>
  </mergeCells>
  <phoneticPr fontId="15" type="noConversion"/>
  <dataValidations count="16">
    <dataValidation allowBlank="1" showInputMessage="1" showErrorMessage="1" promptTitle="友情提示" prompt="提单上要求显示的SHIPPER_x000a_信息如果跟实际不符，请更新" sqref="B7:E7" xr:uid="{00000000-0002-0000-0000-000000000000}"/>
    <dataValidation allowBlank="1" showInputMessage="1" showErrorMessage="1" promptTitle="公司名，请参照填写说明核对信息" prompt="C/O 之前的公司名可更改，_x000a_ “C/O FBA”字样请勿删除。" sqref="B12:E12" xr:uid="{00000000-0002-0000-0000-000001000000}"/>
    <dataValidation allowBlank="1" showInputMessage="1" showErrorMessage="1" prompt="已根据目的港仓库的情况，安排到最优的FC。如收货人地址对应的FC与订舱时不一致，请勿修改." sqref="B13:E13" xr:uid="{00000000-0002-0000-0000-000002000000}"/>
    <dataValidation allowBlank="1" showInputMessage="1" showErrorMessage="1" promptTitle="提示" prompt="请参照填写说明核对信息" sqref="B17:E17" xr:uid="{00000000-0002-0000-0000-000003000000}"/>
    <dataValidation allowBlank="1" showInputMessage="1" showErrorMessage="1" promptTitle="通知人地址" prompt="已经预填最新FC仓库信息请勿修改_x000a_（CDA booking需要自行修改）" sqref="B18:E18" xr:uid="{00000000-0002-0000-0000-000004000000}"/>
    <dataValidation type="textLength" operator="equal" allowBlank="1" showInputMessage="1" showErrorMessage="1" errorTitle="箱号" error="只能是11位字符" promptTitle="集装箱箱号" prompt="一个柜子对应一行，多个柜子填多行" sqref="A23:A200" xr:uid="{00000000-0002-0000-0000-000005000000}">
      <formula1>11</formula1>
    </dataValidation>
    <dataValidation allowBlank="1" showInputMessage="1" showErrorMessage="1" promptTitle="集装箱封号" prompt="集装箱封号" sqref="B23:B200" xr:uid="{00000000-0002-0000-0000-000006000000}"/>
    <dataValidation type="whole" operator="greaterThanOrEqual" allowBlank="1" showInputMessage="1" showErrorMessage="1" errorTitle="件数" error="只能是整数" promptTitle="入仓总件数" prompt="等于出口报关总件数" sqref="C23:C200" xr:uid="{00000000-0002-0000-0000-000007000000}">
      <formula1>1</formula1>
    </dataValidation>
    <dataValidation type="decimal" allowBlank="1" showInputMessage="1" showErrorMessage="1" errorTitle="货物总毛重" error="请勿超重，只能填写数字" promptTitle="总毛重需要和报关资料重量保持一致" prompt="总毛重" sqref="E23:E200" xr:uid="{00000000-0002-0000-0000-000008000000}">
      <formula1>0</formula1>
      <formula2>25000</formula2>
    </dataValidation>
    <dataValidation type="decimal" allowBlank="1" showInputMessage="1" showErrorMessage="1" errorTitle="总体积" error="只能是数字，不能超80CBM" promptTitle="总体积" prompt="总体积" sqref="F23:F200" xr:uid="{00000000-0002-0000-0000-000009000000}">
      <formula1>0</formula1>
      <formula2>80</formula2>
    </dataValidation>
    <dataValidation allowBlank="1" showInputMessage="1" showErrorMessage="1" promptTitle="一行输入一个品名" prompt="1.一行输入一个品名。行数不够，超出的请在黄色以下填写；_x000a_2.上海和宁波必须和报关品名保持一致" sqref="G23:G200" xr:uid="{00000000-0002-0000-0000-00000A000000}"/>
    <dataValidation allowBlank="1" showInputMessage="1" showErrorMessage="1" promptTitle="HTS 6位纯数字" prompt="取值HS code 前六位。不能保存标点符号" sqref="H23:H200" xr:uid="{00000000-0002-0000-0000-00000B000000}"/>
    <dataValidation allowBlank="1" showInputMessage="1" showErrorMessage="1" promptTitle="请根据实际填写国家" prompt="请根据实际填写国家" sqref="I23:I200" xr:uid="{00000000-0002-0000-0000-00000C000000}"/>
    <dataValidation allowBlank="1" showInputMessage="1" showErrorMessage="1" prompt="比如，是否 301豁免. 如果没有无需备注" sqref="J23:J200" xr:uid="{00000000-0002-0000-0000-00000D000000}"/>
    <dataValidation allowBlank="1" showInputMessage="1" showErrorMessage="1" promptTitle="唛头，必填" prompt="有唛头就按照实际，没有唛头就写：N/M" sqref="K23:K200" xr:uid="{00000000-0002-0000-0000-00000E000000}"/>
    <dataValidation allowBlank="1" showErrorMessage="1" sqref="G201:J1048576" xr:uid="{00000000-0002-0000-0000-00000F000000}"/>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0"/>
  <sheetViews>
    <sheetView workbookViewId="0">
      <selection activeCell="H25" sqref="H25"/>
    </sheetView>
  </sheetViews>
  <sheetFormatPr defaultColWidth="9.109375" defaultRowHeight="14.4"/>
  <cols>
    <col min="1" max="2" width="27" style="57" customWidth="1"/>
    <col min="3" max="3" width="23.88671875" style="57" customWidth="1"/>
    <col min="4" max="4" width="9.109375" style="57" customWidth="1"/>
    <col min="5" max="16384" width="9.109375" style="57"/>
  </cols>
  <sheetData>
    <row r="1" spans="1:16" ht="40.549999999999997" customHeight="1">
      <c r="A1" s="148" t="s">
        <v>49</v>
      </c>
      <c r="B1" s="149"/>
      <c r="C1" s="150"/>
      <c r="D1" s="151" t="s">
        <v>50</v>
      </c>
      <c r="E1" s="152"/>
      <c r="F1" s="152"/>
      <c r="G1" s="152"/>
      <c r="H1" s="152"/>
      <c r="I1" s="152"/>
      <c r="J1" s="152"/>
      <c r="K1" s="152"/>
      <c r="L1" s="152"/>
      <c r="M1" s="152"/>
      <c r="N1" s="152"/>
      <c r="O1" s="152"/>
      <c r="P1" s="152"/>
    </row>
    <row r="2" spans="1:16" ht="28.05" customHeight="1">
      <c r="A2" s="58" t="s">
        <v>51</v>
      </c>
      <c r="B2" s="58" t="s">
        <v>52</v>
      </c>
      <c r="C2" s="58" t="s">
        <v>53</v>
      </c>
      <c r="D2" s="153" t="s">
        <v>54</v>
      </c>
      <c r="E2" s="152"/>
      <c r="F2" s="152"/>
      <c r="G2" s="152"/>
      <c r="H2" s="152"/>
      <c r="I2" s="152"/>
      <c r="J2" s="152"/>
      <c r="K2" s="152"/>
      <c r="L2" s="152"/>
      <c r="M2" s="152"/>
      <c r="N2" s="152"/>
      <c r="O2" s="152"/>
      <c r="P2" s="152"/>
    </row>
    <row r="3" spans="1:16" ht="15.05">
      <c r="A3" s="59" t="str">
        <f>IF(Summary!E3="","",Summary!E3)</f>
        <v/>
      </c>
      <c r="B3" s="59" t="str">
        <f>IF(Summary!J3="","",Summary!J3)</f>
        <v/>
      </c>
      <c r="C3" s="60" t="str">
        <f>Summary!H3</f>
        <v/>
      </c>
      <c r="D3" s="153" t="s">
        <v>55</v>
      </c>
      <c r="E3" s="152"/>
      <c r="F3" s="152"/>
      <c r="G3" s="152"/>
      <c r="H3" s="152"/>
      <c r="I3" s="152"/>
      <c r="J3" s="152"/>
      <c r="K3" s="152"/>
      <c r="L3" s="152"/>
      <c r="M3" s="152"/>
      <c r="N3" s="152"/>
      <c r="O3" s="152"/>
      <c r="P3" s="152"/>
    </row>
    <row r="4" spans="1:16" ht="14.6" customHeight="1">
      <c r="A4" s="59" t="str">
        <f>IF(Summary!E4="","",Summary!E4)</f>
        <v/>
      </c>
      <c r="B4" s="59" t="str">
        <f>IF(Summary!J4="","",Summary!J4)</f>
        <v/>
      </c>
      <c r="C4" s="60" t="str">
        <f>Summary!H4</f>
        <v/>
      </c>
      <c r="D4" s="61"/>
      <c r="E4" s="62"/>
      <c r="F4" s="62"/>
      <c r="G4" s="62"/>
      <c r="H4" s="62"/>
      <c r="I4" s="62"/>
      <c r="J4" s="62"/>
      <c r="K4" s="62"/>
      <c r="L4" s="62"/>
      <c r="M4" s="62"/>
      <c r="N4" s="62"/>
      <c r="O4" s="62"/>
      <c r="P4" s="62"/>
    </row>
    <row r="5" spans="1:16" ht="14.6" customHeight="1">
      <c r="A5" s="59" t="str">
        <f>IF(Summary!E5="","",Summary!E5)</f>
        <v/>
      </c>
      <c r="B5" s="59" t="str">
        <f>IF(Summary!J5="","",Summary!J5)</f>
        <v/>
      </c>
      <c r="C5" s="60" t="str">
        <f>Summary!H5</f>
        <v/>
      </c>
      <c r="D5" s="61"/>
      <c r="E5" s="62"/>
      <c r="F5" s="62"/>
      <c r="G5" s="62"/>
      <c r="H5" s="62"/>
      <c r="I5" s="62"/>
      <c r="J5" s="62"/>
      <c r="K5" s="62"/>
      <c r="L5" s="62"/>
      <c r="M5" s="62"/>
      <c r="N5" s="62"/>
      <c r="O5" s="62"/>
      <c r="P5" s="62"/>
    </row>
    <row r="6" spans="1:16" ht="14.6" customHeight="1">
      <c r="A6" s="59" t="str">
        <f>IF(Summary!E6="","",Summary!E6)</f>
        <v/>
      </c>
      <c r="B6" s="59" t="str">
        <f>IF(Summary!J6="","",Summary!J6)</f>
        <v/>
      </c>
      <c r="C6" s="60" t="str">
        <f>Summary!H6</f>
        <v/>
      </c>
      <c r="D6" s="61"/>
      <c r="E6" s="62"/>
      <c r="F6" s="62"/>
      <c r="G6" s="62"/>
      <c r="H6" s="62"/>
      <c r="I6" s="62"/>
      <c r="J6" s="62"/>
      <c r="K6" s="62"/>
      <c r="L6" s="62"/>
      <c r="M6" s="62"/>
      <c r="N6" s="62"/>
      <c r="O6" s="62"/>
      <c r="P6" s="62"/>
    </row>
    <row r="7" spans="1:16" ht="14.6" customHeight="1">
      <c r="A7" s="59" t="str">
        <f>IF(Summary!E7="","",Summary!E7)</f>
        <v/>
      </c>
      <c r="B7" s="59" t="str">
        <f>IF(Summary!J7="","",Summary!J7)</f>
        <v/>
      </c>
      <c r="C7" s="60" t="str">
        <f>Summary!H7</f>
        <v/>
      </c>
      <c r="D7" s="61"/>
      <c r="E7" s="62"/>
      <c r="F7" s="62"/>
      <c r="G7" s="62"/>
      <c r="H7" s="62"/>
      <c r="I7" s="62"/>
      <c r="J7" s="62"/>
      <c r="K7" s="62"/>
      <c r="L7" s="62"/>
      <c r="M7" s="62"/>
      <c r="N7" s="62"/>
      <c r="O7" s="62"/>
      <c r="P7" s="62"/>
    </row>
    <row r="8" spans="1:16" ht="14.6" customHeight="1">
      <c r="A8" s="59" t="str">
        <f>IF(Summary!E8="","",Summary!E8)</f>
        <v/>
      </c>
      <c r="B8" s="59" t="str">
        <f>IF(Summary!J8="","",Summary!J8)</f>
        <v/>
      </c>
      <c r="C8" s="60" t="str">
        <f>Summary!H8</f>
        <v/>
      </c>
      <c r="D8" s="61"/>
      <c r="E8" s="62"/>
      <c r="F8" s="62"/>
      <c r="G8" s="62"/>
      <c r="H8" s="62"/>
      <c r="I8" s="62"/>
      <c r="J8" s="62"/>
      <c r="K8" s="62"/>
      <c r="L8" s="62"/>
      <c r="M8" s="62"/>
      <c r="N8" s="62"/>
      <c r="O8" s="62"/>
      <c r="P8" s="62"/>
    </row>
    <row r="9" spans="1:16" ht="14.6" customHeight="1">
      <c r="A9" s="59" t="str">
        <f>IF(Summary!E9="","",Summary!E9)</f>
        <v/>
      </c>
      <c r="B9" s="59" t="str">
        <f>IF(Summary!J9="","",Summary!J9)</f>
        <v/>
      </c>
      <c r="C9" s="60" t="str">
        <f>Summary!H9</f>
        <v/>
      </c>
      <c r="D9" s="61"/>
      <c r="E9" s="62"/>
      <c r="F9" s="62"/>
      <c r="G9" s="62"/>
      <c r="H9" s="62"/>
      <c r="I9" s="62"/>
      <c r="J9" s="62"/>
      <c r="K9" s="62"/>
      <c r="L9" s="62"/>
      <c r="M9" s="62"/>
      <c r="N9" s="62"/>
      <c r="O9" s="62"/>
      <c r="P9" s="62"/>
    </row>
    <row r="10" spans="1:16" ht="14.6" customHeight="1">
      <c r="A10" s="59" t="str">
        <f>IF(Summary!E10="","",Summary!E10)</f>
        <v/>
      </c>
      <c r="B10" s="59" t="str">
        <f>IF(Summary!J10="","",Summary!J10)</f>
        <v/>
      </c>
      <c r="C10" s="60" t="str">
        <f>Summary!H10</f>
        <v/>
      </c>
      <c r="D10" s="61"/>
      <c r="E10" s="62"/>
      <c r="F10" s="62"/>
      <c r="G10" s="62"/>
      <c r="H10" s="62"/>
      <c r="I10" s="62"/>
      <c r="J10" s="62"/>
      <c r="K10" s="62"/>
      <c r="L10" s="62"/>
      <c r="M10" s="62"/>
      <c r="N10" s="62"/>
      <c r="O10" s="62"/>
      <c r="P10" s="62"/>
    </row>
    <row r="11" spans="1:16" ht="14.6" customHeight="1">
      <c r="A11" s="59" t="str">
        <f>IF(Summary!E11="","",Summary!E11)</f>
        <v/>
      </c>
      <c r="B11" s="59" t="str">
        <f>IF(Summary!J11="","",Summary!J11)</f>
        <v/>
      </c>
      <c r="C11" s="60" t="str">
        <f>Summary!H11</f>
        <v/>
      </c>
      <c r="D11" s="61"/>
      <c r="E11" s="62"/>
      <c r="F11" s="62"/>
      <c r="G11" s="62"/>
      <c r="H11" s="62"/>
      <c r="I11" s="62"/>
      <c r="J11" s="62"/>
      <c r="K11" s="62"/>
      <c r="L11" s="62"/>
      <c r="M11" s="62"/>
      <c r="N11" s="62"/>
      <c r="O11" s="62"/>
      <c r="P11" s="62"/>
    </row>
    <row r="12" spans="1:16" ht="14.6" customHeight="1">
      <c r="A12" s="59" t="str">
        <f>IF(Summary!E12="","",Summary!E12)</f>
        <v/>
      </c>
      <c r="B12" s="59" t="str">
        <f>IF(Summary!J12="","",Summary!J12)</f>
        <v/>
      </c>
      <c r="C12" s="60" t="str">
        <f>Summary!H12</f>
        <v/>
      </c>
      <c r="D12" s="61"/>
      <c r="E12" s="62"/>
      <c r="F12" s="62"/>
      <c r="G12" s="62"/>
      <c r="H12" s="62"/>
      <c r="I12" s="62"/>
      <c r="J12" s="62"/>
      <c r="K12" s="62"/>
      <c r="L12" s="62"/>
      <c r="M12" s="62"/>
      <c r="N12" s="62"/>
      <c r="O12" s="62"/>
      <c r="P12" s="62"/>
    </row>
    <row r="13" spans="1:16">
      <c r="A13" s="59" t="str">
        <f>IF(Summary!E13="","",Summary!E13)</f>
        <v/>
      </c>
      <c r="B13" s="59" t="str">
        <f>IF(Summary!J13="","",Summary!J13)</f>
        <v/>
      </c>
      <c r="C13" s="60" t="str">
        <f>Summary!H13</f>
        <v/>
      </c>
      <c r="D13" s="63"/>
      <c r="E13" s="63"/>
      <c r="F13" s="63"/>
      <c r="G13" s="63"/>
    </row>
    <row r="14" spans="1:16">
      <c r="A14" s="59" t="str">
        <f>IF(Summary!E14="","",Summary!E14)</f>
        <v/>
      </c>
      <c r="B14" s="59" t="str">
        <f>IF(Summary!J14="","",Summary!J14)</f>
        <v/>
      </c>
      <c r="C14" s="60" t="str">
        <f>Summary!H14</f>
        <v/>
      </c>
      <c r="D14" s="63"/>
      <c r="E14" s="63"/>
      <c r="F14" s="63"/>
      <c r="G14" s="63"/>
    </row>
    <row r="15" spans="1:16">
      <c r="A15" s="59" t="str">
        <f>IF(Summary!E15="","",Summary!E15)</f>
        <v/>
      </c>
      <c r="B15" s="59" t="str">
        <f>IF(Summary!J15="","",Summary!J15)</f>
        <v/>
      </c>
      <c r="C15" s="60" t="str">
        <f>Summary!H15</f>
        <v/>
      </c>
    </row>
    <row r="16" spans="1:16">
      <c r="A16" s="59" t="str">
        <f>IF(Summary!E16="","",Summary!E16)</f>
        <v/>
      </c>
      <c r="B16" s="59" t="str">
        <f>IF(Summary!J16="","",Summary!J16)</f>
        <v/>
      </c>
      <c r="C16" s="60" t="str">
        <f>Summary!H16</f>
        <v/>
      </c>
    </row>
    <row r="17" spans="1:3">
      <c r="A17" s="59" t="str">
        <f>IF(Summary!E17="","",Summary!E17)</f>
        <v/>
      </c>
      <c r="B17" s="59" t="str">
        <f>IF(Summary!J17="","",Summary!J17)</f>
        <v/>
      </c>
      <c r="C17" s="60" t="str">
        <f>Summary!H17</f>
        <v/>
      </c>
    </row>
    <row r="18" spans="1:3">
      <c r="A18" s="59" t="str">
        <f>IF(Summary!E18="","",Summary!E18)</f>
        <v/>
      </c>
      <c r="B18" s="59" t="str">
        <f>IF(Summary!J18="","",Summary!J18)</f>
        <v/>
      </c>
      <c r="C18" s="60" t="str">
        <f>Summary!H18</f>
        <v/>
      </c>
    </row>
    <row r="19" spans="1:3">
      <c r="A19" s="59" t="str">
        <f>IF(Summary!E19="","",Summary!E19)</f>
        <v/>
      </c>
      <c r="B19" s="59" t="str">
        <f>IF(Summary!J19="","",Summary!J19)</f>
        <v/>
      </c>
      <c r="C19" s="60" t="str">
        <f>Summary!H19</f>
        <v/>
      </c>
    </row>
    <row r="20" spans="1:3">
      <c r="A20" s="59" t="str">
        <f>IF(Summary!E20="","",Summary!E20)</f>
        <v/>
      </c>
      <c r="B20" s="59" t="str">
        <f>IF(Summary!J20="","",Summary!J20)</f>
        <v/>
      </c>
      <c r="C20" s="60" t="str">
        <f>Summary!H20</f>
        <v/>
      </c>
    </row>
    <row r="21" spans="1:3">
      <c r="A21" s="59" t="str">
        <f>IF(Summary!E21="","",Summary!E21)</f>
        <v/>
      </c>
      <c r="B21" s="59" t="str">
        <f>IF(Summary!J21="","",Summary!J21)</f>
        <v/>
      </c>
      <c r="C21" s="60" t="str">
        <f>Summary!H21</f>
        <v/>
      </c>
    </row>
    <row r="22" spans="1:3">
      <c r="A22" s="59" t="str">
        <f>IF(Summary!E22="","",Summary!E22)</f>
        <v/>
      </c>
      <c r="B22" s="59" t="str">
        <f>IF(Summary!J22="","",Summary!J22)</f>
        <v/>
      </c>
      <c r="C22" s="60" t="str">
        <f>Summary!H22</f>
        <v/>
      </c>
    </row>
    <row r="23" spans="1:3">
      <c r="A23" s="59" t="str">
        <f>IF(Summary!E23="","",Summary!E23)</f>
        <v/>
      </c>
      <c r="B23" s="59" t="str">
        <f>IF(Summary!J23="","",Summary!J23)</f>
        <v/>
      </c>
      <c r="C23" s="60" t="str">
        <f>Summary!H23</f>
        <v/>
      </c>
    </row>
    <row r="24" spans="1:3">
      <c r="A24" s="59" t="str">
        <f>IF(Summary!E24="","",Summary!E24)</f>
        <v/>
      </c>
      <c r="B24" s="59" t="str">
        <f>IF(Summary!J24="","",Summary!J24)</f>
        <v/>
      </c>
      <c r="C24" s="60" t="str">
        <f>Summary!H24</f>
        <v/>
      </c>
    </row>
    <row r="25" spans="1:3">
      <c r="A25" s="59" t="str">
        <f>IF(Summary!E25="","",Summary!E25)</f>
        <v/>
      </c>
      <c r="B25" s="59" t="str">
        <f>IF(Summary!J25="","",Summary!J25)</f>
        <v/>
      </c>
      <c r="C25" s="60" t="str">
        <f>Summary!H25</f>
        <v/>
      </c>
    </row>
    <row r="26" spans="1:3">
      <c r="A26" s="59" t="str">
        <f>IF(Summary!E26="","",Summary!E26)</f>
        <v/>
      </c>
      <c r="B26" s="59" t="str">
        <f>IF(Summary!J26="","",Summary!J26)</f>
        <v/>
      </c>
      <c r="C26" s="60" t="str">
        <f>Summary!H26</f>
        <v/>
      </c>
    </row>
    <row r="27" spans="1:3">
      <c r="A27" s="59" t="str">
        <f>IF(Summary!E27="","",Summary!E27)</f>
        <v/>
      </c>
      <c r="B27" s="59" t="str">
        <f>IF(Summary!J27="","",Summary!J27)</f>
        <v/>
      </c>
      <c r="C27" s="60" t="str">
        <f>Summary!H27</f>
        <v/>
      </c>
    </row>
    <row r="28" spans="1:3">
      <c r="A28" s="59" t="str">
        <f>IF(Summary!E28="","",Summary!E28)</f>
        <v/>
      </c>
      <c r="B28" s="59" t="str">
        <f>IF(Summary!J28="","",Summary!J28)</f>
        <v/>
      </c>
      <c r="C28" s="60" t="str">
        <f>Summary!H28</f>
        <v/>
      </c>
    </row>
    <row r="29" spans="1:3">
      <c r="A29" s="59" t="str">
        <f>IF(Summary!E29="","",Summary!E29)</f>
        <v/>
      </c>
      <c r="B29" s="59" t="str">
        <f>IF(Summary!J29="","",Summary!J29)</f>
        <v/>
      </c>
      <c r="C29" s="60" t="str">
        <f>Summary!H29</f>
        <v/>
      </c>
    </row>
    <row r="30" spans="1:3">
      <c r="A30" s="59" t="str">
        <f>IF(Summary!E30="","",Summary!E30)</f>
        <v/>
      </c>
      <c r="B30" s="59" t="str">
        <f>IF(Summary!J30="","",Summary!J30)</f>
        <v/>
      </c>
      <c r="C30" s="60" t="str">
        <f>Summary!H30</f>
        <v/>
      </c>
    </row>
    <row r="31" spans="1:3">
      <c r="A31" s="59" t="str">
        <f>IF(Summary!E31="","",Summary!E31)</f>
        <v/>
      </c>
      <c r="B31" s="59" t="str">
        <f>IF(Summary!J31="","",Summary!J31)</f>
        <v/>
      </c>
      <c r="C31" s="60" t="str">
        <f>Summary!H31</f>
        <v/>
      </c>
    </row>
    <row r="32" spans="1:3">
      <c r="A32" s="59" t="str">
        <f>IF(Summary!E32="","",Summary!E32)</f>
        <v/>
      </c>
      <c r="B32" s="59" t="str">
        <f>IF(Summary!J32="","",Summary!J32)</f>
        <v/>
      </c>
      <c r="C32" s="60" t="str">
        <f>Summary!H32</f>
        <v/>
      </c>
    </row>
    <row r="33" spans="1:3">
      <c r="A33" s="59" t="str">
        <f>IF(Summary!E33="","",Summary!E33)</f>
        <v/>
      </c>
      <c r="B33" s="59" t="str">
        <f>IF(Summary!J33="","",Summary!J33)</f>
        <v/>
      </c>
      <c r="C33" s="60" t="str">
        <f>Summary!H33</f>
        <v/>
      </c>
    </row>
    <row r="34" spans="1:3">
      <c r="A34" s="59" t="str">
        <f>IF(Summary!E34="","",Summary!E34)</f>
        <v/>
      </c>
      <c r="B34" s="59" t="str">
        <f>IF(Summary!J34="","",Summary!J34)</f>
        <v/>
      </c>
      <c r="C34" s="60" t="str">
        <f>Summary!H34</f>
        <v/>
      </c>
    </row>
    <row r="35" spans="1:3">
      <c r="A35" s="59" t="str">
        <f>IF(Summary!E35="","",Summary!E35)</f>
        <v/>
      </c>
      <c r="B35" s="59" t="str">
        <f>IF(Summary!J35="","",Summary!J35)</f>
        <v/>
      </c>
      <c r="C35" s="60" t="str">
        <f>Summary!H35</f>
        <v/>
      </c>
    </row>
    <row r="36" spans="1:3">
      <c r="A36" s="59" t="str">
        <f>IF(Summary!E36="","",Summary!E36)</f>
        <v/>
      </c>
      <c r="B36" s="59" t="str">
        <f>IF(Summary!J36="","",Summary!J36)</f>
        <v/>
      </c>
      <c r="C36" s="60" t="str">
        <f>Summary!H36</f>
        <v/>
      </c>
    </row>
    <row r="37" spans="1:3">
      <c r="A37" s="59" t="str">
        <f>IF(Summary!E37="","",Summary!E37)</f>
        <v/>
      </c>
      <c r="B37" s="59" t="str">
        <f>IF(Summary!J37="","",Summary!J37)</f>
        <v/>
      </c>
      <c r="C37" s="60" t="str">
        <f>Summary!H37</f>
        <v/>
      </c>
    </row>
    <row r="38" spans="1:3">
      <c r="A38" s="59" t="str">
        <f>IF(Summary!E38="","",Summary!E38)</f>
        <v/>
      </c>
      <c r="B38" s="59" t="str">
        <f>IF(Summary!J38="","",Summary!J38)</f>
        <v/>
      </c>
      <c r="C38" s="60" t="str">
        <f>Summary!H38</f>
        <v/>
      </c>
    </row>
    <row r="39" spans="1:3">
      <c r="A39" s="59" t="str">
        <f>IF(Summary!E39="","",Summary!E39)</f>
        <v/>
      </c>
      <c r="B39" s="59" t="str">
        <f>IF(Summary!J39="","",Summary!J39)</f>
        <v/>
      </c>
      <c r="C39" s="60" t="str">
        <f>Summary!H39</f>
        <v/>
      </c>
    </row>
    <row r="40" spans="1:3">
      <c r="A40" s="59" t="str">
        <f>IF(Summary!E40="","",Summary!E40)</f>
        <v/>
      </c>
      <c r="B40" s="59" t="str">
        <f>IF(Summary!J40="","",Summary!J40)</f>
        <v/>
      </c>
      <c r="C40" s="60" t="str">
        <f>Summary!H40</f>
        <v/>
      </c>
    </row>
    <row r="41" spans="1:3">
      <c r="A41" s="59" t="str">
        <f>IF(Summary!E41="","",Summary!E41)</f>
        <v/>
      </c>
      <c r="B41" s="59" t="str">
        <f>IF(Summary!J41="","",Summary!J41)</f>
        <v/>
      </c>
      <c r="C41" s="60" t="str">
        <f>Summary!H41</f>
        <v/>
      </c>
    </row>
    <row r="42" spans="1:3">
      <c r="A42" s="59" t="str">
        <f>IF(Summary!E42="","",Summary!E42)</f>
        <v/>
      </c>
      <c r="B42" s="59" t="str">
        <f>IF(Summary!J42="","",Summary!J42)</f>
        <v/>
      </c>
      <c r="C42" s="60" t="str">
        <f>Summary!H42</f>
        <v/>
      </c>
    </row>
    <row r="43" spans="1:3">
      <c r="A43" s="59" t="str">
        <f>IF(Summary!E43="","",Summary!E43)</f>
        <v/>
      </c>
      <c r="B43" s="59" t="str">
        <f>IF(Summary!J43="","",Summary!J43)</f>
        <v/>
      </c>
      <c r="C43" s="60" t="str">
        <f>Summary!H43</f>
        <v/>
      </c>
    </row>
    <row r="44" spans="1:3">
      <c r="A44" s="59" t="str">
        <f>IF(Summary!E44="","",Summary!E44)</f>
        <v/>
      </c>
      <c r="B44" s="59" t="str">
        <f>IF(Summary!J44="","",Summary!J44)</f>
        <v/>
      </c>
      <c r="C44" s="60" t="str">
        <f>Summary!H44</f>
        <v/>
      </c>
    </row>
    <row r="45" spans="1:3">
      <c r="A45" s="59" t="str">
        <f>IF(Summary!E45="","",Summary!E45)</f>
        <v/>
      </c>
      <c r="B45" s="59" t="str">
        <f>IF(Summary!J45="","",Summary!J45)</f>
        <v/>
      </c>
      <c r="C45" s="60" t="str">
        <f>Summary!H45</f>
        <v/>
      </c>
    </row>
    <row r="46" spans="1:3">
      <c r="A46" s="59" t="str">
        <f>IF(Summary!E46="","",Summary!E46)</f>
        <v/>
      </c>
      <c r="B46" s="59" t="str">
        <f>IF(Summary!J46="","",Summary!J46)</f>
        <v/>
      </c>
      <c r="C46" s="60" t="str">
        <f>Summary!H46</f>
        <v/>
      </c>
    </row>
    <row r="47" spans="1:3">
      <c r="A47" s="59" t="str">
        <f>IF(Summary!E47="","",Summary!E47)</f>
        <v/>
      </c>
      <c r="B47" s="59" t="str">
        <f>IF(Summary!J47="","",Summary!J47)</f>
        <v/>
      </c>
      <c r="C47" s="60" t="str">
        <f>Summary!H47</f>
        <v/>
      </c>
    </row>
    <row r="48" spans="1:3">
      <c r="A48" s="59" t="str">
        <f>IF(Summary!E48="","",Summary!E48)</f>
        <v/>
      </c>
      <c r="B48" s="59" t="str">
        <f>IF(Summary!J48="","",Summary!J48)</f>
        <v/>
      </c>
      <c r="C48" s="60" t="str">
        <f>Summary!H48</f>
        <v/>
      </c>
    </row>
    <row r="49" spans="1:3">
      <c r="A49" s="59" t="str">
        <f>IF(Summary!E49="","",Summary!E49)</f>
        <v/>
      </c>
      <c r="B49" s="59" t="str">
        <f>IF(Summary!J49="","",Summary!J49)</f>
        <v/>
      </c>
      <c r="C49" s="60" t="str">
        <f>Summary!H49</f>
        <v/>
      </c>
    </row>
    <row r="50" spans="1:3">
      <c r="A50" s="59" t="str">
        <f>IF(Summary!E50="","",Summary!E50)</f>
        <v/>
      </c>
      <c r="B50" s="59" t="str">
        <f>IF(Summary!J50="","",Summary!J50)</f>
        <v/>
      </c>
      <c r="C50" s="60" t="str">
        <f>Summary!H50</f>
        <v/>
      </c>
    </row>
    <row r="51" spans="1:3">
      <c r="A51" s="59" t="str">
        <f>IF(Summary!E51="","",Summary!E51)</f>
        <v/>
      </c>
      <c r="B51" s="59" t="str">
        <f>IF(Summary!J51="","",Summary!J51)</f>
        <v/>
      </c>
      <c r="C51" s="60" t="str">
        <f>Summary!H51</f>
        <v/>
      </c>
    </row>
    <row r="52" spans="1:3">
      <c r="A52" s="59" t="str">
        <f>IF(Summary!E52="","",Summary!E52)</f>
        <v/>
      </c>
      <c r="B52" s="59" t="str">
        <f>IF(Summary!J52="","",Summary!J52)</f>
        <v/>
      </c>
      <c r="C52" s="60" t="str">
        <f>Summary!H52</f>
        <v/>
      </c>
    </row>
    <row r="53" spans="1:3">
      <c r="A53" s="59" t="str">
        <f>IF(Summary!E53="","",Summary!E53)</f>
        <v/>
      </c>
      <c r="B53" s="59" t="str">
        <f>IF(Summary!J53="","",Summary!J53)</f>
        <v/>
      </c>
      <c r="C53" s="60" t="str">
        <f>Summary!H53</f>
        <v/>
      </c>
    </row>
    <row r="54" spans="1:3">
      <c r="A54" s="59" t="str">
        <f>IF(Summary!E54="","",Summary!E54)</f>
        <v/>
      </c>
      <c r="B54" s="59" t="str">
        <f>IF(Summary!J54="","",Summary!J54)</f>
        <v/>
      </c>
      <c r="C54" s="60" t="str">
        <f>Summary!H54</f>
        <v/>
      </c>
    </row>
    <row r="55" spans="1:3">
      <c r="A55" s="59" t="str">
        <f>IF(Summary!E55="","",Summary!E55)</f>
        <v/>
      </c>
      <c r="B55" s="59" t="str">
        <f>IF(Summary!J55="","",Summary!J55)</f>
        <v/>
      </c>
      <c r="C55" s="60" t="str">
        <f>Summary!H55</f>
        <v/>
      </c>
    </row>
    <row r="56" spans="1:3">
      <c r="A56" s="59" t="str">
        <f>IF(Summary!E56="","",Summary!E56)</f>
        <v/>
      </c>
      <c r="B56" s="59" t="str">
        <f>IF(Summary!J56="","",Summary!J56)</f>
        <v/>
      </c>
      <c r="C56" s="60" t="str">
        <f>Summary!H56</f>
        <v/>
      </c>
    </row>
    <row r="57" spans="1:3">
      <c r="A57" s="59" t="str">
        <f>IF(Summary!E57="","",Summary!E57)</f>
        <v/>
      </c>
      <c r="B57" s="59" t="str">
        <f>IF(Summary!J57="","",Summary!J57)</f>
        <v/>
      </c>
      <c r="C57" s="60" t="str">
        <f>Summary!H57</f>
        <v/>
      </c>
    </row>
    <row r="58" spans="1:3">
      <c r="A58" s="59" t="str">
        <f>IF(Summary!E58="","",Summary!E58)</f>
        <v/>
      </c>
      <c r="B58" s="59" t="str">
        <f>IF(Summary!J58="","",Summary!J58)</f>
        <v/>
      </c>
      <c r="C58" s="60" t="str">
        <f>Summary!H58</f>
        <v/>
      </c>
    </row>
    <row r="59" spans="1:3">
      <c r="A59" s="59" t="str">
        <f>IF(Summary!E59="","",Summary!E59)</f>
        <v/>
      </c>
      <c r="B59" s="59" t="str">
        <f>IF(Summary!J59="","",Summary!J59)</f>
        <v/>
      </c>
      <c r="C59" s="60" t="str">
        <f>Summary!H59</f>
        <v/>
      </c>
    </row>
    <row r="60" spans="1:3">
      <c r="A60" s="59" t="str">
        <f>IF(Summary!E60="","",Summary!E60)</f>
        <v/>
      </c>
      <c r="B60" s="59" t="str">
        <f>IF(Summary!J60="","",Summary!J60)</f>
        <v/>
      </c>
      <c r="C60" s="60" t="str">
        <f>Summary!H60</f>
        <v/>
      </c>
    </row>
    <row r="61" spans="1:3">
      <c r="A61" s="59" t="str">
        <f>IF(Summary!E61="","",Summary!E61)</f>
        <v/>
      </c>
      <c r="B61" s="59" t="str">
        <f>IF(Summary!J61="","",Summary!J61)</f>
        <v/>
      </c>
      <c r="C61" s="60" t="str">
        <f>Summary!H61</f>
        <v/>
      </c>
    </row>
    <row r="62" spans="1:3">
      <c r="A62" s="59" t="str">
        <f>IF(Summary!E62="","",Summary!E62)</f>
        <v/>
      </c>
      <c r="B62" s="59" t="str">
        <f>IF(Summary!J62="","",Summary!J62)</f>
        <v/>
      </c>
      <c r="C62" s="60" t="str">
        <f>Summary!H62</f>
        <v/>
      </c>
    </row>
    <row r="63" spans="1:3">
      <c r="A63" s="59" t="str">
        <f>IF(Summary!E63="","",Summary!E63)</f>
        <v/>
      </c>
      <c r="B63" s="59" t="str">
        <f>IF(Summary!J63="","",Summary!J63)</f>
        <v/>
      </c>
      <c r="C63" s="60" t="str">
        <f>Summary!H63</f>
        <v/>
      </c>
    </row>
    <row r="64" spans="1:3">
      <c r="A64" s="59" t="str">
        <f>IF(Summary!E64="","",Summary!E64)</f>
        <v/>
      </c>
      <c r="B64" s="59" t="str">
        <f>IF(Summary!J64="","",Summary!J64)</f>
        <v/>
      </c>
      <c r="C64" s="60" t="str">
        <f>Summary!H64</f>
        <v/>
      </c>
    </row>
    <row r="65" spans="1:3">
      <c r="A65" s="59" t="str">
        <f>IF(Summary!E65="","",Summary!E65)</f>
        <v/>
      </c>
      <c r="B65" s="59" t="str">
        <f>IF(Summary!J65="","",Summary!J65)</f>
        <v/>
      </c>
      <c r="C65" s="60" t="str">
        <f>Summary!H65</f>
        <v/>
      </c>
    </row>
    <row r="66" spans="1:3">
      <c r="A66" s="59" t="str">
        <f>IF(Summary!E66="","",Summary!E66)</f>
        <v/>
      </c>
      <c r="B66" s="59" t="str">
        <f>IF(Summary!J66="","",Summary!J66)</f>
        <v/>
      </c>
      <c r="C66" s="60" t="str">
        <f>Summary!H66</f>
        <v/>
      </c>
    </row>
    <row r="67" spans="1:3">
      <c r="A67" s="59" t="str">
        <f>IF(Summary!E67="","",Summary!E67)</f>
        <v/>
      </c>
      <c r="B67" s="59" t="str">
        <f>IF(Summary!J67="","",Summary!J67)</f>
        <v/>
      </c>
      <c r="C67" s="60" t="str">
        <f>Summary!H67</f>
        <v/>
      </c>
    </row>
    <row r="68" spans="1:3">
      <c r="A68" s="59" t="str">
        <f>IF(Summary!E68="","",Summary!E68)</f>
        <v/>
      </c>
      <c r="B68" s="59" t="str">
        <f>IF(Summary!J68="","",Summary!J68)</f>
        <v/>
      </c>
      <c r="C68" s="60" t="str">
        <f>Summary!H68</f>
        <v/>
      </c>
    </row>
    <row r="69" spans="1:3">
      <c r="A69" s="59" t="str">
        <f>IF(Summary!E69="","",Summary!E69)</f>
        <v/>
      </c>
      <c r="B69" s="59" t="str">
        <f>IF(Summary!J69="","",Summary!J69)</f>
        <v/>
      </c>
      <c r="C69" s="60" t="str">
        <f>Summary!H69</f>
        <v/>
      </c>
    </row>
    <row r="70" spans="1:3">
      <c r="A70" s="59" t="str">
        <f>IF(Summary!E70="","",Summary!E70)</f>
        <v/>
      </c>
      <c r="B70" s="59" t="str">
        <f>IF(Summary!J70="","",Summary!J70)</f>
        <v/>
      </c>
      <c r="C70" s="60" t="str">
        <f>Summary!H70</f>
        <v/>
      </c>
    </row>
    <row r="71" spans="1:3">
      <c r="A71" s="59" t="str">
        <f>IF(Summary!E71="","",Summary!E71)</f>
        <v/>
      </c>
      <c r="B71" s="59" t="str">
        <f>IF(Summary!J71="","",Summary!J71)</f>
        <v/>
      </c>
      <c r="C71" s="60" t="str">
        <f>Summary!H71</f>
        <v/>
      </c>
    </row>
    <row r="72" spans="1:3">
      <c r="A72" s="59" t="str">
        <f>IF(Summary!E72="","",Summary!E72)</f>
        <v/>
      </c>
      <c r="B72" s="59" t="str">
        <f>IF(Summary!J72="","",Summary!J72)</f>
        <v/>
      </c>
      <c r="C72" s="60" t="str">
        <f>Summary!H72</f>
        <v/>
      </c>
    </row>
    <row r="73" spans="1:3">
      <c r="A73" s="59" t="str">
        <f>IF(Summary!E73="","",Summary!E73)</f>
        <v/>
      </c>
      <c r="B73" s="59" t="str">
        <f>IF(Summary!J73="","",Summary!J73)</f>
        <v/>
      </c>
      <c r="C73" s="60" t="str">
        <f>Summary!H73</f>
        <v/>
      </c>
    </row>
    <row r="74" spans="1:3">
      <c r="A74" s="59" t="str">
        <f>IF(Summary!E74="","",Summary!E74)</f>
        <v/>
      </c>
      <c r="B74" s="59" t="str">
        <f>IF(Summary!J74="","",Summary!J74)</f>
        <v/>
      </c>
      <c r="C74" s="60" t="str">
        <f>Summary!H74</f>
        <v/>
      </c>
    </row>
    <row r="75" spans="1:3">
      <c r="A75" s="59" t="str">
        <f>IF(Summary!E75="","",Summary!E75)</f>
        <v/>
      </c>
      <c r="B75" s="59" t="str">
        <f>IF(Summary!J75="","",Summary!J75)</f>
        <v/>
      </c>
      <c r="C75" s="60" t="str">
        <f>Summary!H75</f>
        <v/>
      </c>
    </row>
    <row r="76" spans="1:3">
      <c r="A76" s="59" t="str">
        <f>IF(Summary!E76="","",Summary!E76)</f>
        <v/>
      </c>
      <c r="B76" s="59" t="str">
        <f>IF(Summary!J76="","",Summary!J76)</f>
        <v/>
      </c>
      <c r="C76" s="60" t="str">
        <f>Summary!H76</f>
        <v/>
      </c>
    </row>
    <row r="77" spans="1:3">
      <c r="A77" s="59" t="str">
        <f>IF(Summary!E77="","",Summary!E77)</f>
        <v/>
      </c>
      <c r="B77" s="59" t="str">
        <f>IF(Summary!J77="","",Summary!J77)</f>
        <v/>
      </c>
      <c r="C77" s="60" t="str">
        <f>Summary!H77</f>
        <v/>
      </c>
    </row>
    <row r="78" spans="1:3">
      <c r="A78" s="59" t="str">
        <f>IF(Summary!E78="","",Summary!E78)</f>
        <v/>
      </c>
      <c r="B78" s="59" t="str">
        <f>IF(Summary!J78="","",Summary!J78)</f>
        <v/>
      </c>
      <c r="C78" s="60" t="str">
        <f>Summary!H78</f>
        <v/>
      </c>
    </row>
    <row r="79" spans="1:3">
      <c r="A79" s="59" t="str">
        <f>IF(Summary!E79="","",Summary!E79)</f>
        <v/>
      </c>
      <c r="B79" s="59" t="str">
        <f>IF(Summary!J79="","",Summary!J79)</f>
        <v/>
      </c>
      <c r="C79" s="60" t="str">
        <f>Summary!H79</f>
        <v/>
      </c>
    </row>
    <row r="80" spans="1:3">
      <c r="A80" s="59" t="str">
        <f>IF(Summary!E80="","",Summary!E80)</f>
        <v/>
      </c>
      <c r="B80" s="59" t="str">
        <f>IF(Summary!J80="","",Summary!J80)</f>
        <v/>
      </c>
      <c r="C80" s="60" t="str">
        <f>Summary!H80</f>
        <v/>
      </c>
    </row>
    <row r="81" spans="1:3">
      <c r="A81" s="59" t="str">
        <f>IF(Summary!E81="","",Summary!E81)</f>
        <v/>
      </c>
      <c r="B81" s="59" t="str">
        <f>IF(Summary!J81="","",Summary!J81)</f>
        <v/>
      </c>
      <c r="C81" s="60" t="str">
        <f>Summary!H81</f>
        <v/>
      </c>
    </row>
    <row r="82" spans="1:3">
      <c r="A82" s="59" t="str">
        <f>IF(Summary!E82="","",Summary!E82)</f>
        <v/>
      </c>
      <c r="B82" s="59" t="str">
        <f>IF(Summary!J82="","",Summary!J82)</f>
        <v/>
      </c>
      <c r="C82" s="60" t="str">
        <f>Summary!H82</f>
        <v/>
      </c>
    </row>
    <row r="83" spans="1:3">
      <c r="A83" s="59" t="str">
        <f>IF(Summary!E83="","",Summary!E83)</f>
        <v/>
      </c>
      <c r="B83" s="59" t="str">
        <f>IF(Summary!J83="","",Summary!J83)</f>
        <v/>
      </c>
      <c r="C83" s="60" t="str">
        <f>Summary!H83</f>
        <v/>
      </c>
    </row>
    <row r="84" spans="1:3">
      <c r="A84" s="59" t="str">
        <f>IF(Summary!E84="","",Summary!E84)</f>
        <v/>
      </c>
      <c r="B84" s="59" t="str">
        <f>IF(Summary!J84="","",Summary!J84)</f>
        <v/>
      </c>
      <c r="C84" s="60" t="str">
        <f>Summary!H84</f>
        <v/>
      </c>
    </row>
    <row r="85" spans="1:3">
      <c r="A85" s="59" t="str">
        <f>IF(Summary!E85="","",Summary!E85)</f>
        <v/>
      </c>
      <c r="B85" s="59" t="str">
        <f>IF(Summary!J85="","",Summary!J85)</f>
        <v/>
      </c>
      <c r="C85" s="60" t="str">
        <f>Summary!H85</f>
        <v/>
      </c>
    </row>
    <row r="86" spans="1:3">
      <c r="A86" s="59" t="str">
        <f>IF(Summary!E86="","",Summary!E86)</f>
        <v/>
      </c>
      <c r="B86" s="59" t="str">
        <f>IF(Summary!J86="","",Summary!J86)</f>
        <v/>
      </c>
      <c r="C86" s="60" t="str">
        <f>Summary!H86</f>
        <v/>
      </c>
    </row>
    <row r="87" spans="1:3">
      <c r="A87" s="59" t="str">
        <f>IF(Summary!E87="","",Summary!E87)</f>
        <v/>
      </c>
      <c r="B87" s="59" t="str">
        <f>IF(Summary!J87="","",Summary!J87)</f>
        <v/>
      </c>
      <c r="C87" s="60" t="str">
        <f>Summary!H87</f>
        <v/>
      </c>
    </row>
    <row r="88" spans="1:3">
      <c r="A88" s="59" t="str">
        <f>IF(Summary!E88="","",Summary!E88)</f>
        <v/>
      </c>
      <c r="B88" s="59" t="str">
        <f>IF(Summary!J88="","",Summary!J88)</f>
        <v/>
      </c>
      <c r="C88" s="60" t="str">
        <f>Summary!H88</f>
        <v/>
      </c>
    </row>
    <row r="89" spans="1:3">
      <c r="A89" s="59" t="str">
        <f>IF(Summary!E89="","",Summary!E89)</f>
        <v/>
      </c>
      <c r="B89" s="59" t="str">
        <f>IF(Summary!J89="","",Summary!J89)</f>
        <v/>
      </c>
      <c r="C89" s="60" t="str">
        <f>Summary!H89</f>
        <v/>
      </c>
    </row>
    <row r="90" spans="1:3">
      <c r="A90" s="59" t="str">
        <f>IF(Summary!E90="","",Summary!E90)</f>
        <v/>
      </c>
      <c r="B90" s="59" t="str">
        <f>IF(Summary!J90="","",Summary!J90)</f>
        <v/>
      </c>
      <c r="C90" s="60" t="str">
        <f>Summary!H90</f>
        <v/>
      </c>
    </row>
    <row r="91" spans="1:3">
      <c r="A91" s="59" t="str">
        <f>IF(Summary!E91="","",Summary!E91)</f>
        <v/>
      </c>
      <c r="B91" s="59" t="str">
        <f>IF(Summary!J91="","",Summary!J91)</f>
        <v/>
      </c>
      <c r="C91" s="60" t="str">
        <f>Summary!H91</f>
        <v/>
      </c>
    </row>
    <row r="92" spans="1:3">
      <c r="A92" s="59" t="str">
        <f>IF(Summary!E92="","",Summary!E92)</f>
        <v/>
      </c>
      <c r="B92" s="59" t="str">
        <f>IF(Summary!J92="","",Summary!J92)</f>
        <v/>
      </c>
      <c r="C92" s="60" t="str">
        <f>Summary!H92</f>
        <v/>
      </c>
    </row>
    <row r="93" spans="1:3">
      <c r="A93" s="59" t="str">
        <f>IF(Summary!E93="","",Summary!E93)</f>
        <v/>
      </c>
      <c r="B93" s="59" t="str">
        <f>IF(Summary!J93="","",Summary!J93)</f>
        <v/>
      </c>
      <c r="C93" s="60" t="str">
        <f>Summary!H93</f>
        <v/>
      </c>
    </row>
    <row r="94" spans="1:3">
      <c r="A94" s="59" t="str">
        <f>IF(Summary!E94="","",Summary!E94)</f>
        <v/>
      </c>
      <c r="B94" s="59" t="str">
        <f>IF(Summary!J94="","",Summary!J94)</f>
        <v/>
      </c>
      <c r="C94" s="60" t="str">
        <f>Summary!H94</f>
        <v/>
      </c>
    </row>
    <row r="95" spans="1:3">
      <c r="A95" s="59" t="str">
        <f>IF(Summary!E95="","",Summary!E95)</f>
        <v/>
      </c>
      <c r="B95" s="59" t="str">
        <f>IF(Summary!J95="","",Summary!J95)</f>
        <v/>
      </c>
      <c r="C95" s="60" t="str">
        <f>Summary!H95</f>
        <v/>
      </c>
    </row>
    <row r="96" spans="1:3">
      <c r="A96" s="59" t="str">
        <f>IF(Summary!E96="","",Summary!E96)</f>
        <v/>
      </c>
      <c r="B96" s="59" t="str">
        <f>IF(Summary!J96="","",Summary!J96)</f>
        <v/>
      </c>
      <c r="C96" s="60" t="str">
        <f>Summary!H96</f>
        <v/>
      </c>
    </row>
    <row r="97" spans="1:3">
      <c r="A97" s="59" t="str">
        <f>IF(Summary!E97="","",Summary!E97)</f>
        <v/>
      </c>
      <c r="B97" s="59" t="str">
        <f>IF(Summary!J97="","",Summary!J97)</f>
        <v/>
      </c>
      <c r="C97" s="60" t="str">
        <f>Summary!H97</f>
        <v/>
      </c>
    </row>
    <row r="98" spans="1:3">
      <c r="A98" s="59" t="str">
        <f>IF(Summary!E98="","",Summary!E98)</f>
        <v/>
      </c>
      <c r="B98" s="59" t="str">
        <f>IF(Summary!J98="","",Summary!J98)</f>
        <v/>
      </c>
      <c r="C98" s="60" t="str">
        <f>Summary!H98</f>
        <v/>
      </c>
    </row>
    <row r="99" spans="1:3">
      <c r="A99" s="59" t="str">
        <f>IF(Summary!E99="","",Summary!E99)</f>
        <v/>
      </c>
      <c r="B99" s="59" t="str">
        <f>IF(Summary!J99="","",Summary!J99)</f>
        <v/>
      </c>
      <c r="C99" s="60" t="str">
        <f>Summary!H99</f>
        <v/>
      </c>
    </row>
    <row r="100" spans="1:3">
      <c r="A100" s="59" t="str">
        <f>IF(Summary!E100="","",Summary!E100)</f>
        <v/>
      </c>
      <c r="B100" s="59" t="str">
        <f>IF(Summary!J100="","",Summary!J100)</f>
        <v/>
      </c>
      <c r="C100" s="60" t="str">
        <f>Summary!H100</f>
        <v/>
      </c>
    </row>
    <row r="101" spans="1:3">
      <c r="A101" s="59" t="str">
        <f>IF(Summary!E101="","",Summary!E101)</f>
        <v/>
      </c>
      <c r="B101" s="59" t="str">
        <f>IF(Summary!J101="","",Summary!J101)</f>
        <v/>
      </c>
      <c r="C101" s="60" t="str">
        <f>Summary!H101</f>
        <v/>
      </c>
    </row>
    <row r="102" spans="1:3">
      <c r="A102" s="59" t="str">
        <f>IF(Summary!E102="","",Summary!E102)</f>
        <v/>
      </c>
      <c r="B102" s="59" t="str">
        <f>IF(Summary!J102="","",Summary!J102)</f>
        <v/>
      </c>
      <c r="C102" s="60" t="str">
        <f>Summary!H102</f>
        <v/>
      </c>
    </row>
    <row r="103" spans="1:3">
      <c r="A103" s="59" t="str">
        <f>IF(Summary!E103="","",Summary!E103)</f>
        <v/>
      </c>
      <c r="B103" s="59" t="str">
        <f>IF(Summary!J103="","",Summary!J103)</f>
        <v/>
      </c>
      <c r="C103" s="60" t="str">
        <f>Summary!H103</f>
        <v/>
      </c>
    </row>
    <row r="104" spans="1:3">
      <c r="A104" s="59" t="str">
        <f>IF(Summary!E104="","",Summary!E104)</f>
        <v/>
      </c>
      <c r="B104" s="59" t="str">
        <f>IF(Summary!J104="","",Summary!J104)</f>
        <v/>
      </c>
      <c r="C104" s="60" t="str">
        <f>Summary!H104</f>
        <v/>
      </c>
    </row>
    <row r="105" spans="1:3">
      <c r="A105" s="59" t="str">
        <f>IF(Summary!E105="","",Summary!E105)</f>
        <v/>
      </c>
      <c r="B105" s="59" t="str">
        <f>IF(Summary!J105="","",Summary!J105)</f>
        <v/>
      </c>
      <c r="C105" s="60" t="str">
        <f>Summary!H105</f>
        <v/>
      </c>
    </row>
    <row r="106" spans="1:3">
      <c r="A106" s="59" t="str">
        <f>IF(Summary!E106="","",Summary!E106)</f>
        <v/>
      </c>
      <c r="B106" s="59" t="str">
        <f>IF(Summary!J106="","",Summary!J106)</f>
        <v/>
      </c>
      <c r="C106" s="60" t="str">
        <f>Summary!H106</f>
        <v/>
      </c>
    </row>
    <row r="107" spans="1:3">
      <c r="A107" s="59" t="str">
        <f>IF(Summary!E107="","",Summary!E107)</f>
        <v/>
      </c>
      <c r="B107" s="59" t="str">
        <f>IF(Summary!J107="","",Summary!J107)</f>
        <v/>
      </c>
      <c r="C107" s="60" t="str">
        <f>Summary!H107</f>
        <v/>
      </c>
    </row>
    <row r="108" spans="1:3">
      <c r="A108" s="59" t="str">
        <f>IF(Summary!E108="","",Summary!E108)</f>
        <v/>
      </c>
      <c r="B108" s="59" t="str">
        <f>IF(Summary!J108="","",Summary!J108)</f>
        <v/>
      </c>
      <c r="C108" s="60" t="str">
        <f>Summary!H108</f>
        <v/>
      </c>
    </row>
    <row r="109" spans="1:3">
      <c r="A109" s="59" t="str">
        <f>IF(Summary!E109="","",Summary!E109)</f>
        <v/>
      </c>
      <c r="B109" s="59" t="str">
        <f>IF(Summary!J109="","",Summary!J109)</f>
        <v/>
      </c>
      <c r="C109" s="60" t="str">
        <f>Summary!H109</f>
        <v/>
      </c>
    </row>
    <row r="110" spans="1:3">
      <c r="A110" s="59" t="str">
        <f>IF(Summary!E110="","",Summary!E110)</f>
        <v/>
      </c>
      <c r="B110" s="59" t="str">
        <f>IF(Summary!J110="","",Summary!J110)</f>
        <v/>
      </c>
      <c r="C110" s="60" t="str">
        <f>Summary!H110</f>
        <v/>
      </c>
    </row>
    <row r="111" spans="1:3">
      <c r="A111" s="59" t="str">
        <f>IF(Summary!E111="","",Summary!E111)</f>
        <v/>
      </c>
      <c r="B111" s="59" t="str">
        <f>IF(Summary!J111="","",Summary!J111)</f>
        <v/>
      </c>
      <c r="C111" s="60" t="str">
        <f>Summary!H111</f>
        <v/>
      </c>
    </row>
    <row r="112" spans="1:3">
      <c r="A112" s="59" t="str">
        <f>IF(Summary!E112="","",Summary!E112)</f>
        <v/>
      </c>
      <c r="B112" s="59" t="str">
        <f>IF(Summary!J112="","",Summary!J112)</f>
        <v/>
      </c>
      <c r="C112" s="60" t="str">
        <f>Summary!H112</f>
        <v/>
      </c>
    </row>
    <row r="113" spans="1:3">
      <c r="A113" s="59" t="str">
        <f>IF(Summary!E113="","",Summary!E113)</f>
        <v/>
      </c>
      <c r="B113" s="59" t="str">
        <f>IF(Summary!J113="","",Summary!J113)</f>
        <v/>
      </c>
      <c r="C113" s="60" t="str">
        <f>Summary!H113</f>
        <v/>
      </c>
    </row>
    <row r="114" spans="1:3">
      <c r="A114" s="59" t="str">
        <f>IF(Summary!E114="","",Summary!E114)</f>
        <v/>
      </c>
      <c r="B114" s="59" t="str">
        <f>IF(Summary!J114="","",Summary!J114)</f>
        <v/>
      </c>
      <c r="C114" s="60" t="str">
        <f>Summary!H114</f>
        <v/>
      </c>
    </row>
    <row r="115" spans="1:3">
      <c r="A115" s="59" t="str">
        <f>IF(Summary!E115="","",Summary!E115)</f>
        <v/>
      </c>
      <c r="B115" s="59" t="str">
        <f>IF(Summary!J115="","",Summary!J115)</f>
        <v/>
      </c>
      <c r="C115" s="60" t="str">
        <f>Summary!H115</f>
        <v/>
      </c>
    </row>
    <row r="116" spans="1:3">
      <c r="A116" s="59" t="str">
        <f>IF(Summary!E116="","",Summary!E116)</f>
        <v/>
      </c>
      <c r="B116" s="59" t="str">
        <f>IF(Summary!J116="","",Summary!J116)</f>
        <v/>
      </c>
      <c r="C116" s="60" t="str">
        <f>Summary!H116</f>
        <v/>
      </c>
    </row>
    <row r="117" spans="1:3">
      <c r="A117" s="59" t="str">
        <f>IF(Summary!E117="","",Summary!E117)</f>
        <v/>
      </c>
      <c r="B117" s="59" t="str">
        <f>IF(Summary!J117="","",Summary!J117)</f>
        <v/>
      </c>
      <c r="C117" s="60" t="str">
        <f>Summary!H117</f>
        <v/>
      </c>
    </row>
    <row r="118" spans="1:3">
      <c r="A118" s="59" t="str">
        <f>IF(Summary!E118="","",Summary!E118)</f>
        <v/>
      </c>
      <c r="B118" s="59" t="str">
        <f>IF(Summary!J118="","",Summary!J118)</f>
        <v/>
      </c>
      <c r="C118" s="60" t="str">
        <f>Summary!H118</f>
        <v/>
      </c>
    </row>
    <row r="119" spans="1:3">
      <c r="A119" s="59" t="str">
        <f>IF(Summary!E119="","",Summary!E119)</f>
        <v/>
      </c>
      <c r="B119" s="59" t="str">
        <f>IF(Summary!J119="","",Summary!J119)</f>
        <v/>
      </c>
      <c r="C119" s="60" t="str">
        <f>Summary!H119</f>
        <v/>
      </c>
    </row>
    <row r="120" spans="1:3">
      <c r="A120" s="59" t="str">
        <f>IF(Summary!E120="","",Summary!E120)</f>
        <v/>
      </c>
      <c r="B120" s="59" t="str">
        <f>IF(Summary!J120="","",Summary!J120)</f>
        <v/>
      </c>
      <c r="C120" s="60" t="str">
        <f>Summary!H120</f>
        <v/>
      </c>
    </row>
    <row r="121" spans="1:3">
      <c r="A121" s="59" t="str">
        <f>IF(Summary!E121="","",Summary!E121)</f>
        <v/>
      </c>
      <c r="B121" s="59" t="str">
        <f>IF(Summary!J121="","",Summary!J121)</f>
        <v/>
      </c>
      <c r="C121" s="60" t="str">
        <f>Summary!H121</f>
        <v/>
      </c>
    </row>
    <row r="122" spans="1:3">
      <c r="A122" s="59" t="str">
        <f>IF(Summary!E122="","",Summary!E122)</f>
        <v/>
      </c>
      <c r="B122" s="59" t="str">
        <f>IF(Summary!J122="","",Summary!J122)</f>
        <v/>
      </c>
      <c r="C122" s="60" t="str">
        <f>Summary!H122</f>
        <v/>
      </c>
    </row>
    <row r="123" spans="1:3">
      <c r="A123" s="59" t="str">
        <f>IF(Summary!E123="","",Summary!E123)</f>
        <v/>
      </c>
      <c r="B123" s="59" t="str">
        <f>IF(Summary!J123="","",Summary!J123)</f>
        <v/>
      </c>
      <c r="C123" s="60" t="str">
        <f>Summary!H123</f>
        <v/>
      </c>
    </row>
    <row r="124" spans="1:3">
      <c r="A124" s="59" t="str">
        <f>IF(Summary!E124="","",Summary!E124)</f>
        <v/>
      </c>
      <c r="B124" s="59" t="str">
        <f>IF(Summary!J124="","",Summary!J124)</f>
        <v/>
      </c>
      <c r="C124" s="60" t="str">
        <f>Summary!H124</f>
        <v/>
      </c>
    </row>
    <row r="125" spans="1:3">
      <c r="A125" s="59" t="str">
        <f>IF(Summary!E125="","",Summary!E125)</f>
        <v/>
      </c>
      <c r="B125" s="59" t="str">
        <f>IF(Summary!J125="","",Summary!J125)</f>
        <v/>
      </c>
      <c r="C125" s="60" t="str">
        <f>Summary!H125</f>
        <v/>
      </c>
    </row>
    <row r="126" spans="1:3">
      <c r="A126" s="59" t="str">
        <f>IF(Summary!E126="","",Summary!E126)</f>
        <v/>
      </c>
      <c r="B126" s="59" t="str">
        <f>IF(Summary!J126="","",Summary!J126)</f>
        <v/>
      </c>
      <c r="C126" s="60" t="str">
        <f>Summary!H126</f>
        <v/>
      </c>
    </row>
    <row r="127" spans="1:3">
      <c r="A127" s="59" t="str">
        <f>IF(Summary!E127="","",Summary!E127)</f>
        <v/>
      </c>
      <c r="B127" s="59" t="str">
        <f>IF(Summary!J127="","",Summary!J127)</f>
        <v/>
      </c>
      <c r="C127" s="60" t="str">
        <f>Summary!H127</f>
        <v/>
      </c>
    </row>
    <row r="128" spans="1:3">
      <c r="A128" s="59" t="str">
        <f>IF(Summary!E128="","",Summary!E128)</f>
        <v/>
      </c>
      <c r="B128" s="59" t="str">
        <f>IF(Summary!J128="","",Summary!J128)</f>
        <v/>
      </c>
      <c r="C128" s="60" t="str">
        <f>Summary!H128</f>
        <v/>
      </c>
    </row>
    <row r="129" spans="1:3">
      <c r="A129" s="59" t="str">
        <f>IF(Summary!E129="","",Summary!E129)</f>
        <v/>
      </c>
      <c r="B129" s="59" t="str">
        <f>IF(Summary!J129="","",Summary!J129)</f>
        <v/>
      </c>
      <c r="C129" s="60" t="str">
        <f>Summary!H129</f>
        <v/>
      </c>
    </row>
    <row r="130" spans="1:3">
      <c r="A130" s="59" t="str">
        <f>IF(Summary!E130="","",Summary!E130)</f>
        <v/>
      </c>
      <c r="B130" s="59" t="str">
        <f>IF(Summary!J130="","",Summary!J130)</f>
        <v/>
      </c>
      <c r="C130" s="60" t="str">
        <f>Summary!H130</f>
        <v/>
      </c>
    </row>
    <row r="131" spans="1:3">
      <c r="A131" s="59" t="str">
        <f>IF(Summary!E131="","",Summary!E131)</f>
        <v/>
      </c>
      <c r="B131" s="59" t="str">
        <f>IF(Summary!J131="","",Summary!J131)</f>
        <v/>
      </c>
      <c r="C131" s="60" t="str">
        <f>Summary!H131</f>
        <v/>
      </c>
    </row>
    <row r="132" spans="1:3">
      <c r="A132" s="59" t="str">
        <f>IF(Summary!E132="","",Summary!E132)</f>
        <v/>
      </c>
      <c r="B132" s="59" t="str">
        <f>IF(Summary!J132="","",Summary!J132)</f>
        <v/>
      </c>
      <c r="C132" s="60" t="str">
        <f>Summary!H132</f>
        <v/>
      </c>
    </row>
    <row r="133" spans="1:3">
      <c r="A133" s="59" t="str">
        <f>IF(Summary!E133="","",Summary!E133)</f>
        <v/>
      </c>
      <c r="B133" s="59" t="str">
        <f>IF(Summary!J133="","",Summary!J133)</f>
        <v/>
      </c>
      <c r="C133" s="60" t="str">
        <f>Summary!H133</f>
        <v/>
      </c>
    </row>
    <row r="134" spans="1:3">
      <c r="A134" s="59" t="str">
        <f>IF(Summary!E134="","",Summary!E134)</f>
        <v/>
      </c>
      <c r="B134" s="59" t="str">
        <f>IF(Summary!J134="","",Summary!J134)</f>
        <v/>
      </c>
      <c r="C134" s="60" t="str">
        <f>Summary!H134</f>
        <v/>
      </c>
    </row>
    <row r="135" spans="1:3">
      <c r="A135" s="59" t="str">
        <f>IF(Summary!E135="","",Summary!E135)</f>
        <v/>
      </c>
      <c r="B135" s="59" t="str">
        <f>IF(Summary!J135="","",Summary!J135)</f>
        <v/>
      </c>
      <c r="C135" s="60" t="str">
        <f>Summary!H135</f>
        <v/>
      </c>
    </row>
    <row r="136" spans="1:3">
      <c r="A136" s="59" t="str">
        <f>IF(Summary!E136="","",Summary!E136)</f>
        <v/>
      </c>
      <c r="B136" s="59" t="str">
        <f>IF(Summary!J136="","",Summary!J136)</f>
        <v/>
      </c>
      <c r="C136" s="60" t="str">
        <f>Summary!H136</f>
        <v/>
      </c>
    </row>
    <row r="137" spans="1:3">
      <c r="A137" s="59" t="str">
        <f>IF(Summary!E137="","",Summary!E137)</f>
        <v/>
      </c>
      <c r="B137" s="59" t="str">
        <f>IF(Summary!J137="","",Summary!J137)</f>
        <v/>
      </c>
      <c r="C137" s="60" t="str">
        <f>Summary!H137</f>
        <v/>
      </c>
    </row>
    <row r="138" spans="1:3">
      <c r="A138" s="59" t="str">
        <f>IF(Summary!E138="","",Summary!E138)</f>
        <v/>
      </c>
      <c r="B138" s="59" t="str">
        <f>IF(Summary!J138="","",Summary!J138)</f>
        <v/>
      </c>
      <c r="C138" s="60" t="str">
        <f>Summary!H138</f>
        <v/>
      </c>
    </row>
    <row r="139" spans="1:3">
      <c r="A139" s="59" t="str">
        <f>IF(Summary!E139="","",Summary!E139)</f>
        <v/>
      </c>
      <c r="B139" s="59" t="str">
        <f>IF(Summary!J139="","",Summary!J139)</f>
        <v/>
      </c>
      <c r="C139" s="60" t="str">
        <f>Summary!H139</f>
        <v/>
      </c>
    </row>
    <row r="140" spans="1:3">
      <c r="A140" s="59" t="str">
        <f>IF(Summary!E140="","",Summary!E140)</f>
        <v/>
      </c>
      <c r="B140" s="59" t="str">
        <f>IF(Summary!J140="","",Summary!J140)</f>
        <v/>
      </c>
      <c r="C140" s="60" t="str">
        <f>Summary!H140</f>
        <v/>
      </c>
    </row>
    <row r="141" spans="1:3">
      <c r="A141" s="59" t="str">
        <f>IF(Summary!E141="","",Summary!E141)</f>
        <v/>
      </c>
      <c r="B141" s="59" t="str">
        <f>IF(Summary!J141="","",Summary!J141)</f>
        <v/>
      </c>
      <c r="C141" s="60" t="str">
        <f>Summary!H141</f>
        <v/>
      </c>
    </row>
    <row r="142" spans="1:3">
      <c r="A142" s="59" t="str">
        <f>IF(Summary!E142="","",Summary!E142)</f>
        <v/>
      </c>
      <c r="B142" s="59" t="str">
        <f>IF(Summary!J142="","",Summary!J142)</f>
        <v/>
      </c>
      <c r="C142" s="60" t="str">
        <f>Summary!H142</f>
        <v/>
      </c>
    </row>
    <row r="143" spans="1:3">
      <c r="A143" s="59" t="str">
        <f>IF(Summary!E143="","",Summary!E143)</f>
        <v/>
      </c>
      <c r="B143" s="59" t="str">
        <f>IF(Summary!J143="","",Summary!J143)</f>
        <v/>
      </c>
      <c r="C143" s="60" t="str">
        <f>Summary!H143</f>
        <v/>
      </c>
    </row>
    <row r="144" spans="1:3">
      <c r="A144" s="59" t="str">
        <f>IF(Summary!E144="","",Summary!E144)</f>
        <v/>
      </c>
      <c r="B144" s="59" t="str">
        <f>IF(Summary!J144="","",Summary!J144)</f>
        <v/>
      </c>
      <c r="C144" s="60" t="str">
        <f>Summary!H144</f>
        <v/>
      </c>
    </row>
    <row r="145" spans="1:3">
      <c r="A145" s="59" t="str">
        <f>IF(Summary!E145="","",Summary!E145)</f>
        <v/>
      </c>
      <c r="B145" s="59" t="str">
        <f>IF(Summary!J145="","",Summary!J145)</f>
        <v/>
      </c>
      <c r="C145" s="60" t="str">
        <f>Summary!H145</f>
        <v/>
      </c>
    </row>
    <row r="146" spans="1:3">
      <c r="A146" s="59" t="str">
        <f>IF(Summary!E146="","",Summary!E146)</f>
        <v/>
      </c>
      <c r="B146" s="59" t="str">
        <f>IF(Summary!J146="","",Summary!J146)</f>
        <v/>
      </c>
      <c r="C146" s="60" t="str">
        <f>Summary!H146</f>
        <v/>
      </c>
    </row>
    <row r="147" spans="1:3">
      <c r="A147" s="59" t="str">
        <f>IF(Summary!E147="","",Summary!E147)</f>
        <v/>
      </c>
      <c r="B147" s="59" t="str">
        <f>IF(Summary!J147="","",Summary!J147)</f>
        <v/>
      </c>
      <c r="C147" s="60" t="str">
        <f>Summary!H147</f>
        <v/>
      </c>
    </row>
    <row r="148" spans="1:3">
      <c r="A148" s="59" t="str">
        <f>IF(Summary!E148="","",Summary!E148)</f>
        <v/>
      </c>
      <c r="B148" s="59" t="str">
        <f>IF(Summary!J148="","",Summary!J148)</f>
        <v/>
      </c>
      <c r="C148" s="60" t="str">
        <f>Summary!H148</f>
        <v/>
      </c>
    </row>
    <row r="149" spans="1:3">
      <c r="A149" s="59" t="str">
        <f>IF(Summary!E149="","",Summary!E149)</f>
        <v/>
      </c>
      <c r="B149" s="59" t="str">
        <f>IF(Summary!J149="","",Summary!J149)</f>
        <v/>
      </c>
      <c r="C149" s="60" t="str">
        <f>Summary!H149</f>
        <v/>
      </c>
    </row>
    <row r="150" spans="1:3">
      <c r="A150" s="59" t="str">
        <f>IF(Summary!E150="","",Summary!E150)</f>
        <v/>
      </c>
      <c r="B150" s="59" t="str">
        <f>IF(Summary!J150="","",Summary!J150)</f>
        <v/>
      </c>
      <c r="C150" s="60" t="str">
        <f>Summary!H150</f>
        <v/>
      </c>
    </row>
    <row r="151" spans="1:3">
      <c r="A151" s="59" t="str">
        <f>IF(Summary!E151="","",Summary!E151)</f>
        <v/>
      </c>
      <c r="B151" s="59" t="str">
        <f>IF(Summary!J151="","",Summary!J151)</f>
        <v/>
      </c>
      <c r="C151" s="60" t="str">
        <f>Summary!H151</f>
        <v/>
      </c>
    </row>
    <row r="152" spans="1:3">
      <c r="A152" s="59" t="str">
        <f>IF(Summary!E152="","",Summary!E152)</f>
        <v/>
      </c>
      <c r="B152" s="59" t="str">
        <f>IF(Summary!J152="","",Summary!J152)</f>
        <v/>
      </c>
      <c r="C152" s="60" t="str">
        <f>Summary!H152</f>
        <v/>
      </c>
    </row>
    <row r="153" spans="1:3">
      <c r="A153" s="59" t="str">
        <f>IF(Summary!E153="","",Summary!E153)</f>
        <v/>
      </c>
      <c r="B153" s="59" t="str">
        <f>IF(Summary!J153="","",Summary!J153)</f>
        <v/>
      </c>
      <c r="C153" s="60" t="str">
        <f>Summary!H153</f>
        <v/>
      </c>
    </row>
    <row r="154" spans="1:3">
      <c r="A154" s="59" t="str">
        <f>IF(Summary!E154="","",Summary!E154)</f>
        <v/>
      </c>
      <c r="B154" s="59" t="str">
        <f>IF(Summary!J154="","",Summary!J154)</f>
        <v/>
      </c>
      <c r="C154" s="60" t="str">
        <f>Summary!H154</f>
        <v/>
      </c>
    </row>
    <row r="155" spans="1:3">
      <c r="A155" s="59" t="str">
        <f>IF(Summary!E155="","",Summary!E155)</f>
        <v/>
      </c>
      <c r="B155" s="59" t="str">
        <f>IF(Summary!J155="","",Summary!J155)</f>
        <v/>
      </c>
      <c r="C155" s="60" t="str">
        <f>Summary!H155</f>
        <v/>
      </c>
    </row>
    <row r="156" spans="1:3">
      <c r="A156" s="59" t="str">
        <f>IF(Summary!E156="","",Summary!E156)</f>
        <v/>
      </c>
      <c r="B156" s="59" t="str">
        <f>IF(Summary!J156="","",Summary!J156)</f>
        <v/>
      </c>
      <c r="C156" s="60" t="str">
        <f>Summary!H156</f>
        <v/>
      </c>
    </row>
    <row r="157" spans="1:3">
      <c r="A157" s="59" t="str">
        <f>IF(Summary!E157="","",Summary!E157)</f>
        <v/>
      </c>
      <c r="B157" s="59" t="str">
        <f>IF(Summary!J157="","",Summary!J157)</f>
        <v/>
      </c>
      <c r="C157" s="60" t="str">
        <f>Summary!H157</f>
        <v/>
      </c>
    </row>
    <row r="158" spans="1:3">
      <c r="A158" s="59" t="str">
        <f>IF(Summary!E158="","",Summary!E158)</f>
        <v/>
      </c>
      <c r="B158" s="59" t="str">
        <f>IF(Summary!J158="","",Summary!J158)</f>
        <v/>
      </c>
      <c r="C158" s="60" t="str">
        <f>Summary!H158</f>
        <v/>
      </c>
    </row>
    <row r="159" spans="1:3">
      <c r="A159" s="59" t="str">
        <f>IF(Summary!E159="","",Summary!E159)</f>
        <v/>
      </c>
      <c r="B159" s="59" t="str">
        <f>IF(Summary!J159="","",Summary!J159)</f>
        <v/>
      </c>
      <c r="C159" s="60" t="str">
        <f>Summary!H159</f>
        <v/>
      </c>
    </row>
    <row r="160" spans="1:3">
      <c r="A160" s="59" t="str">
        <f>IF(Summary!E160="","",Summary!E160)</f>
        <v/>
      </c>
      <c r="B160" s="59" t="str">
        <f>IF(Summary!J160="","",Summary!J160)</f>
        <v/>
      </c>
      <c r="C160" s="60" t="str">
        <f>Summary!H160</f>
        <v/>
      </c>
    </row>
    <row r="161" spans="1:3">
      <c r="A161" s="59" t="str">
        <f>IF(Summary!E161="","",Summary!E161)</f>
        <v/>
      </c>
      <c r="B161" s="59" t="str">
        <f>IF(Summary!J161="","",Summary!J161)</f>
        <v/>
      </c>
      <c r="C161" s="60" t="str">
        <f>Summary!H161</f>
        <v/>
      </c>
    </row>
    <row r="162" spans="1:3">
      <c r="A162" s="59" t="str">
        <f>IF(Summary!E162="","",Summary!E162)</f>
        <v/>
      </c>
      <c r="B162" s="59" t="str">
        <f>IF(Summary!J162="","",Summary!J162)</f>
        <v/>
      </c>
      <c r="C162" s="60" t="str">
        <f>Summary!H162</f>
        <v/>
      </c>
    </row>
    <row r="163" spans="1:3">
      <c r="A163" s="59" t="str">
        <f>IF(Summary!E163="","",Summary!E163)</f>
        <v/>
      </c>
      <c r="B163" s="59" t="str">
        <f>IF(Summary!J163="","",Summary!J163)</f>
        <v/>
      </c>
      <c r="C163" s="60" t="str">
        <f>Summary!H163</f>
        <v/>
      </c>
    </row>
    <row r="164" spans="1:3">
      <c r="A164" s="59" t="str">
        <f>IF(Summary!E164="","",Summary!E164)</f>
        <v/>
      </c>
      <c r="B164" s="59" t="str">
        <f>IF(Summary!J164="","",Summary!J164)</f>
        <v/>
      </c>
      <c r="C164" s="60" t="str">
        <f>Summary!H164</f>
        <v/>
      </c>
    </row>
    <row r="165" spans="1:3">
      <c r="A165" s="59" t="str">
        <f>IF(Summary!E165="","",Summary!E165)</f>
        <v/>
      </c>
      <c r="B165" s="59" t="str">
        <f>IF(Summary!J165="","",Summary!J165)</f>
        <v/>
      </c>
      <c r="C165" s="60" t="str">
        <f>Summary!H165</f>
        <v/>
      </c>
    </row>
    <row r="166" spans="1:3">
      <c r="A166" s="59" t="str">
        <f>IF(Summary!E166="","",Summary!E166)</f>
        <v/>
      </c>
      <c r="B166" s="59" t="str">
        <f>IF(Summary!J166="","",Summary!J166)</f>
        <v/>
      </c>
      <c r="C166" s="60" t="str">
        <f>Summary!H166</f>
        <v/>
      </c>
    </row>
    <row r="167" spans="1:3">
      <c r="A167" s="59" t="str">
        <f>IF(Summary!E167="","",Summary!E167)</f>
        <v/>
      </c>
      <c r="B167" s="59" t="str">
        <f>IF(Summary!J167="","",Summary!J167)</f>
        <v/>
      </c>
      <c r="C167" s="60" t="str">
        <f>Summary!H167</f>
        <v/>
      </c>
    </row>
    <row r="168" spans="1:3">
      <c r="A168" s="59" t="str">
        <f>IF(Summary!E168="","",Summary!E168)</f>
        <v/>
      </c>
      <c r="B168" s="59" t="str">
        <f>IF(Summary!J168="","",Summary!J168)</f>
        <v/>
      </c>
      <c r="C168" s="60" t="str">
        <f>Summary!H168</f>
        <v/>
      </c>
    </row>
    <row r="169" spans="1:3">
      <c r="A169" s="59" t="str">
        <f>IF(Summary!E169="","",Summary!E169)</f>
        <v/>
      </c>
      <c r="B169" s="59" t="str">
        <f>IF(Summary!J169="","",Summary!J169)</f>
        <v/>
      </c>
      <c r="C169" s="60" t="str">
        <f>Summary!H169</f>
        <v/>
      </c>
    </row>
    <row r="170" spans="1:3">
      <c r="A170" s="59" t="str">
        <f>IF(Summary!E170="","",Summary!E170)</f>
        <v/>
      </c>
      <c r="B170" s="59" t="str">
        <f>IF(Summary!J170="","",Summary!J170)</f>
        <v/>
      </c>
      <c r="C170" s="60" t="str">
        <f>Summary!H170</f>
        <v/>
      </c>
    </row>
    <row r="171" spans="1:3">
      <c r="A171" s="59" t="str">
        <f>IF(Summary!E171="","",Summary!E171)</f>
        <v/>
      </c>
      <c r="B171" s="59" t="str">
        <f>IF(Summary!J171="","",Summary!J171)</f>
        <v/>
      </c>
      <c r="C171" s="60" t="str">
        <f>Summary!H171</f>
        <v/>
      </c>
    </row>
    <row r="172" spans="1:3">
      <c r="A172" s="59" t="str">
        <f>IF(Summary!E172="","",Summary!E172)</f>
        <v/>
      </c>
      <c r="B172" s="59" t="str">
        <f>IF(Summary!J172="","",Summary!J172)</f>
        <v/>
      </c>
      <c r="C172" s="60" t="str">
        <f>Summary!H172</f>
        <v/>
      </c>
    </row>
    <row r="173" spans="1:3">
      <c r="A173" s="59" t="str">
        <f>IF(Summary!E173="","",Summary!E173)</f>
        <v/>
      </c>
      <c r="B173" s="59" t="str">
        <f>IF(Summary!J173="","",Summary!J173)</f>
        <v/>
      </c>
      <c r="C173" s="60" t="str">
        <f>Summary!H173</f>
        <v/>
      </c>
    </row>
    <row r="174" spans="1:3">
      <c r="A174" s="59" t="str">
        <f>IF(Summary!E174="","",Summary!E174)</f>
        <v/>
      </c>
      <c r="B174" s="59" t="str">
        <f>IF(Summary!J174="","",Summary!J174)</f>
        <v/>
      </c>
      <c r="C174" s="60" t="str">
        <f>Summary!H174</f>
        <v/>
      </c>
    </row>
    <row r="175" spans="1:3">
      <c r="A175" s="59" t="str">
        <f>IF(Summary!E175="","",Summary!E175)</f>
        <v/>
      </c>
      <c r="B175" s="59" t="str">
        <f>IF(Summary!J175="","",Summary!J175)</f>
        <v/>
      </c>
      <c r="C175" s="60" t="str">
        <f>Summary!H175</f>
        <v/>
      </c>
    </row>
    <row r="176" spans="1:3">
      <c r="A176" s="59" t="str">
        <f>IF(Summary!E176="","",Summary!E176)</f>
        <v/>
      </c>
      <c r="B176" s="59" t="str">
        <f>IF(Summary!J176="","",Summary!J176)</f>
        <v/>
      </c>
      <c r="C176" s="60" t="str">
        <f>Summary!H176</f>
        <v/>
      </c>
    </row>
    <row r="177" spans="1:3">
      <c r="A177" s="59" t="str">
        <f>IF(Summary!E177="","",Summary!E177)</f>
        <v/>
      </c>
      <c r="B177" s="59" t="str">
        <f>IF(Summary!J177="","",Summary!J177)</f>
        <v/>
      </c>
      <c r="C177" s="60" t="str">
        <f>Summary!H177</f>
        <v/>
      </c>
    </row>
    <row r="178" spans="1:3">
      <c r="A178" s="59" t="str">
        <f>IF(Summary!E178="","",Summary!E178)</f>
        <v/>
      </c>
      <c r="B178" s="59" t="str">
        <f>IF(Summary!J178="","",Summary!J178)</f>
        <v/>
      </c>
      <c r="C178" s="60" t="str">
        <f>Summary!H178</f>
        <v/>
      </c>
    </row>
    <row r="179" spans="1:3">
      <c r="A179" s="59" t="str">
        <f>IF(Summary!E179="","",Summary!E179)</f>
        <v/>
      </c>
      <c r="B179" s="59" t="str">
        <f>IF(Summary!J179="","",Summary!J179)</f>
        <v/>
      </c>
      <c r="C179" s="60" t="str">
        <f>Summary!H179</f>
        <v/>
      </c>
    </row>
    <row r="180" spans="1:3">
      <c r="A180" s="59" t="str">
        <f>IF(Summary!E180="","",Summary!E180)</f>
        <v/>
      </c>
      <c r="B180" s="59" t="str">
        <f>IF(Summary!J180="","",Summary!J180)</f>
        <v/>
      </c>
      <c r="C180" s="60" t="str">
        <f>Summary!H180</f>
        <v/>
      </c>
    </row>
    <row r="181" spans="1:3">
      <c r="A181" s="59" t="str">
        <f>IF(Summary!E181="","",Summary!E181)</f>
        <v/>
      </c>
      <c r="B181" s="59" t="str">
        <f>IF(Summary!J181="","",Summary!J181)</f>
        <v/>
      </c>
      <c r="C181" s="60" t="str">
        <f>Summary!H181</f>
        <v/>
      </c>
    </row>
    <row r="182" spans="1:3">
      <c r="A182" s="59" t="str">
        <f>IF(Summary!E182="","",Summary!E182)</f>
        <v/>
      </c>
      <c r="B182" s="59" t="str">
        <f>IF(Summary!J182="","",Summary!J182)</f>
        <v/>
      </c>
      <c r="C182" s="60" t="str">
        <f>Summary!H182</f>
        <v/>
      </c>
    </row>
    <row r="183" spans="1:3">
      <c r="A183" s="59" t="str">
        <f>IF(Summary!E183="","",Summary!E183)</f>
        <v/>
      </c>
      <c r="B183" s="59" t="str">
        <f>IF(Summary!J183="","",Summary!J183)</f>
        <v/>
      </c>
      <c r="C183" s="60" t="str">
        <f>Summary!H183</f>
        <v/>
      </c>
    </row>
    <row r="184" spans="1:3">
      <c r="A184" s="59" t="str">
        <f>IF(Summary!E184="","",Summary!E184)</f>
        <v/>
      </c>
      <c r="B184" s="59" t="str">
        <f>IF(Summary!J184="","",Summary!J184)</f>
        <v/>
      </c>
      <c r="C184" s="60" t="str">
        <f>Summary!H184</f>
        <v/>
      </c>
    </row>
    <row r="185" spans="1:3">
      <c r="A185" s="59" t="str">
        <f>IF(Summary!E185="","",Summary!E185)</f>
        <v/>
      </c>
      <c r="B185" s="59" t="str">
        <f>IF(Summary!J185="","",Summary!J185)</f>
        <v/>
      </c>
      <c r="C185" s="60" t="str">
        <f>Summary!H185</f>
        <v/>
      </c>
    </row>
    <row r="186" spans="1:3">
      <c r="A186" s="59" t="str">
        <f>IF(Summary!E186="","",Summary!E186)</f>
        <v/>
      </c>
      <c r="B186" s="59" t="str">
        <f>IF(Summary!J186="","",Summary!J186)</f>
        <v/>
      </c>
      <c r="C186" s="60" t="str">
        <f>Summary!H186</f>
        <v/>
      </c>
    </row>
    <row r="187" spans="1:3">
      <c r="A187" s="59" t="str">
        <f>IF(Summary!E187="","",Summary!E187)</f>
        <v/>
      </c>
      <c r="B187" s="59" t="str">
        <f>IF(Summary!J187="","",Summary!J187)</f>
        <v/>
      </c>
      <c r="C187" s="60" t="str">
        <f>Summary!H187</f>
        <v/>
      </c>
    </row>
    <row r="188" spans="1:3">
      <c r="A188" s="59" t="str">
        <f>IF(Summary!E188="","",Summary!E188)</f>
        <v/>
      </c>
      <c r="B188" s="59" t="str">
        <f>IF(Summary!J188="","",Summary!J188)</f>
        <v/>
      </c>
      <c r="C188" s="60" t="str">
        <f>Summary!H188</f>
        <v/>
      </c>
    </row>
    <row r="189" spans="1:3">
      <c r="A189" s="59" t="str">
        <f>IF(Summary!E189="","",Summary!E189)</f>
        <v/>
      </c>
      <c r="B189" s="59" t="str">
        <f>IF(Summary!J189="","",Summary!J189)</f>
        <v/>
      </c>
      <c r="C189" s="60" t="str">
        <f>Summary!H189</f>
        <v/>
      </c>
    </row>
    <row r="190" spans="1:3">
      <c r="A190" s="59" t="str">
        <f>IF(Summary!E190="","",Summary!E190)</f>
        <v/>
      </c>
      <c r="B190" s="59" t="str">
        <f>IF(Summary!J190="","",Summary!J190)</f>
        <v/>
      </c>
      <c r="C190" s="60" t="str">
        <f>Summary!H190</f>
        <v/>
      </c>
    </row>
    <row r="191" spans="1:3">
      <c r="A191" s="59" t="str">
        <f>IF(Summary!E191="","",Summary!E191)</f>
        <v/>
      </c>
      <c r="B191" s="59" t="str">
        <f>IF(Summary!J191="","",Summary!J191)</f>
        <v/>
      </c>
      <c r="C191" s="60" t="str">
        <f>Summary!H191</f>
        <v/>
      </c>
    </row>
    <row r="192" spans="1:3">
      <c r="A192" s="59" t="str">
        <f>IF(Summary!E192="","",Summary!E192)</f>
        <v/>
      </c>
      <c r="B192" s="59" t="str">
        <f>IF(Summary!J192="","",Summary!J192)</f>
        <v/>
      </c>
      <c r="C192" s="60" t="str">
        <f>Summary!H192</f>
        <v/>
      </c>
    </row>
    <row r="193" spans="1:3">
      <c r="A193" s="59" t="str">
        <f>IF(Summary!E193="","",Summary!E193)</f>
        <v/>
      </c>
      <c r="B193" s="59" t="str">
        <f>IF(Summary!J193="","",Summary!J193)</f>
        <v/>
      </c>
      <c r="C193" s="60" t="str">
        <f>Summary!H193</f>
        <v/>
      </c>
    </row>
    <row r="194" spans="1:3">
      <c r="A194" s="59" t="str">
        <f>IF(Summary!E194="","",Summary!E194)</f>
        <v/>
      </c>
      <c r="B194" s="59" t="str">
        <f>IF(Summary!J194="","",Summary!J194)</f>
        <v/>
      </c>
      <c r="C194" s="60" t="str">
        <f>Summary!H194</f>
        <v/>
      </c>
    </row>
    <row r="195" spans="1:3">
      <c r="A195" s="59" t="str">
        <f>IF(Summary!E195="","",Summary!E195)</f>
        <v/>
      </c>
      <c r="B195" s="59" t="str">
        <f>IF(Summary!J195="","",Summary!J195)</f>
        <v/>
      </c>
      <c r="C195" s="60" t="str">
        <f>Summary!H195</f>
        <v/>
      </c>
    </row>
    <row r="196" spans="1:3">
      <c r="A196" s="59" t="str">
        <f>IF(Summary!E196="","",Summary!E196)</f>
        <v/>
      </c>
      <c r="B196" s="59" t="str">
        <f>IF(Summary!J196="","",Summary!J196)</f>
        <v/>
      </c>
      <c r="C196" s="60" t="str">
        <f>Summary!H196</f>
        <v/>
      </c>
    </row>
    <row r="197" spans="1:3">
      <c r="A197" s="59" t="str">
        <f>IF(Summary!E197="","",Summary!E197)</f>
        <v/>
      </c>
      <c r="B197" s="59" t="str">
        <f>IF(Summary!J197="","",Summary!J197)</f>
        <v/>
      </c>
      <c r="C197" s="60" t="str">
        <f>Summary!H197</f>
        <v/>
      </c>
    </row>
    <row r="198" spans="1:3">
      <c r="A198" s="59" t="str">
        <f>IF(Summary!E198="","",Summary!E198)</f>
        <v/>
      </c>
      <c r="B198" s="59" t="str">
        <f>IF(Summary!J198="","",Summary!J198)</f>
        <v/>
      </c>
      <c r="C198" s="60" t="str">
        <f>Summary!H198</f>
        <v/>
      </c>
    </row>
    <row r="199" spans="1:3">
      <c r="A199" s="59" t="str">
        <f>IF(Summary!E199="","",Summary!E199)</f>
        <v/>
      </c>
      <c r="B199" s="59" t="str">
        <f>IF(Summary!J199="","",Summary!J199)</f>
        <v/>
      </c>
      <c r="C199" s="60" t="str">
        <f>Summary!H199</f>
        <v/>
      </c>
    </row>
    <row r="200" spans="1:3">
      <c r="A200" s="59" t="str">
        <f>IF(Summary!E200="","",Summary!E200)</f>
        <v/>
      </c>
      <c r="B200" s="59" t="str">
        <f>IF(Summary!J200="","",Summary!J200)</f>
        <v/>
      </c>
      <c r="C200" s="60" t="str">
        <f>Summary!H200</f>
        <v/>
      </c>
    </row>
    <row r="201" spans="1:3">
      <c r="A201" s="59" t="str">
        <f>IF(Summary!E201="","",Summary!E201)</f>
        <v/>
      </c>
      <c r="B201" s="59" t="str">
        <f>IF(Summary!J201="","",Summary!J201)</f>
        <v/>
      </c>
      <c r="C201" s="60" t="str">
        <f>Summary!H201</f>
        <v/>
      </c>
    </row>
    <row r="202" spans="1:3">
      <c r="A202" s="59" t="str">
        <f>IF(Summary!E202="","",Summary!E202)</f>
        <v/>
      </c>
      <c r="B202" s="59" t="str">
        <f>IF(Summary!J202="","",Summary!J202)</f>
        <v/>
      </c>
      <c r="C202" s="60" t="str">
        <f>Summary!H202</f>
        <v/>
      </c>
    </row>
    <row r="203" spans="1:3">
      <c r="A203" s="59" t="str">
        <f>IF(Summary!E203="","",Summary!E203)</f>
        <v/>
      </c>
      <c r="B203" s="59" t="str">
        <f>IF(Summary!J203="","",Summary!J203)</f>
        <v/>
      </c>
      <c r="C203" s="60" t="str">
        <f>Summary!H203</f>
        <v/>
      </c>
    </row>
    <row r="204" spans="1:3">
      <c r="A204" s="59" t="str">
        <f>IF(Summary!E204="","",Summary!E204)</f>
        <v/>
      </c>
      <c r="B204" s="59" t="str">
        <f>IF(Summary!J204="","",Summary!J204)</f>
        <v/>
      </c>
      <c r="C204" s="60" t="str">
        <f>Summary!H204</f>
        <v/>
      </c>
    </row>
    <row r="205" spans="1:3">
      <c r="A205" s="59" t="str">
        <f>IF(Summary!E205="","",Summary!E205)</f>
        <v/>
      </c>
      <c r="B205" s="59" t="str">
        <f>IF(Summary!J205="","",Summary!J205)</f>
        <v/>
      </c>
      <c r="C205" s="60" t="str">
        <f>Summary!H205</f>
        <v/>
      </c>
    </row>
    <row r="206" spans="1:3">
      <c r="A206" s="59" t="str">
        <f>IF(Summary!E206="","",Summary!E206)</f>
        <v/>
      </c>
      <c r="B206" s="59" t="str">
        <f>IF(Summary!J206="","",Summary!J206)</f>
        <v/>
      </c>
      <c r="C206" s="60" t="str">
        <f>Summary!H206</f>
        <v/>
      </c>
    </row>
    <row r="207" spans="1:3">
      <c r="A207" s="59" t="str">
        <f>IF(Summary!E207="","",Summary!E207)</f>
        <v/>
      </c>
      <c r="B207" s="59" t="str">
        <f>IF(Summary!J207="","",Summary!J207)</f>
        <v/>
      </c>
      <c r="C207" s="60" t="str">
        <f>Summary!H207</f>
        <v/>
      </c>
    </row>
    <row r="208" spans="1:3">
      <c r="A208" s="59" t="str">
        <f>IF(Summary!E208="","",Summary!E208)</f>
        <v/>
      </c>
      <c r="B208" s="59" t="str">
        <f>IF(Summary!J208="","",Summary!J208)</f>
        <v/>
      </c>
      <c r="C208" s="60" t="str">
        <f>Summary!H208</f>
        <v/>
      </c>
    </row>
    <row r="209" spans="1:3">
      <c r="A209" s="59" t="str">
        <f>IF(Summary!E209="","",Summary!E209)</f>
        <v/>
      </c>
      <c r="B209" s="59" t="str">
        <f>IF(Summary!J209="","",Summary!J209)</f>
        <v/>
      </c>
      <c r="C209" s="60" t="str">
        <f>Summary!H209</f>
        <v/>
      </c>
    </row>
    <row r="210" spans="1:3">
      <c r="A210" s="59" t="str">
        <f>IF(Summary!E210="","",Summary!E210)</f>
        <v/>
      </c>
      <c r="B210" s="59" t="str">
        <f>IF(Summary!J210="","",Summary!J210)</f>
        <v/>
      </c>
      <c r="C210" s="60" t="str">
        <f>Summary!H210</f>
        <v/>
      </c>
    </row>
    <row r="211" spans="1:3">
      <c r="A211" s="59" t="str">
        <f>IF(Summary!E211="","",Summary!E211)</f>
        <v/>
      </c>
      <c r="B211" s="59" t="str">
        <f>IF(Summary!J211="","",Summary!J211)</f>
        <v/>
      </c>
      <c r="C211" s="60" t="str">
        <f>Summary!H211</f>
        <v/>
      </c>
    </row>
    <row r="212" spans="1:3">
      <c r="A212" s="59" t="str">
        <f>IF(Summary!E212="","",Summary!E212)</f>
        <v/>
      </c>
      <c r="B212" s="59" t="str">
        <f>IF(Summary!J212="","",Summary!J212)</f>
        <v/>
      </c>
      <c r="C212" s="60" t="str">
        <f>Summary!H212</f>
        <v/>
      </c>
    </row>
    <row r="213" spans="1:3">
      <c r="A213" s="59" t="str">
        <f>IF(Summary!E213="","",Summary!E213)</f>
        <v/>
      </c>
      <c r="B213" s="59" t="str">
        <f>IF(Summary!J213="","",Summary!J213)</f>
        <v/>
      </c>
      <c r="C213" s="60" t="str">
        <f>Summary!H213</f>
        <v/>
      </c>
    </row>
    <row r="214" spans="1:3">
      <c r="A214" s="59" t="str">
        <f>IF(Summary!E214="","",Summary!E214)</f>
        <v/>
      </c>
      <c r="B214" s="59" t="str">
        <f>IF(Summary!J214="","",Summary!J214)</f>
        <v/>
      </c>
      <c r="C214" s="60" t="str">
        <f>Summary!H214</f>
        <v/>
      </c>
    </row>
    <row r="215" spans="1:3">
      <c r="A215" s="59" t="str">
        <f>IF(Summary!E215="","",Summary!E215)</f>
        <v/>
      </c>
      <c r="B215" s="59" t="str">
        <f>IF(Summary!J215="","",Summary!J215)</f>
        <v/>
      </c>
      <c r="C215" s="60" t="str">
        <f>Summary!H215</f>
        <v/>
      </c>
    </row>
    <row r="216" spans="1:3">
      <c r="A216" s="59" t="str">
        <f>IF(Summary!E216="","",Summary!E216)</f>
        <v/>
      </c>
      <c r="B216" s="59" t="str">
        <f>IF(Summary!J216="","",Summary!J216)</f>
        <v/>
      </c>
      <c r="C216" s="60" t="str">
        <f>Summary!H216</f>
        <v/>
      </c>
    </row>
    <row r="217" spans="1:3">
      <c r="A217" s="59" t="str">
        <f>IF(Summary!E217="","",Summary!E217)</f>
        <v/>
      </c>
      <c r="B217" s="59" t="str">
        <f>IF(Summary!J217="","",Summary!J217)</f>
        <v/>
      </c>
      <c r="C217" s="60" t="str">
        <f>Summary!H217</f>
        <v/>
      </c>
    </row>
    <row r="218" spans="1:3">
      <c r="A218" s="59" t="str">
        <f>IF(Summary!E218="","",Summary!E218)</f>
        <v/>
      </c>
      <c r="B218" s="59" t="str">
        <f>IF(Summary!J218="","",Summary!J218)</f>
        <v/>
      </c>
      <c r="C218" s="60" t="str">
        <f>Summary!H218</f>
        <v/>
      </c>
    </row>
    <row r="219" spans="1:3">
      <c r="A219" s="59" t="str">
        <f>IF(Summary!E219="","",Summary!E219)</f>
        <v/>
      </c>
      <c r="B219" s="59" t="str">
        <f>IF(Summary!J219="","",Summary!J219)</f>
        <v/>
      </c>
      <c r="C219" s="60" t="str">
        <f>Summary!H219</f>
        <v/>
      </c>
    </row>
    <row r="220" spans="1:3">
      <c r="A220" s="59" t="str">
        <f>IF(Summary!E220="","",Summary!E220)</f>
        <v/>
      </c>
      <c r="B220" s="59" t="str">
        <f>IF(Summary!J220="","",Summary!J220)</f>
        <v/>
      </c>
      <c r="C220" s="60" t="str">
        <f>Summary!H220</f>
        <v/>
      </c>
    </row>
    <row r="221" spans="1:3">
      <c r="A221" s="59" t="str">
        <f>IF(Summary!E221="","",Summary!E221)</f>
        <v/>
      </c>
      <c r="B221" s="59" t="str">
        <f>IF(Summary!J221="","",Summary!J221)</f>
        <v/>
      </c>
      <c r="C221" s="60" t="str">
        <f>Summary!H221</f>
        <v/>
      </c>
    </row>
    <row r="222" spans="1:3">
      <c r="A222" s="59" t="str">
        <f>IF(Summary!E222="","",Summary!E222)</f>
        <v/>
      </c>
      <c r="B222" s="59" t="str">
        <f>IF(Summary!J222="","",Summary!J222)</f>
        <v/>
      </c>
      <c r="C222" s="60" t="str">
        <f>Summary!H222</f>
        <v/>
      </c>
    </row>
    <row r="223" spans="1:3">
      <c r="A223" s="59" t="str">
        <f>IF(Summary!E223="","",Summary!E223)</f>
        <v/>
      </c>
      <c r="B223" s="59" t="str">
        <f>IF(Summary!J223="","",Summary!J223)</f>
        <v/>
      </c>
      <c r="C223" s="60" t="str">
        <f>Summary!H223</f>
        <v/>
      </c>
    </row>
    <row r="224" spans="1:3">
      <c r="A224" s="59" t="str">
        <f>IF(Summary!E224="","",Summary!E224)</f>
        <v/>
      </c>
      <c r="B224" s="59" t="str">
        <f>IF(Summary!J224="","",Summary!J224)</f>
        <v/>
      </c>
      <c r="C224" s="60" t="str">
        <f>Summary!H224</f>
        <v/>
      </c>
    </row>
    <row r="225" spans="1:3">
      <c r="A225" s="59" t="str">
        <f>IF(Summary!E225="","",Summary!E225)</f>
        <v/>
      </c>
      <c r="B225" s="59" t="str">
        <f>IF(Summary!J225="","",Summary!J225)</f>
        <v/>
      </c>
      <c r="C225" s="60" t="str">
        <f>Summary!H225</f>
        <v/>
      </c>
    </row>
    <row r="226" spans="1:3">
      <c r="A226" s="59" t="str">
        <f>IF(Summary!E226="","",Summary!E226)</f>
        <v/>
      </c>
      <c r="B226" s="59" t="str">
        <f>IF(Summary!J226="","",Summary!J226)</f>
        <v/>
      </c>
      <c r="C226" s="60" t="str">
        <f>Summary!H226</f>
        <v/>
      </c>
    </row>
    <row r="227" spans="1:3">
      <c r="A227" s="59" t="str">
        <f>IF(Summary!E227="","",Summary!E227)</f>
        <v/>
      </c>
      <c r="B227" s="59" t="str">
        <f>IF(Summary!J227="","",Summary!J227)</f>
        <v/>
      </c>
      <c r="C227" s="60" t="str">
        <f>Summary!H227</f>
        <v/>
      </c>
    </row>
    <row r="228" spans="1:3">
      <c r="A228" s="59" t="str">
        <f>IF(Summary!E228="","",Summary!E228)</f>
        <v/>
      </c>
      <c r="B228" s="59" t="str">
        <f>IF(Summary!J228="","",Summary!J228)</f>
        <v/>
      </c>
      <c r="C228" s="60" t="str">
        <f>Summary!H228</f>
        <v/>
      </c>
    </row>
    <row r="229" spans="1:3">
      <c r="A229" s="59" t="str">
        <f>IF(Summary!E229="","",Summary!E229)</f>
        <v/>
      </c>
      <c r="B229" s="59" t="str">
        <f>IF(Summary!J229="","",Summary!J229)</f>
        <v/>
      </c>
      <c r="C229" s="60" t="str">
        <f>Summary!H229</f>
        <v/>
      </c>
    </row>
    <row r="230" spans="1:3">
      <c r="A230" s="59" t="str">
        <f>IF(Summary!E230="","",Summary!E230)</f>
        <v/>
      </c>
      <c r="B230" s="59" t="str">
        <f>IF(Summary!J230="","",Summary!J230)</f>
        <v/>
      </c>
      <c r="C230" s="60" t="str">
        <f>Summary!H230</f>
        <v/>
      </c>
    </row>
    <row r="231" spans="1:3">
      <c r="A231" s="59" t="str">
        <f>IF(Summary!E231="","",Summary!E231)</f>
        <v/>
      </c>
      <c r="B231" s="59" t="str">
        <f>IF(Summary!J231="","",Summary!J231)</f>
        <v/>
      </c>
      <c r="C231" s="60" t="str">
        <f>Summary!H231</f>
        <v/>
      </c>
    </row>
    <row r="232" spans="1:3">
      <c r="A232" s="59" t="str">
        <f>IF(Summary!E232="","",Summary!E232)</f>
        <v/>
      </c>
      <c r="B232" s="59" t="str">
        <f>IF(Summary!J232="","",Summary!J232)</f>
        <v/>
      </c>
      <c r="C232" s="60" t="str">
        <f>Summary!H232</f>
        <v/>
      </c>
    </row>
    <row r="233" spans="1:3">
      <c r="A233" s="59" t="str">
        <f>IF(Summary!E233="","",Summary!E233)</f>
        <v/>
      </c>
      <c r="B233" s="59" t="str">
        <f>IF(Summary!J233="","",Summary!J233)</f>
        <v/>
      </c>
      <c r="C233" s="60" t="str">
        <f>Summary!H233</f>
        <v/>
      </c>
    </row>
    <row r="234" spans="1:3">
      <c r="A234" s="59" t="str">
        <f>IF(Summary!E234="","",Summary!E234)</f>
        <v/>
      </c>
      <c r="B234" s="59" t="str">
        <f>IF(Summary!J234="","",Summary!J234)</f>
        <v/>
      </c>
      <c r="C234" s="60" t="str">
        <f>Summary!H234</f>
        <v/>
      </c>
    </row>
    <row r="235" spans="1:3">
      <c r="A235" s="59" t="str">
        <f>IF(Summary!E235="","",Summary!E235)</f>
        <v/>
      </c>
      <c r="B235" s="59" t="str">
        <f>IF(Summary!J235="","",Summary!J235)</f>
        <v/>
      </c>
      <c r="C235" s="60" t="str">
        <f>Summary!H235</f>
        <v/>
      </c>
    </row>
    <row r="236" spans="1:3">
      <c r="A236" s="59" t="str">
        <f>IF(Summary!E236="","",Summary!E236)</f>
        <v/>
      </c>
      <c r="B236" s="59" t="str">
        <f>IF(Summary!J236="","",Summary!J236)</f>
        <v/>
      </c>
      <c r="C236" s="60" t="str">
        <f>Summary!H236</f>
        <v/>
      </c>
    </row>
    <row r="237" spans="1:3">
      <c r="A237" s="59" t="str">
        <f>IF(Summary!E237="","",Summary!E237)</f>
        <v/>
      </c>
      <c r="B237" s="59" t="str">
        <f>IF(Summary!J237="","",Summary!J237)</f>
        <v/>
      </c>
      <c r="C237" s="60" t="str">
        <f>Summary!H237</f>
        <v/>
      </c>
    </row>
    <row r="238" spans="1:3">
      <c r="A238" s="59" t="str">
        <f>IF(Summary!E238="","",Summary!E238)</f>
        <v/>
      </c>
      <c r="B238" s="59" t="str">
        <f>IF(Summary!J238="","",Summary!J238)</f>
        <v/>
      </c>
      <c r="C238" s="60" t="str">
        <f>Summary!H238</f>
        <v/>
      </c>
    </row>
    <row r="239" spans="1:3">
      <c r="A239" s="59" t="str">
        <f>IF(Summary!E239="","",Summary!E239)</f>
        <v/>
      </c>
      <c r="B239" s="59" t="str">
        <f>IF(Summary!J239="","",Summary!J239)</f>
        <v/>
      </c>
      <c r="C239" s="60" t="str">
        <f>Summary!H239</f>
        <v/>
      </c>
    </row>
    <row r="240" spans="1:3">
      <c r="A240" s="59" t="str">
        <f>IF(Summary!E240="","",Summary!E240)</f>
        <v/>
      </c>
      <c r="B240" s="59" t="str">
        <f>IF(Summary!J240="","",Summary!J240)</f>
        <v/>
      </c>
      <c r="C240" s="60" t="str">
        <f>Summary!H240</f>
        <v/>
      </c>
    </row>
    <row r="241" spans="1:3">
      <c r="A241" s="59" t="str">
        <f>IF(Summary!E241="","",Summary!E241)</f>
        <v/>
      </c>
      <c r="B241" s="59" t="str">
        <f>IF(Summary!J241="","",Summary!J241)</f>
        <v/>
      </c>
      <c r="C241" s="60" t="str">
        <f>Summary!H241</f>
        <v/>
      </c>
    </row>
    <row r="242" spans="1:3">
      <c r="A242" s="59" t="str">
        <f>IF(Summary!E242="","",Summary!E242)</f>
        <v/>
      </c>
      <c r="B242" s="59" t="str">
        <f>IF(Summary!J242="","",Summary!J242)</f>
        <v/>
      </c>
      <c r="C242" s="60" t="str">
        <f>Summary!H242</f>
        <v/>
      </c>
    </row>
    <row r="243" spans="1:3">
      <c r="A243" s="59" t="str">
        <f>IF(Summary!E243="","",Summary!E243)</f>
        <v/>
      </c>
      <c r="B243" s="59" t="str">
        <f>IF(Summary!J243="","",Summary!J243)</f>
        <v/>
      </c>
      <c r="C243" s="60" t="str">
        <f>Summary!H243</f>
        <v/>
      </c>
    </row>
    <row r="244" spans="1:3">
      <c r="A244" s="59" t="str">
        <f>IF(Summary!E244="","",Summary!E244)</f>
        <v/>
      </c>
      <c r="B244" s="59" t="str">
        <f>IF(Summary!J244="","",Summary!J244)</f>
        <v/>
      </c>
      <c r="C244" s="60" t="str">
        <f>Summary!H244</f>
        <v/>
      </c>
    </row>
    <row r="245" spans="1:3">
      <c r="A245" s="59" t="str">
        <f>IF(Summary!E245="","",Summary!E245)</f>
        <v/>
      </c>
      <c r="B245" s="59" t="str">
        <f>IF(Summary!J245="","",Summary!J245)</f>
        <v/>
      </c>
      <c r="C245" s="60" t="str">
        <f>Summary!H245</f>
        <v/>
      </c>
    </row>
    <row r="246" spans="1:3">
      <c r="A246" s="59" t="str">
        <f>IF(Summary!E246="","",Summary!E246)</f>
        <v/>
      </c>
      <c r="B246" s="59" t="str">
        <f>IF(Summary!J246="","",Summary!J246)</f>
        <v/>
      </c>
      <c r="C246" s="60" t="str">
        <f>Summary!H246</f>
        <v/>
      </c>
    </row>
    <row r="247" spans="1:3">
      <c r="A247" s="59" t="str">
        <f>IF(Summary!E247="","",Summary!E247)</f>
        <v/>
      </c>
      <c r="B247" s="59" t="str">
        <f>IF(Summary!J247="","",Summary!J247)</f>
        <v/>
      </c>
      <c r="C247" s="60" t="str">
        <f>Summary!H247</f>
        <v/>
      </c>
    </row>
    <row r="248" spans="1:3">
      <c r="A248" s="59" t="str">
        <f>IF(Summary!E248="","",Summary!E248)</f>
        <v/>
      </c>
      <c r="B248" s="59" t="str">
        <f>IF(Summary!J248="","",Summary!J248)</f>
        <v/>
      </c>
      <c r="C248" s="60" t="str">
        <f>Summary!H248</f>
        <v/>
      </c>
    </row>
    <row r="249" spans="1:3">
      <c r="A249" s="59" t="str">
        <f>IF(Summary!E249="","",Summary!E249)</f>
        <v/>
      </c>
      <c r="B249" s="59" t="str">
        <f>IF(Summary!J249="","",Summary!J249)</f>
        <v/>
      </c>
      <c r="C249" s="60" t="str">
        <f>Summary!H249</f>
        <v/>
      </c>
    </row>
    <row r="250" spans="1:3">
      <c r="A250" s="59" t="str">
        <f>IF(Summary!E250="","",Summary!E250)</f>
        <v/>
      </c>
      <c r="B250" s="59" t="str">
        <f>IF(Summary!J250="","",Summary!J250)</f>
        <v/>
      </c>
      <c r="C250" s="60" t="str">
        <f>Summary!H250</f>
        <v/>
      </c>
    </row>
    <row r="251" spans="1:3">
      <c r="A251" s="59" t="str">
        <f>IF(Summary!E251="","",Summary!E251)</f>
        <v/>
      </c>
      <c r="B251" s="59" t="str">
        <f>IF(Summary!J251="","",Summary!J251)</f>
        <v/>
      </c>
      <c r="C251" s="60" t="str">
        <f>Summary!H251</f>
        <v/>
      </c>
    </row>
    <row r="252" spans="1:3">
      <c r="A252" s="59" t="str">
        <f>IF(Summary!E252="","",Summary!E252)</f>
        <v/>
      </c>
      <c r="B252" s="59" t="str">
        <f>IF(Summary!J252="","",Summary!J252)</f>
        <v/>
      </c>
      <c r="C252" s="60" t="str">
        <f>Summary!H252</f>
        <v/>
      </c>
    </row>
    <row r="253" spans="1:3">
      <c r="A253" s="59" t="str">
        <f>IF(Summary!E253="","",Summary!E253)</f>
        <v/>
      </c>
      <c r="B253" s="59" t="str">
        <f>IF(Summary!J253="","",Summary!J253)</f>
        <v/>
      </c>
      <c r="C253" s="60" t="str">
        <f>Summary!H253</f>
        <v/>
      </c>
    </row>
    <row r="254" spans="1:3">
      <c r="A254" s="59" t="str">
        <f>IF(Summary!E254="","",Summary!E254)</f>
        <v/>
      </c>
      <c r="B254" s="59" t="str">
        <f>IF(Summary!J254="","",Summary!J254)</f>
        <v/>
      </c>
      <c r="C254" s="60" t="str">
        <f>Summary!H254</f>
        <v/>
      </c>
    </row>
    <row r="255" spans="1:3">
      <c r="A255" s="59" t="str">
        <f>IF(Summary!E255="","",Summary!E255)</f>
        <v/>
      </c>
      <c r="B255" s="59" t="str">
        <f>IF(Summary!J255="","",Summary!J255)</f>
        <v/>
      </c>
      <c r="C255" s="60" t="str">
        <f>Summary!H255</f>
        <v/>
      </c>
    </row>
    <row r="256" spans="1:3">
      <c r="A256" s="59" t="str">
        <f>IF(Summary!E256="","",Summary!E256)</f>
        <v/>
      </c>
      <c r="B256" s="59" t="str">
        <f>IF(Summary!J256="","",Summary!J256)</f>
        <v/>
      </c>
      <c r="C256" s="60" t="str">
        <f>Summary!H256</f>
        <v/>
      </c>
    </row>
    <row r="257" spans="1:3">
      <c r="A257" s="59" t="str">
        <f>IF(Summary!E257="","",Summary!E257)</f>
        <v/>
      </c>
      <c r="B257" s="59" t="str">
        <f>IF(Summary!J257="","",Summary!J257)</f>
        <v/>
      </c>
      <c r="C257" s="60" t="str">
        <f>Summary!H257</f>
        <v/>
      </c>
    </row>
    <row r="258" spans="1:3">
      <c r="A258" s="59" t="str">
        <f>IF(Summary!E258="","",Summary!E258)</f>
        <v/>
      </c>
      <c r="B258" s="59" t="str">
        <f>IF(Summary!J258="","",Summary!J258)</f>
        <v/>
      </c>
      <c r="C258" s="60" t="str">
        <f>Summary!H258</f>
        <v/>
      </c>
    </row>
    <row r="259" spans="1:3">
      <c r="A259" s="59" t="str">
        <f>IF(Summary!E259="","",Summary!E259)</f>
        <v/>
      </c>
      <c r="B259" s="59" t="str">
        <f>IF(Summary!J259="","",Summary!J259)</f>
        <v/>
      </c>
      <c r="C259" s="60" t="str">
        <f>Summary!H259</f>
        <v/>
      </c>
    </row>
    <row r="260" spans="1:3">
      <c r="A260" s="59" t="str">
        <f>IF(Summary!E260="","",Summary!E260)</f>
        <v/>
      </c>
      <c r="B260" s="59" t="str">
        <f>IF(Summary!J260="","",Summary!J260)</f>
        <v/>
      </c>
      <c r="C260" s="60" t="str">
        <f>Summary!H260</f>
        <v/>
      </c>
    </row>
    <row r="261" spans="1:3">
      <c r="A261" s="59" t="str">
        <f>IF(Summary!E261="","",Summary!E261)</f>
        <v/>
      </c>
      <c r="B261" s="59" t="str">
        <f>IF(Summary!J261="","",Summary!J261)</f>
        <v/>
      </c>
      <c r="C261" s="60" t="str">
        <f>Summary!H261</f>
        <v/>
      </c>
    </row>
    <row r="262" spans="1:3">
      <c r="A262" s="59" t="str">
        <f>IF(Summary!E262="","",Summary!E262)</f>
        <v/>
      </c>
      <c r="B262" s="59" t="str">
        <f>IF(Summary!J262="","",Summary!J262)</f>
        <v/>
      </c>
      <c r="C262" s="60" t="str">
        <f>Summary!H262</f>
        <v/>
      </c>
    </row>
    <row r="263" spans="1:3">
      <c r="A263" s="59" t="str">
        <f>IF(Summary!E263="","",Summary!E263)</f>
        <v/>
      </c>
      <c r="B263" s="59" t="str">
        <f>IF(Summary!J263="","",Summary!J263)</f>
        <v/>
      </c>
      <c r="C263" s="60" t="str">
        <f>Summary!H263</f>
        <v/>
      </c>
    </row>
    <row r="264" spans="1:3">
      <c r="A264" s="59" t="str">
        <f>IF(Summary!E264="","",Summary!E264)</f>
        <v/>
      </c>
      <c r="B264" s="59" t="str">
        <f>IF(Summary!J264="","",Summary!J264)</f>
        <v/>
      </c>
      <c r="C264" s="60" t="str">
        <f>Summary!H264</f>
        <v/>
      </c>
    </row>
    <row r="265" spans="1:3">
      <c r="A265" s="59" t="str">
        <f>IF(Summary!E265="","",Summary!E265)</f>
        <v/>
      </c>
      <c r="B265" s="59" t="str">
        <f>IF(Summary!J265="","",Summary!J265)</f>
        <v/>
      </c>
      <c r="C265" s="60" t="str">
        <f>Summary!H265</f>
        <v/>
      </c>
    </row>
    <row r="266" spans="1:3">
      <c r="A266" s="59" t="str">
        <f>IF(Summary!E266="","",Summary!E266)</f>
        <v/>
      </c>
      <c r="B266" s="59" t="str">
        <f>IF(Summary!J266="","",Summary!J266)</f>
        <v/>
      </c>
      <c r="C266" s="60" t="str">
        <f>Summary!H266</f>
        <v/>
      </c>
    </row>
    <row r="267" spans="1:3">
      <c r="A267" s="59" t="str">
        <f>IF(Summary!E267="","",Summary!E267)</f>
        <v/>
      </c>
      <c r="B267" s="59" t="str">
        <f>IF(Summary!J267="","",Summary!J267)</f>
        <v/>
      </c>
      <c r="C267" s="60" t="str">
        <f>Summary!H267</f>
        <v/>
      </c>
    </row>
    <row r="268" spans="1:3">
      <c r="A268" s="59" t="str">
        <f>IF(Summary!E268="","",Summary!E268)</f>
        <v/>
      </c>
      <c r="B268" s="59" t="str">
        <f>IF(Summary!J268="","",Summary!J268)</f>
        <v/>
      </c>
      <c r="C268" s="60" t="str">
        <f>Summary!H268</f>
        <v/>
      </c>
    </row>
    <row r="269" spans="1:3">
      <c r="A269" s="59" t="str">
        <f>IF(Summary!E269="","",Summary!E269)</f>
        <v/>
      </c>
      <c r="B269" s="59" t="str">
        <f>IF(Summary!J269="","",Summary!J269)</f>
        <v/>
      </c>
      <c r="C269" s="60" t="str">
        <f>Summary!H269</f>
        <v/>
      </c>
    </row>
    <row r="270" spans="1:3">
      <c r="A270" s="59" t="str">
        <f>IF(Summary!E270="","",Summary!E270)</f>
        <v/>
      </c>
      <c r="B270" s="59" t="str">
        <f>IF(Summary!J270="","",Summary!J270)</f>
        <v/>
      </c>
      <c r="C270" s="60" t="str">
        <f>Summary!H270</f>
        <v/>
      </c>
    </row>
    <row r="271" spans="1:3">
      <c r="A271" s="59" t="str">
        <f>IF(Summary!E271="","",Summary!E271)</f>
        <v/>
      </c>
      <c r="B271" s="59" t="str">
        <f>IF(Summary!J271="","",Summary!J271)</f>
        <v/>
      </c>
      <c r="C271" s="60" t="str">
        <f>Summary!H271</f>
        <v/>
      </c>
    </row>
    <row r="272" spans="1:3">
      <c r="A272" s="59" t="str">
        <f>IF(Summary!E272="","",Summary!E272)</f>
        <v/>
      </c>
      <c r="B272" s="59" t="str">
        <f>IF(Summary!J272="","",Summary!J272)</f>
        <v/>
      </c>
      <c r="C272" s="60" t="str">
        <f>Summary!H272</f>
        <v/>
      </c>
    </row>
    <row r="273" spans="1:3">
      <c r="A273" s="59" t="str">
        <f>IF(Summary!E273="","",Summary!E273)</f>
        <v/>
      </c>
      <c r="B273" s="59" t="str">
        <f>IF(Summary!J273="","",Summary!J273)</f>
        <v/>
      </c>
      <c r="C273" s="60" t="str">
        <f>Summary!H273</f>
        <v/>
      </c>
    </row>
    <row r="274" spans="1:3">
      <c r="A274" s="59" t="str">
        <f>IF(Summary!E274="","",Summary!E274)</f>
        <v/>
      </c>
      <c r="B274" s="59" t="str">
        <f>IF(Summary!J274="","",Summary!J274)</f>
        <v/>
      </c>
      <c r="C274" s="60" t="str">
        <f>Summary!H274</f>
        <v/>
      </c>
    </row>
    <row r="275" spans="1:3">
      <c r="A275" s="59" t="str">
        <f>IF(Summary!E275="","",Summary!E275)</f>
        <v/>
      </c>
      <c r="B275" s="59" t="str">
        <f>IF(Summary!J275="","",Summary!J275)</f>
        <v/>
      </c>
      <c r="C275" s="60" t="str">
        <f>Summary!H275</f>
        <v/>
      </c>
    </row>
    <row r="276" spans="1:3">
      <c r="A276" s="59" t="str">
        <f>IF(Summary!E276="","",Summary!E276)</f>
        <v/>
      </c>
      <c r="B276" s="59" t="str">
        <f>IF(Summary!J276="","",Summary!J276)</f>
        <v/>
      </c>
      <c r="C276" s="60" t="str">
        <f>Summary!H276</f>
        <v/>
      </c>
    </row>
    <row r="277" spans="1:3">
      <c r="A277" s="59" t="str">
        <f>IF(Summary!E277="","",Summary!E277)</f>
        <v/>
      </c>
      <c r="B277" s="59" t="str">
        <f>IF(Summary!J277="","",Summary!J277)</f>
        <v/>
      </c>
      <c r="C277" s="60" t="str">
        <f>Summary!H277</f>
        <v/>
      </c>
    </row>
    <row r="278" spans="1:3">
      <c r="A278" s="59" t="str">
        <f>IF(Summary!E278="","",Summary!E278)</f>
        <v/>
      </c>
      <c r="B278" s="59" t="str">
        <f>IF(Summary!J278="","",Summary!J278)</f>
        <v/>
      </c>
      <c r="C278" s="60" t="str">
        <f>Summary!H278</f>
        <v/>
      </c>
    </row>
    <row r="279" spans="1:3">
      <c r="A279" s="59" t="str">
        <f>IF(Summary!E279="","",Summary!E279)</f>
        <v/>
      </c>
      <c r="B279" s="59" t="str">
        <f>IF(Summary!J279="","",Summary!J279)</f>
        <v/>
      </c>
      <c r="C279" s="60" t="str">
        <f>Summary!H279</f>
        <v/>
      </c>
    </row>
    <row r="280" spans="1:3">
      <c r="A280" s="59" t="str">
        <f>IF(Summary!E280="","",Summary!E280)</f>
        <v/>
      </c>
      <c r="B280" s="59" t="str">
        <f>IF(Summary!J280="","",Summary!J280)</f>
        <v/>
      </c>
      <c r="C280" s="60" t="str">
        <f>Summary!H280</f>
        <v/>
      </c>
    </row>
    <row r="281" spans="1:3">
      <c r="A281" s="59" t="str">
        <f>IF(Summary!E281="","",Summary!E281)</f>
        <v/>
      </c>
      <c r="B281" s="59" t="str">
        <f>IF(Summary!J281="","",Summary!J281)</f>
        <v/>
      </c>
      <c r="C281" s="60" t="str">
        <f>Summary!H281</f>
        <v/>
      </c>
    </row>
    <row r="282" spans="1:3">
      <c r="A282" s="59" t="str">
        <f>IF(Summary!E282="","",Summary!E282)</f>
        <v/>
      </c>
      <c r="B282" s="59" t="str">
        <f>IF(Summary!J282="","",Summary!J282)</f>
        <v/>
      </c>
      <c r="C282" s="60" t="str">
        <f>Summary!H282</f>
        <v/>
      </c>
    </row>
    <row r="283" spans="1:3">
      <c r="A283" s="59" t="str">
        <f>IF(Summary!E283="","",Summary!E283)</f>
        <v/>
      </c>
      <c r="B283" s="59" t="str">
        <f>IF(Summary!J283="","",Summary!J283)</f>
        <v/>
      </c>
      <c r="C283" s="60" t="str">
        <f>Summary!H283</f>
        <v/>
      </c>
    </row>
    <row r="284" spans="1:3">
      <c r="A284" s="59" t="str">
        <f>IF(Summary!E284="","",Summary!E284)</f>
        <v/>
      </c>
      <c r="B284" s="59" t="str">
        <f>IF(Summary!J284="","",Summary!J284)</f>
        <v/>
      </c>
      <c r="C284" s="60" t="str">
        <f>Summary!H284</f>
        <v/>
      </c>
    </row>
    <row r="285" spans="1:3">
      <c r="A285" s="59" t="str">
        <f>IF(Summary!E285="","",Summary!E285)</f>
        <v/>
      </c>
      <c r="B285" s="59" t="str">
        <f>IF(Summary!J285="","",Summary!J285)</f>
        <v/>
      </c>
      <c r="C285" s="60" t="str">
        <f>Summary!H285</f>
        <v/>
      </c>
    </row>
    <row r="286" spans="1:3">
      <c r="A286" s="59" t="str">
        <f>IF(Summary!E286="","",Summary!E286)</f>
        <v/>
      </c>
      <c r="B286" s="59" t="str">
        <f>IF(Summary!J286="","",Summary!J286)</f>
        <v/>
      </c>
      <c r="C286" s="60" t="str">
        <f>Summary!H286</f>
        <v/>
      </c>
    </row>
    <row r="287" spans="1:3">
      <c r="A287" s="59" t="str">
        <f>IF(Summary!E287="","",Summary!E287)</f>
        <v/>
      </c>
      <c r="B287" s="59" t="str">
        <f>IF(Summary!J287="","",Summary!J287)</f>
        <v/>
      </c>
      <c r="C287" s="60" t="str">
        <f>Summary!H287</f>
        <v/>
      </c>
    </row>
    <row r="288" spans="1:3">
      <c r="A288" s="59" t="str">
        <f>IF(Summary!E288="","",Summary!E288)</f>
        <v/>
      </c>
      <c r="B288" s="59" t="str">
        <f>IF(Summary!J288="","",Summary!J288)</f>
        <v/>
      </c>
      <c r="C288" s="60" t="str">
        <f>Summary!H288</f>
        <v/>
      </c>
    </row>
    <row r="289" spans="1:3">
      <c r="A289" s="59" t="str">
        <f>IF(Summary!E289="","",Summary!E289)</f>
        <v/>
      </c>
      <c r="B289" s="59" t="str">
        <f>IF(Summary!J289="","",Summary!J289)</f>
        <v/>
      </c>
      <c r="C289" s="60" t="str">
        <f>Summary!H289</f>
        <v/>
      </c>
    </row>
    <row r="290" spans="1:3">
      <c r="A290" s="59" t="str">
        <f>IF(Summary!E290="","",Summary!E290)</f>
        <v/>
      </c>
      <c r="B290" s="59" t="str">
        <f>IF(Summary!J290="","",Summary!J290)</f>
        <v/>
      </c>
      <c r="C290" s="60" t="str">
        <f>Summary!H290</f>
        <v/>
      </c>
    </row>
    <row r="291" spans="1:3">
      <c r="A291" s="59" t="str">
        <f>IF(Summary!E291="","",Summary!E291)</f>
        <v/>
      </c>
      <c r="B291" s="59" t="str">
        <f>IF(Summary!J291="","",Summary!J291)</f>
        <v/>
      </c>
      <c r="C291" s="60" t="str">
        <f>Summary!H291</f>
        <v/>
      </c>
    </row>
    <row r="292" spans="1:3">
      <c r="A292" s="59" t="str">
        <f>IF(Summary!E292="","",Summary!E292)</f>
        <v/>
      </c>
      <c r="B292" s="59" t="str">
        <f>IF(Summary!J292="","",Summary!J292)</f>
        <v/>
      </c>
      <c r="C292" s="60" t="str">
        <f>Summary!H292</f>
        <v/>
      </c>
    </row>
    <row r="293" spans="1:3">
      <c r="A293" s="59" t="str">
        <f>IF(Summary!E293="","",Summary!E293)</f>
        <v/>
      </c>
      <c r="B293" s="59" t="str">
        <f>IF(Summary!J293="","",Summary!J293)</f>
        <v/>
      </c>
      <c r="C293" s="60" t="str">
        <f>Summary!H293</f>
        <v/>
      </c>
    </row>
    <row r="294" spans="1:3">
      <c r="A294" s="59" t="str">
        <f>IF(Summary!E294="","",Summary!E294)</f>
        <v/>
      </c>
      <c r="B294" s="59" t="str">
        <f>IF(Summary!J294="","",Summary!J294)</f>
        <v/>
      </c>
      <c r="C294" s="60" t="str">
        <f>Summary!H294</f>
        <v/>
      </c>
    </row>
    <row r="295" spans="1:3">
      <c r="A295" s="59" t="str">
        <f>IF(Summary!E295="","",Summary!E295)</f>
        <v/>
      </c>
      <c r="B295" s="59" t="str">
        <f>IF(Summary!J295="","",Summary!J295)</f>
        <v/>
      </c>
      <c r="C295" s="60" t="str">
        <f>Summary!H295</f>
        <v/>
      </c>
    </row>
    <row r="296" spans="1:3">
      <c r="A296" s="59" t="str">
        <f>IF(Summary!E296="","",Summary!E296)</f>
        <v/>
      </c>
      <c r="B296" s="59" t="str">
        <f>IF(Summary!J296="","",Summary!J296)</f>
        <v/>
      </c>
      <c r="C296" s="60" t="str">
        <f>Summary!H296</f>
        <v/>
      </c>
    </row>
    <row r="297" spans="1:3">
      <c r="A297" s="59" t="str">
        <f>IF(Summary!E297="","",Summary!E297)</f>
        <v/>
      </c>
      <c r="B297" s="59" t="str">
        <f>IF(Summary!J297="","",Summary!J297)</f>
        <v/>
      </c>
      <c r="C297" s="60" t="str">
        <f>Summary!H297</f>
        <v/>
      </c>
    </row>
    <row r="298" spans="1:3">
      <c r="A298" s="59" t="str">
        <f>IF(Summary!E298="","",Summary!E298)</f>
        <v/>
      </c>
      <c r="B298" s="59" t="str">
        <f>IF(Summary!J298="","",Summary!J298)</f>
        <v/>
      </c>
      <c r="C298" s="60" t="str">
        <f>Summary!H298</f>
        <v/>
      </c>
    </row>
    <row r="299" spans="1:3">
      <c r="A299" s="59" t="str">
        <f>IF(Summary!E299="","",Summary!E299)</f>
        <v/>
      </c>
      <c r="B299" s="59" t="str">
        <f>IF(Summary!J299="","",Summary!J299)</f>
        <v/>
      </c>
      <c r="C299" s="60" t="str">
        <f>Summary!H299</f>
        <v/>
      </c>
    </row>
    <row r="300" spans="1:3">
      <c r="A300" s="59" t="str">
        <f>IF(Summary!E300="","",Summary!E300)</f>
        <v/>
      </c>
      <c r="B300" s="59" t="str">
        <f>IF(Summary!J300="","",Summary!J300)</f>
        <v/>
      </c>
      <c r="C300" s="60" t="str">
        <f>Summary!H300</f>
        <v/>
      </c>
    </row>
    <row r="301" spans="1:3">
      <c r="A301" s="59" t="str">
        <f>IF(Summary!E301="","",Summary!E301)</f>
        <v/>
      </c>
      <c r="B301" s="59" t="str">
        <f>IF(Summary!J301="","",Summary!J301)</f>
        <v/>
      </c>
      <c r="C301" s="60" t="str">
        <f>Summary!H301</f>
        <v/>
      </c>
    </row>
    <row r="302" spans="1:3">
      <c r="A302" s="59" t="str">
        <f>IF(Summary!E302="","",Summary!E302)</f>
        <v/>
      </c>
      <c r="B302" s="59" t="str">
        <f>IF(Summary!J302="","",Summary!J302)</f>
        <v/>
      </c>
      <c r="C302" s="60" t="str">
        <f>Summary!H302</f>
        <v/>
      </c>
    </row>
    <row r="303" spans="1:3">
      <c r="A303" s="59" t="str">
        <f>IF(Summary!E303="","",Summary!E303)</f>
        <v/>
      </c>
      <c r="B303" s="59" t="str">
        <f>IF(Summary!J303="","",Summary!J303)</f>
        <v/>
      </c>
      <c r="C303" s="60" t="str">
        <f>Summary!H303</f>
        <v/>
      </c>
    </row>
    <row r="304" spans="1:3">
      <c r="A304" s="59" t="str">
        <f>IF(Summary!E304="","",Summary!E304)</f>
        <v/>
      </c>
      <c r="B304" s="59" t="str">
        <f>IF(Summary!J304="","",Summary!J304)</f>
        <v/>
      </c>
      <c r="C304" s="60" t="str">
        <f>Summary!H304</f>
        <v/>
      </c>
    </row>
    <row r="305" spans="1:3">
      <c r="A305" s="59" t="str">
        <f>IF(Summary!E305="","",Summary!E305)</f>
        <v/>
      </c>
      <c r="B305" s="59" t="str">
        <f>IF(Summary!J305="","",Summary!J305)</f>
        <v/>
      </c>
      <c r="C305" s="60" t="str">
        <f>Summary!H305</f>
        <v/>
      </c>
    </row>
    <row r="306" spans="1:3">
      <c r="A306" s="59" t="str">
        <f>IF(Summary!E306="","",Summary!E306)</f>
        <v/>
      </c>
      <c r="B306" s="59" t="str">
        <f>IF(Summary!J306="","",Summary!J306)</f>
        <v/>
      </c>
      <c r="C306" s="60" t="str">
        <f>Summary!H306</f>
        <v/>
      </c>
    </row>
    <row r="307" spans="1:3">
      <c r="A307" s="59" t="str">
        <f>IF(Summary!E307="","",Summary!E307)</f>
        <v/>
      </c>
      <c r="B307" s="59" t="str">
        <f>IF(Summary!J307="","",Summary!J307)</f>
        <v/>
      </c>
      <c r="C307" s="60" t="str">
        <f>Summary!H307</f>
        <v/>
      </c>
    </row>
    <row r="308" spans="1:3">
      <c r="A308" s="59" t="str">
        <f>IF(Summary!E308="","",Summary!E308)</f>
        <v/>
      </c>
      <c r="B308" s="59" t="str">
        <f>IF(Summary!J308="","",Summary!J308)</f>
        <v/>
      </c>
      <c r="C308" s="60" t="str">
        <f>Summary!H308</f>
        <v/>
      </c>
    </row>
    <row r="309" spans="1:3">
      <c r="A309" s="59" t="str">
        <f>IF(Summary!E309="","",Summary!E309)</f>
        <v/>
      </c>
      <c r="B309" s="59" t="str">
        <f>IF(Summary!J309="","",Summary!J309)</f>
        <v/>
      </c>
      <c r="C309" s="60" t="str">
        <f>Summary!H309</f>
        <v/>
      </c>
    </row>
    <row r="310" spans="1:3">
      <c r="A310" s="59" t="str">
        <f>IF(Summary!E310="","",Summary!E310)</f>
        <v/>
      </c>
      <c r="B310" s="59" t="str">
        <f>IF(Summary!J310="","",Summary!J310)</f>
        <v/>
      </c>
      <c r="C310" s="60" t="str">
        <f>Summary!H310</f>
        <v/>
      </c>
    </row>
    <row r="311" spans="1:3">
      <c r="A311" s="59" t="str">
        <f>IF(Summary!E311="","",Summary!E311)</f>
        <v/>
      </c>
      <c r="B311" s="59" t="str">
        <f>IF(Summary!J311="","",Summary!J311)</f>
        <v/>
      </c>
      <c r="C311" s="60" t="str">
        <f>Summary!H311</f>
        <v/>
      </c>
    </row>
    <row r="312" spans="1:3">
      <c r="A312" s="59" t="str">
        <f>IF(Summary!E312="","",Summary!E312)</f>
        <v/>
      </c>
      <c r="B312" s="59" t="str">
        <f>IF(Summary!J312="","",Summary!J312)</f>
        <v/>
      </c>
      <c r="C312" s="60" t="str">
        <f>Summary!H312</f>
        <v/>
      </c>
    </row>
    <row r="313" spans="1:3">
      <c r="A313" s="59" t="str">
        <f>IF(Summary!E313="","",Summary!E313)</f>
        <v/>
      </c>
      <c r="B313" s="59" t="str">
        <f>IF(Summary!J313="","",Summary!J313)</f>
        <v/>
      </c>
      <c r="C313" s="60" t="str">
        <f>Summary!H313</f>
        <v/>
      </c>
    </row>
    <row r="314" spans="1:3">
      <c r="A314" s="59" t="str">
        <f>IF(Summary!E314="","",Summary!E314)</f>
        <v/>
      </c>
      <c r="B314" s="59" t="str">
        <f>IF(Summary!J314="","",Summary!J314)</f>
        <v/>
      </c>
      <c r="C314" s="60" t="str">
        <f>Summary!H314</f>
        <v/>
      </c>
    </row>
    <row r="315" spans="1:3">
      <c r="A315" s="59" t="str">
        <f>IF(Summary!E315="","",Summary!E315)</f>
        <v/>
      </c>
      <c r="B315" s="59" t="str">
        <f>IF(Summary!J315="","",Summary!J315)</f>
        <v/>
      </c>
      <c r="C315" s="60" t="str">
        <f>Summary!H315</f>
        <v/>
      </c>
    </row>
    <row r="316" spans="1:3">
      <c r="A316" s="59" t="str">
        <f>IF(Summary!E316="","",Summary!E316)</f>
        <v/>
      </c>
      <c r="B316" s="59" t="str">
        <f>IF(Summary!J316="","",Summary!J316)</f>
        <v/>
      </c>
      <c r="C316" s="60" t="str">
        <f>Summary!H316</f>
        <v/>
      </c>
    </row>
    <row r="317" spans="1:3">
      <c r="A317" s="59" t="str">
        <f>IF(Summary!E317="","",Summary!E317)</f>
        <v/>
      </c>
      <c r="B317" s="59" t="str">
        <f>IF(Summary!J317="","",Summary!J317)</f>
        <v/>
      </c>
      <c r="C317" s="60" t="str">
        <f>Summary!H317</f>
        <v/>
      </c>
    </row>
    <row r="318" spans="1:3">
      <c r="A318" s="59" t="str">
        <f>IF(Summary!E318="","",Summary!E318)</f>
        <v/>
      </c>
      <c r="B318" s="59" t="str">
        <f>IF(Summary!J318="","",Summary!J318)</f>
        <v/>
      </c>
      <c r="C318" s="60" t="str">
        <f>Summary!H318</f>
        <v/>
      </c>
    </row>
    <row r="319" spans="1:3">
      <c r="A319" s="59" t="str">
        <f>IF(Summary!E319="","",Summary!E319)</f>
        <v/>
      </c>
      <c r="B319" s="59" t="str">
        <f>IF(Summary!J319="","",Summary!J319)</f>
        <v/>
      </c>
      <c r="C319" s="60" t="str">
        <f>Summary!H319</f>
        <v/>
      </c>
    </row>
    <row r="320" spans="1:3">
      <c r="A320" s="59" t="str">
        <f>IF(Summary!E320="","",Summary!E320)</f>
        <v/>
      </c>
      <c r="B320" s="59" t="str">
        <f>IF(Summary!J320="","",Summary!J320)</f>
        <v/>
      </c>
      <c r="C320" s="60" t="str">
        <f>Summary!H320</f>
        <v/>
      </c>
    </row>
    <row r="321" spans="1:3">
      <c r="A321" s="59" t="str">
        <f>IF(Summary!E321="","",Summary!E321)</f>
        <v/>
      </c>
      <c r="B321" s="59" t="str">
        <f>IF(Summary!J321="","",Summary!J321)</f>
        <v/>
      </c>
      <c r="C321" s="60" t="str">
        <f>Summary!H321</f>
        <v/>
      </c>
    </row>
    <row r="322" spans="1:3">
      <c r="A322" s="59" t="str">
        <f>IF(Summary!E322="","",Summary!E322)</f>
        <v/>
      </c>
      <c r="B322" s="59" t="str">
        <f>IF(Summary!J322="","",Summary!J322)</f>
        <v/>
      </c>
      <c r="C322" s="60" t="str">
        <f>Summary!H322</f>
        <v/>
      </c>
    </row>
    <row r="323" spans="1:3">
      <c r="A323" s="59" t="str">
        <f>IF(Summary!E323="","",Summary!E323)</f>
        <v/>
      </c>
      <c r="B323" s="59" t="str">
        <f>IF(Summary!J323="","",Summary!J323)</f>
        <v/>
      </c>
      <c r="C323" s="60" t="str">
        <f>Summary!H323</f>
        <v/>
      </c>
    </row>
    <row r="324" spans="1:3">
      <c r="A324" s="59" t="str">
        <f>IF(Summary!E324="","",Summary!E324)</f>
        <v/>
      </c>
      <c r="B324" s="59" t="str">
        <f>IF(Summary!J324="","",Summary!J324)</f>
        <v/>
      </c>
      <c r="C324" s="60" t="str">
        <f>Summary!H324</f>
        <v/>
      </c>
    </row>
    <row r="325" spans="1:3">
      <c r="A325" s="59" t="str">
        <f>IF(Summary!E325="","",Summary!E325)</f>
        <v/>
      </c>
      <c r="B325" s="59" t="str">
        <f>IF(Summary!J325="","",Summary!J325)</f>
        <v/>
      </c>
      <c r="C325" s="60" t="str">
        <f>Summary!H325</f>
        <v/>
      </c>
    </row>
    <row r="326" spans="1:3">
      <c r="A326" s="59" t="str">
        <f>IF(Summary!E326="","",Summary!E326)</f>
        <v/>
      </c>
      <c r="B326" s="59" t="str">
        <f>IF(Summary!J326="","",Summary!J326)</f>
        <v/>
      </c>
      <c r="C326" s="60" t="str">
        <f>Summary!H326</f>
        <v/>
      </c>
    </row>
    <row r="327" spans="1:3">
      <c r="A327" s="59" t="str">
        <f>IF(Summary!E327="","",Summary!E327)</f>
        <v/>
      </c>
      <c r="B327" s="59" t="str">
        <f>IF(Summary!J327="","",Summary!J327)</f>
        <v/>
      </c>
      <c r="C327" s="60" t="str">
        <f>Summary!H327</f>
        <v/>
      </c>
    </row>
    <row r="328" spans="1:3">
      <c r="A328" s="59" t="str">
        <f>IF(Summary!E328="","",Summary!E328)</f>
        <v/>
      </c>
      <c r="B328" s="59" t="str">
        <f>IF(Summary!J328="","",Summary!J328)</f>
        <v/>
      </c>
      <c r="C328" s="60" t="str">
        <f>Summary!H328</f>
        <v/>
      </c>
    </row>
    <row r="329" spans="1:3">
      <c r="A329" s="59" t="str">
        <f>IF(Summary!E329="","",Summary!E329)</f>
        <v/>
      </c>
      <c r="B329" s="59" t="str">
        <f>IF(Summary!J329="","",Summary!J329)</f>
        <v/>
      </c>
      <c r="C329" s="60" t="str">
        <f>Summary!H329</f>
        <v/>
      </c>
    </row>
    <row r="330" spans="1:3">
      <c r="A330" s="59" t="str">
        <f>IF(Summary!E330="","",Summary!E330)</f>
        <v/>
      </c>
      <c r="B330" s="59" t="str">
        <f>IF(Summary!J330="","",Summary!J330)</f>
        <v/>
      </c>
      <c r="C330" s="60" t="str">
        <f>Summary!H330</f>
        <v/>
      </c>
    </row>
    <row r="331" spans="1:3">
      <c r="A331" s="59" t="str">
        <f>IF(Summary!E331="","",Summary!E331)</f>
        <v/>
      </c>
      <c r="B331" s="59" t="str">
        <f>IF(Summary!J331="","",Summary!J331)</f>
        <v/>
      </c>
      <c r="C331" s="60" t="str">
        <f>Summary!H331</f>
        <v/>
      </c>
    </row>
    <row r="332" spans="1:3">
      <c r="A332" s="59" t="str">
        <f>IF(Summary!E332="","",Summary!E332)</f>
        <v/>
      </c>
      <c r="B332" s="59" t="str">
        <f>IF(Summary!J332="","",Summary!J332)</f>
        <v/>
      </c>
      <c r="C332" s="60" t="str">
        <f>Summary!H332</f>
        <v/>
      </c>
    </row>
    <row r="333" spans="1:3">
      <c r="A333" s="59" t="str">
        <f>IF(Summary!E333="","",Summary!E333)</f>
        <v/>
      </c>
      <c r="B333" s="59" t="str">
        <f>IF(Summary!J333="","",Summary!J333)</f>
        <v/>
      </c>
      <c r="C333" s="60" t="str">
        <f>Summary!H333</f>
        <v/>
      </c>
    </row>
    <row r="334" spans="1:3">
      <c r="A334" s="59" t="str">
        <f>IF(Summary!E334="","",Summary!E334)</f>
        <v/>
      </c>
      <c r="B334" s="59" t="str">
        <f>IF(Summary!J334="","",Summary!J334)</f>
        <v/>
      </c>
      <c r="C334" s="60" t="str">
        <f>Summary!H334</f>
        <v/>
      </c>
    </row>
    <row r="335" spans="1:3">
      <c r="A335" s="59" t="str">
        <f>IF(Summary!E335="","",Summary!E335)</f>
        <v/>
      </c>
      <c r="B335" s="59" t="str">
        <f>IF(Summary!J335="","",Summary!J335)</f>
        <v/>
      </c>
      <c r="C335" s="60" t="str">
        <f>Summary!H335</f>
        <v/>
      </c>
    </row>
    <row r="336" spans="1:3">
      <c r="A336" s="59" t="str">
        <f>IF(Summary!E336="","",Summary!E336)</f>
        <v/>
      </c>
      <c r="B336" s="59" t="str">
        <f>IF(Summary!J336="","",Summary!J336)</f>
        <v/>
      </c>
      <c r="C336" s="60" t="str">
        <f>Summary!H336</f>
        <v/>
      </c>
    </row>
    <row r="337" spans="1:3">
      <c r="A337" s="59" t="str">
        <f>IF(Summary!E337="","",Summary!E337)</f>
        <v/>
      </c>
      <c r="B337" s="59" t="str">
        <f>IF(Summary!J337="","",Summary!J337)</f>
        <v/>
      </c>
      <c r="C337" s="60" t="str">
        <f>Summary!H337</f>
        <v/>
      </c>
    </row>
    <row r="338" spans="1:3">
      <c r="A338" s="59" t="str">
        <f>IF(Summary!E338="","",Summary!E338)</f>
        <v/>
      </c>
      <c r="B338" s="59" t="str">
        <f>IF(Summary!J338="","",Summary!J338)</f>
        <v/>
      </c>
      <c r="C338" s="60" t="str">
        <f>Summary!H338</f>
        <v/>
      </c>
    </row>
    <row r="339" spans="1:3">
      <c r="A339" s="59" t="str">
        <f>IF(Summary!E339="","",Summary!E339)</f>
        <v/>
      </c>
      <c r="B339" s="59" t="str">
        <f>IF(Summary!J339="","",Summary!J339)</f>
        <v/>
      </c>
      <c r="C339" s="60" t="str">
        <f>Summary!H339</f>
        <v/>
      </c>
    </row>
    <row r="340" spans="1:3">
      <c r="A340" s="59" t="str">
        <f>IF(Summary!E340="","",Summary!E340)</f>
        <v/>
      </c>
      <c r="B340" s="59" t="str">
        <f>IF(Summary!J340="","",Summary!J340)</f>
        <v/>
      </c>
      <c r="C340" s="60" t="str">
        <f>Summary!H340</f>
        <v/>
      </c>
    </row>
    <row r="341" spans="1:3">
      <c r="A341" s="59" t="str">
        <f>IF(Summary!E341="","",Summary!E341)</f>
        <v/>
      </c>
      <c r="B341" s="59" t="str">
        <f>IF(Summary!J341="","",Summary!J341)</f>
        <v/>
      </c>
      <c r="C341" s="60" t="str">
        <f>Summary!H341</f>
        <v/>
      </c>
    </row>
    <row r="342" spans="1:3">
      <c r="A342" s="59" t="str">
        <f>IF(Summary!E342="","",Summary!E342)</f>
        <v/>
      </c>
      <c r="B342" s="59" t="str">
        <f>IF(Summary!J342="","",Summary!J342)</f>
        <v/>
      </c>
      <c r="C342" s="60" t="str">
        <f>Summary!H342</f>
        <v/>
      </c>
    </row>
    <row r="343" spans="1:3">
      <c r="A343" s="59" t="str">
        <f>IF(Summary!E343="","",Summary!E343)</f>
        <v/>
      </c>
      <c r="B343" s="59" t="str">
        <f>IF(Summary!J343="","",Summary!J343)</f>
        <v/>
      </c>
      <c r="C343" s="60" t="str">
        <f>Summary!H343</f>
        <v/>
      </c>
    </row>
    <row r="344" spans="1:3">
      <c r="A344" s="59" t="str">
        <f>IF(Summary!E344="","",Summary!E344)</f>
        <v/>
      </c>
      <c r="B344" s="59" t="str">
        <f>IF(Summary!J344="","",Summary!J344)</f>
        <v/>
      </c>
      <c r="C344" s="60" t="str">
        <f>Summary!H344</f>
        <v/>
      </c>
    </row>
    <row r="345" spans="1:3">
      <c r="A345" s="59" t="str">
        <f>IF(Summary!E345="","",Summary!E345)</f>
        <v/>
      </c>
      <c r="B345" s="59" t="str">
        <f>IF(Summary!J345="","",Summary!J345)</f>
        <v/>
      </c>
      <c r="C345" s="60" t="str">
        <f>Summary!H345</f>
        <v/>
      </c>
    </row>
    <row r="346" spans="1:3">
      <c r="A346" s="59" t="str">
        <f>IF(Summary!E346="","",Summary!E346)</f>
        <v/>
      </c>
      <c r="B346" s="59" t="str">
        <f>IF(Summary!J346="","",Summary!J346)</f>
        <v/>
      </c>
      <c r="C346" s="60" t="str">
        <f>Summary!H346</f>
        <v/>
      </c>
    </row>
    <row r="347" spans="1:3">
      <c r="A347" s="59" t="str">
        <f>IF(Summary!E347="","",Summary!E347)</f>
        <v/>
      </c>
      <c r="B347" s="59" t="str">
        <f>IF(Summary!J347="","",Summary!J347)</f>
        <v/>
      </c>
      <c r="C347" s="60" t="str">
        <f>Summary!H347</f>
        <v/>
      </c>
    </row>
    <row r="348" spans="1:3">
      <c r="A348" s="59" t="str">
        <f>IF(Summary!E348="","",Summary!E348)</f>
        <v/>
      </c>
      <c r="B348" s="59" t="str">
        <f>IF(Summary!J348="","",Summary!J348)</f>
        <v/>
      </c>
      <c r="C348" s="60" t="str">
        <f>Summary!H348</f>
        <v/>
      </c>
    </row>
    <row r="349" spans="1:3">
      <c r="A349" s="59" t="str">
        <f>IF(Summary!E349="","",Summary!E349)</f>
        <v/>
      </c>
      <c r="B349" s="59" t="str">
        <f>IF(Summary!J349="","",Summary!J349)</f>
        <v/>
      </c>
      <c r="C349" s="60" t="str">
        <f>Summary!H349</f>
        <v/>
      </c>
    </row>
    <row r="350" spans="1:3">
      <c r="A350" s="59" t="str">
        <f>IF(Summary!E350="","",Summary!E350)</f>
        <v/>
      </c>
      <c r="B350" s="59" t="str">
        <f>IF(Summary!J350="","",Summary!J350)</f>
        <v/>
      </c>
      <c r="C350" s="60" t="str">
        <f>Summary!H350</f>
        <v/>
      </c>
    </row>
    <row r="351" spans="1:3">
      <c r="A351" s="59" t="str">
        <f>IF(Summary!E351="","",Summary!E351)</f>
        <v/>
      </c>
      <c r="B351" s="59" t="str">
        <f>IF(Summary!J351="","",Summary!J351)</f>
        <v/>
      </c>
      <c r="C351" s="60" t="str">
        <f>Summary!H351</f>
        <v/>
      </c>
    </row>
    <row r="352" spans="1:3">
      <c r="A352" s="59" t="str">
        <f>IF(Summary!E352="","",Summary!E352)</f>
        <v/>
      </c>
      <c r="B352" s="59" t="str">
        <f>IF(Summary!J352="","",Summary!J352)</f>
        <v/>
      </c>
      <c r="C352" s="60" t="str">
        <f>Summary!H352</f>
        <v/>
      </c>
    </row>
    <row r="353" spans="1:3">
      <c r="A353" s="59" t="str">
        <f>IF(Summary!E353="","",Summary!E353)</f>
        <v/>
      </c>
      <c r="B353" s="59" t="str">
        <f>IF(Summary!J353="","",Summary!J353)</f>
        <v/>
      </c>
      <c r="C353" s="60" t="str">
        <f>Summary!H353</f>
        <v/>
      </c>
    </row>
    <row r="354" spans="1:3">
      <c r="A354" s="59" t="str">
        <f>IF(Summary!E354="","",Summary!E354)</f>
        <v/>
      </c>
      <c r="B354" s="59" t="str">
        <f>IF(Summary!J354="","",Summary!J354)</f>
        <v/>
      </c>
      <c r="C354" s="60" t="str">
        <f>Summary!H354</f>
        <v/>
      </c>
    </row>
    <row r="355" spans="1:3">
      <c r="A355" s="59" t="str">
        <f>IF(Summary!E355="","",Summary!E355)</f>
        <v/>
      </c>
      <c r="B355" s="59" t="str">
        <f>IF(Summary!J355="","",Summary!J355)</f>
        <v/>
      </c>
      <c r="C355" s="60" t="str">
        <f>Summary!H355</f>
        <v/>
      </c>
    </row>
    <row r="356" spans="1:3">
      <c r="A356" s="59" t="str">
        <f>IF(Summary!E356="","",Summary!E356)</f>
        <v/>
      </c>
      <c r="B356" s="59" t="str">
        <f>IF(Summary!J356="","",Summary!J356)</f>
        <v/>
      </c>
      <c r="C356" s="60" t="str">
        <f>Summary!H356</f>
        <v/>
      </c>
    </row>
    <row r="357" spans="1:3">
      <c r="A357" s="59" t="str">
        <f>IF(Summary!E357="","",Summary!E357)</f>
        <v/>
      </c>
      <c r="B357" s="59" t="str">
        <f>IF(Summary!J357="","",Summary!J357)</f>
        <v/>
      </c>
      <c r="C357" s="60" t="str">
        <f>Summary!H357</f>
        <v/>
      </c>
    </row>
    <row r="358" spans="1:3">
      <c r="A358" s="59" t="str">
        <f>IF(Summary!E358="","",Summary!E358)</f>
        <v/>
      </c>
      <c r="B358" s="59" t="str">
        <f>IF(Summary!J358="","",Summary!J358)</f>
        <v/>
      </c>
      <c r="C358" s="60" t="str">
        <f>Summary!H358</f>
        <v/>
      </c>
    </row>
    <row r="359" spans="1:3">
      <c r="A359" s="59" t="str">
        <f>IF(Summary!E359="","",Summary!E359)</f>
        <v/>
      </c>
      <c r="B359" s="59" t="str">
        <f>IF(Summary!J359="","",Summary!J359)</f>
        <v/>
      </c>
      <c r="C359" s="60" t="str">
        <f>Summary!H359</f>
        <v/>
      </c>
    </row>
    <row r="360" spans="1:3">
      <c r="A360" s="59" t="str">
        <f>IF(Summary!E360="","",Summary!E360)</f>
        <v/>
      </c>
      <c r="B360" s="59" t="str">
        <f>IF(Summary!J360="","",Summary!J360)</f>
        <v/>
      </c>
      <c r="C360" s="60" t="str">
        <f>Summary!H360</f>
        <v/>
      </c>
    </row>
    <row r="361" spans="1:3">
      <c r="A361" s="59" t="str">
        <f>IF(Summary!E361="","",Summary!E361)</f>
        <v/>
      </c>
      <c r="B361" s="59" t="str">
        <f>IF(Summary!J361="","",Summary!J361)</f>
        <v/>
      </c>
      <c r="C361" s="60" t="str">
        <f>Summary!H361</f>
        <v/>
      </c>
    </row>
    <row r="362" spans="1:3">
      <c r="A362" s="59" t="str">
        <f>IF(Summary!E362="","",Summary!E362)</f>
        <v/>
      </c>
      <c r="B362" s="59" t="str">
        <f>IF(Summary!J362="","",Summary!J362)</f>
        <v/>
      </c>
      <c r="C362" s="60" t="str">
        <f>Summary!H362</f>
        <v/>
      </c>
    </row>
    <row r="363" spans="1:3">
      <c r="A363" s="59" t="str">
        <f>IF(Summary!E363="","",Summary!E363)</f>
        <v/>
      </c>
      <c r="B363" s="59" t="str">
        <f>IF(Summary!J363="","",Summary!J363)</f>
        <v/>
      </c>
      <c r="C363" s="60" t="str">
        <f>Summary!H363</f>
        <v/>
      </c>
    </row>
    <row r="364" spans="1:3">
      <c r="A364" s="59" t="str">
        <f>IF(Summary!E364="","",Summary!E364)</f>
        <v/>
      </c>
      <c r="B364" s="59" t="str">
        <f>IF(Summary!J364="","",Summary!J364)</f>
        <v/>
      </c>
      <c r="C364" s="60" t="str">
        <f>Summary!H364</f>
        <v/>
      </c>
    </row>
    <row r="365" spans="1:3">
      <c r="A365" s="59" t="str">
        <f>IF(Summary!E365="","",Summary!E365)</f>
        <v/>
      </c>
      <c r="B365" s="59" t="str">
        <f>IF(Summary!J365="","",Summary!J365)</f>
        <v/>
      </c>
      <c r="C365" s="60" t="str">
        <f>Summary!H365</f>
        <v/>
      </c>
    </row>
    <row r="366" spans="1:3">
      <c r="A366" s="59" t="str">
        <f>IF(Summary!E366="","",Summary!E366)</f>
        <v/>
      </c>
      <c r="B366" s="59" t="str">
        <f>IF(Summary!J366="","",Summary!J366)</f>
        <v/>
      </c>
      <c r="C366" s="60" t="str">
        <f>Summary!H366</f>
        <v/>
      </c>
    </row>
    <row r="367" spans="1:3">
      <c r="A367" s="59" t="str">
        <f>IF(Summary!E367="","",Summary!E367)</f>
        <v/>
      </c>
      <c r="B367" s="59" t="str">
        <f>IF(Summary!J367="","",Summary!J367)</f>
        <v/>
      </c>
      <c r="C367" s="60" t="str">
        <f>Summary!H367</f>
        <v/>
      </c>
    </row>
    <row r="368" spans="1:3">
      <c r="A368" s="59" t="str">
        <f>IF(Summary!E368="","",Summary!E368)</f>
        <v/>
      </c>
      <c r="B368" s="59" t="str">
        <f>IF(Summary!J368="","",Summary!J368)</f>
        <v/>
      </c>
      <c r="C368" s="60" t="str">
        <f>Summary!H368</f>
        <v/>
      </c>
    </row>
    <row r="369" spans="1:3">
      <c r="A369" s="59" t="str">
        <f>IF(Summary!E369="","",Summary!E369)</f>
        <v/>
      </c>
      <c r="B369" s="59" t="str">
        <f>IF(Summary!J369="","",Summary!J369)</f>
        <v/>
      </c>
      <c r="C369" s="60" t="str">
        <f>Summary!H369</f>
        <v/>
      </c>
    </row>
    <row r="370" spans="1:3">
      <c r="A370" s="59" t="str">
        <f>IF(Summary!E370="","",Summary!E370)</f>
        <v/>
      </c>
      <c r="B370" s="59" t="str">
        <f>IF(Summary!J370="","",Summary!J370)</f>
        <v/>
      </c>
      <c r="C370" s="60" t="str">
        <f>Summary!H370</f>
        <v/>
      </c>
    </row>
    <row r="371" spans="1:3">
      <c r="A371" s="59" t="str">
        <f>IF(Summary!E371="","",Summary!E371)</f>
        <v/>
      </c>
      <c r="B371" s="59" t="str">
        <f>IF(Summary!J371="","",Summary!J371)</f>
        <v/>
      </c>
      <c r="C371" s="60" t="str">
        <f>Summary!H371</f>
        <v/>
      </c>
    </row>
    <row r="372" spans="1:3">
      <c r="A372" s="59" t="str">
        <f>IF(Summary!E372="","",Summary!E372)</f>
        <v/>
      </c>
      <c r="B372" s="59" t="str">
        <f>IF(Summary!J372="","",Summary!J372)</f>
        <v/>
      </c>
      <c r="C372" s="60" t="str">
        <f>Summary!H372</f>
        <v/>
      </c>
    </row>
    <row r="373" spans="1:3">
      <c r="A373" s="59" t="str">
        <f>IF(Summary!E373="","",Summary!E373)</f>
        <v/>
      </c>
      <c r="B373" s="59" t="str">
        <f>IF(Summary!J373="","",Summary!J373)</f>
        <v/>
      </c>
      <c r="C373" s="60" t="str">
        <f>Summary!H373</f>
        <v/>
      </c>
    </row>
    <row r="374" spans="1:3">
      <c r="A374" s="59" t="str">
        <f>IF(Summary!E374="","",Summary!E374)</f>
        <v/>
      </c>
      <c r="B374" s="59" t="str">
        <f>IF(Summary!J374="","",Summary!J374)</f>
        <v/>
      </c>
      <c r="C374" s="60" t="str">
        <f>Summary!H374</f>
        <v/>
      </c>
    </row>
    <row r="375" spans="1:3">
      <c r="A375" s="59" t="str">
        <f>IF(Summary!E375="","",Summary!E375)</f>
        <v/>
      </c>
      <c r="B375" s="59" t="str">
        <f>IF(Summary!J375="","",Summary!J375)</f>
        <v/>
      </c>
      <c r="C375" s="60" t="str">
        <f>Summary!H375</f>
        <v/>
      </c>
    </row>
    <row r="376" spans="1:3">
      <c r="A376" s="59" t="str">
        <f>IF(Summary!E376="","",Summary!E376)</f>
        <v/>
      </c>
      <c r="B376" s="59" t="str">
        <f>IF(Summary!J376="","",Summary!J376)</f>
        <v/>
      </c>
      <c r="C376" s="60" t="str">
        <f>Summary!H376</f>
        <v/>
      </c>
    </row>
    <row r="377" spans="1:3">
      <c r="A377" s="59" t="str">
        <f>IF(Summary!E377="","",Summary!E377)</f>
        <v/>
      </c>
      <c r="B377" s="59" t="str">
        <f>IF(Summary!J377="","",Summary!J377)</f>
        <v/>
      </c>
      <c r="C377" s="60" t="str">
        <f>Summary!H377</f>
        <v/>
      </c>
    </row>
    <row r="378" spans="1:3">
      <c r="A378" s="59" t="str">
        <f>IF(Summary!E378="","",Summary!E378)</f>
        <v/>
      </c>
      <c r="B378" s="59" t="str">
        <f>IF(Summary!J378="","",Summary!J378)</f>
        <v/>
      </c>
      <c r="C378" s="60" t="str">
        <f>Summary!H378</f>
        <v/>
      </c>
    </row>
    <row r="379" spans="1:3">
      <c r="A379" s="59" t="str">
        <f>IF(Summary!E379="","",Summary!E379)</f>
        <v/>
      </c>
      <c r="B379" s="59" t="str">
        <f>IF(Summary!J379="","",Summary!J379)</f>
        <v/>
      </c>
      <c r="C379" s="60" t="str">
        <f>Summary!H379</f>
        <v/>
      </c>
    </row>
    <row r="380" spans="1:3">
      <c r="A380" s="59" t="str">
        <f>IF(Summary!E380="","",Summary!E380)</f>
        <v/>
      </c>
      <c r="B380" s="59" t="str">
        <f>IF(Summary!J380="","",Summary!J380)</f>
        <v/>
      </c>
      <c r="C380" s="60" t="str">
        <f>Summary!H380</f>
        <v/>
      </c>
    </row>
    <row r="381" spans="1:3">
      <c r="A381" s="59" t="str">
        <f>IF(Summary!E381="","",Summary!E381)</f>
        <v/>
      </c>
      <c r="B381" s="59" t="str">
        <f>IF(Summary!J381="","",Summary!J381)</f>
        <v/>
      </c>
      <c r="C381" s="60" t="str">
        <f>Summary!H381</f>
        <v/>
      </c>
    </row>
    <row r="382" spans="1:3">
      <c r="A382" s="59" t="str">
        <f>IF(Summary!E382="","",Summary!E382)</f>
        <v/>
      </c>
      <c r="B382" s="59" t="str">
        <f>IF(Summary!J382="","",Summary!J382)</f>
        <v/>
      </c>
      <c r="C382" s="60" t="str">
        <f>Summary!H382</f>
        <v/>
      </c>
    </row>
    <row r="383" spans="1:3">
      <c r="A383" s="59" t="str">
        <f>IF(Summary!E383="","",Summary!E383)</f>
        <v/>
      </c>
      <c r="B383" s="59" t="str">
        <f>IF(Summary!J383="","",Summary!J383)</f>
        <v/>
      </c>
      <c r="C383" s="60" t="str">
        <f>Summary!H383</f>
        <v/>
      </c>
    </row>
    <row r="384" spans="1:3">
      <c r="A384" s="59" t="str">
        <f>IF(Summary!E384="","",Summary!E384)</f>
        <v/>
      </c>
      <c r="B384" s="59" t="str">
        <f>IF(Summary!J384="","",Summary!J384)</f>
        <v/>
      </c>
      <c r="C384" s="60" t="str">
        <f>Summary!H384</f>
        <v/>
      </c>
    </row>
    <row r="385" spans="1:3">
      <c r="A385" s="59" t="str">
        <f>IF(Summary!E385="","",Summary!E385)</f>
        <v/>
      </c>
      <c r="B385" s="59" t="str">
        <f>IF(Summary!J385="","",Summary!J385)</f>
        <v/>
      </c>
      <c r="C385" s="60" t="str">
        <f>Summary!H385</f>
        <v/>
      </c>
    </row>
    <row r="386" spans="1:3">
      <c r="A386" s="59" t="str">
        <f>IF(Summary!E386="","",Summary!E386)</f>
        <v/>
      </c>
      <c r="B386" s="59" t="str">
        <f>IF(Summary!J386="","",Summary!J386)</f>
        <v/>
      </c>
      <c r="C386" s="60" t="str">
        <f>Summary!H386</f>
        <v/>
      </c>
    </row>
    <row r="387" spans="1:3">
      <c r="A387" s="59" t="str">
        <f>IF(Summary!E387="","",Summary!E387)</f>
        <v/>
      </c>
      <c r="B387" s="59" t="str">
        <f>IF(Summary!J387="","",Summary!J387)</f>
        <v/>
      </c>
      <c r="C387" s="60" t="str">
        <f>Summary!H387</f>
        <v/>
      </c>
    </row>
    <row r="388" spans="1:3">
      <c r="A388" s="59" t="str">
        <f>IF(Summary!E388="","",Summary!E388)</f>
        <v/>
      </c>
      <c r="B388" s="59" t="str">
        <f>IF(Summary!J388="","",Summary!J388)</f>
        <v/>
      </c>
      <c r="C388" s="60" t="str">
        <f>Summary!H388</f>
        <v/>
      </c>
    </row>
    <row r="389" spans="1:3">
      <c r="A389" s="59" t="str">
        <f>IF(Summary!E389="","",Summary!E389)</f>
        <v/>
      </c>
      <c r="B389" s="59" t="str">
        <f>IF(Summary!J389="","",Summary!J389)</f>
        <v/>
      </c>
      <c r="C389" s="60" t="str">
        <f>Summary!H389</f>
        <v/>
      </c>
    </row>
    <row r="390" spans="1:3">
      <c r="A390" s="59" t="str">
        <f>IF(Summary!E390="","",Summary!E390)</f>
        <v/>
      </c>
      <c r="B390" s="59" t="str">
        <f>IF(Summary!J390="","",Summary!J390)</f>
        <v/>
      </c>
      <c r="C390" s="60" t="str">
        <f>Summary!H390</f>
        <v/>
      </c>
    </row>
    <row r="391" spans="1:3">
      <c r="A391" s="59" t="str">
        <f>IF(Summary!E391="","",Summary!E391)</f>
        <v/>
      </c>
      <c r="B391" s="59" t="str">
        <f>IF(Summary!J391="","",Summary!J391)</f>
        <v/>
      </c>
      <c r="C391" s="60" t="str">
        <f>Summary!H391</f>
        <v/>
      </c>
    </row>
    <row r="392" spans="1:3">
      <c r="A392" s="59" t="str">
        <f>IF(Summary!E392="","",Summary!E392)</f>
        <v/>
      </c>
      <c r="B392" s="59" t="str">
        <f>IF(Summary!J392="","",Summary!J392)</f>
        <v/>
      </c>
      <c r="C392" s="60" t="str">
        <f>Summary!H392</f>
        <v/>
      </c>
    </row>
    <row r="393" spans="1:3">
      <c r="A393" s="59" t="str">
        <f>IF(Summary!E393="","",Summary!E393)</f>
        <v/>
      </c>
      <c r="B393" s="59" t="str">
        <f>IF(Summary!J393="","",Summary!J393)</f>
        <v/>
      </c>
      <c r="C393" s="60" t="str">
        <f>Summary!H393</f>
        <v/>
      </c>
    </row>
    <row r="394" spans="1:3">
      <c r="A394" s="59" t="str">
        <f>IF(Summary!E394="","",Summary!E394)</f>
        <v/>
      </c>
      <c r="B394" s="59" t="str">
        <f>IF(Summary!J394="","",Summary!J394)</f>
        <v/>
      </c>
      <c r="C394" s="60" t="str">
        <f>Summary!H394</f>
        <v/>
      </c>
    </row>
    <row r="395" spans="1:3">
      <c r="A395" s="59" t="str">
        <f>IF(Summary!E395="","",Summary!E395)</f>
        <v/>
      </c>
      <c r="B395" s="59" t="str">
        <f>IF(Summary!J395="","",Summary!J395)</f>
        <v/>
      </c>
      <c r="C395" s="60" t="str">
        <f>Summary!H395</f>
        <v/>
      </c>
    </row>
    <row r="396" spans="1:3">
      <c r="A396" s="59" t="str">
        <f>IF(Summary!E396="","",Summary!E396)</f>
        <v/>
      </c>
      <c r="B396" s="59" t="str">
        <f>IF(Summary!J396="","",Summary!J396)</f>
        <v/>
      </c>
      <c r="C396" s="60" t="str">
        <f>Summary!H396</f>
        <v/>
      </c>
    </row>
    <row r="397" spans="1:3">
      <c r="A397" s="59" t="str">
        <f>IF(Summary!E397="","",Summary!E397)</f>
        <v/>
      </c>
      <c r="B397" s="59" t="str">
        <f>IF(Summary!J397="","",Summary!J397)</f>
        <v/>
      </c>
      <c r="C397" s="60" t="str">
        <f>Summary!H397</f>
        <v/>
      </c>
    </row>
    <row r="398" spans="1:3">
      <c r="A398" s="59" t="str">
        <f>IF(Summary!E398="","",Summary!E398)</f>
        <v/>
      </c>
      <c r="B398" s="59" t="str">
        <f>IF(Summary!J398="","",Summary!J398)</f>
        <v/>
      </c>
      <c r="C398" s="60" t="str">
        <f>Summary!H398</f>
        <v/>
      </c>
    </row>
    <row r="399" spans="1:3">
      <c r="A399" s="59" t="str">
        <f>IF(Summary!E399="","",Summary!E399)</f>
        <v/>
      </c>
      <c r="B399" s="59" t="str">
        <f>IF(Summary!J399="","",Summary!J399)</f>
        <v/>
      </c>
      <c r="C399" s="60" t="str">
        <f>Summary!H399</f>
        <v/>
      </c>
    </row>
    <row r="400" spans="1:3">
      <c r="A400" s="59" t="str">
        <f>IF(Summary!E400="","",Summary!E400)</f>
        <v/>
      </c>
      <c r="B400" s="59" t="str">
        <f>IF(Summary!J400="","",Summary!J400)</f>
        <v/>
      </c>
      <c r="C400" s="60" t="str">
        <f>Summary!H400</f>
        <v/>
      </c>
    </row>
    <row r="401" spans="1:3">
      <c r="A401" s="59" t="str">
        <f>IF(Summary!E401="","",Summary!E401)</f>
        <v/>
      </c>
      <c r="B401" s="59" t="str">
        <f>IF(Summary!J401="","",Summary!J401)</f>
        <v/>
      </c>
      <c r="C401" s="60" t="str">
        <f>Summary!H401</f>
        <v/>
      </c>
    </row>
    <row r="402" spans="1:3">
      <c r="A402" s="59" t="str">
        <f>IF(Summary!E402="","",Summary!E402)</f>
        <v/>
      </c>
      <c r="B402" s="59" t="str">
        <f>IF(Summary!J402="","",Summary!J402)</f>
        <v/>
      </c>
      <c r="C402" s="60" t="str">
        <f>Summary!H402</f>
        <v/>
      </c>
    </row>
    <row r="403" spans="1:3">
      <c r="A403" s="59" t="str">
        <f>IF(Summary!E403="","",Summary!E403)</f>
        <v/>
      </c>
      <c r="B403" s="59" t="str">
        <f>IF(Summary!J403="","",Summary!J403)</f>
        <v/>
      </c>
      <c r="C403" s="60" t="str">
        <f>Summary!H403</f>
        <v/>
      </c>
    </row>
    <row r="404" spans="1:3">
      <c r="A404" s="59" t="str">
        <f>IF(Summary!E404="","",Summary!E404)</f>
        <v/>
      </c>
      <c r="B404" s="59" t="str">
        <f>IF(Summary!J404="","",Summary!J404)</f>
        <v/>
      </c>
      <c r="C404" s="60" t="str">
        <f>Summary!H404</f>
        <v/>
      </c>
    </row>
    <row r="405" spans="1:3">
      <c r="A405" s="59" t="str">
        <f>IF(Summary!E405="","",Summary!E405)</f>
        <v/>
      </c>
      <c r="B405" s="59" t="str">
        <f>IF(Summary!J405="","",Summary!J405)</f>
        <v/>
      </c>
      <c r="C405" s="60" t="str">
        <f>Summary!H405</f>
        <v/>
      </c>
    </row>
    <row r="406" spans="1:3">
      <c r="A406" s="59" t="str">
        <f>IF(Summary!E406="","",Summary!E406)</f>
        <v/>
      </c>
      <c r="B406" s="59" t="str">
        <f>IF(Summary!J406="","",Summary!J406)</f>
        <v/>
      </c>
      <c r="C406" s="60" t="str">
        <f>Summary!H406</f>
        <v/>
      </c>
    </row>
    <row r="407" spans="1:3">
      <c r="A407" s="59" t="str">
        <f>IF(Summary!E407="","",Summary!E407)</f>
        <v/>
      </c>
      <c r="B407" s="59" t="str">
        <f>IF(Summary!J407="","",Summary!J407)</f>
        <v/>
      </c>
      <c r="C407" s="60" t="str">
        <f>Summary!H407</f>
        <v/>
      </c>
    </row>
    <row r="408" spans="1:3">
      <c r="A408" s="59" t="str">
        <f>IF(Summary!E408="","",Summary!E408)</f>
        <v/>
      </c>
      <c r="B408" s="59" t="str">
        <f>IF(Summary!J408="","",Summary!J408)</f>
        <v/>
      </c>
      <c r="C408" s="60" t="str">
        <f>Summary!H408</f>
        <v/>
      </c>
    </row>
    <row r="409" spans="1:3">
      <c r="A409" s="59" t="str">
        <f>IF(Summary!E409="","",Summary!E409)</f>
        <v/>
      </c>
      <c r="B409" s="59" t="str">
        <f>IF(Summary!J409="","",Summary!J409)</f>
        <v/>
      </c>
      <c r="C409" s="60" t="str">
        <f>Summary!H409</f>
        <v/>
      </c>
    </row>
    <row r="410" spans="1:3">
      <c r="A410" s="59" t="str">
        <f>IF(Summary!E410="","",Summary!E410)</f>
        <v/>
      </c>
      <c r="B410" s="59" t="str">
        <f>IF(Summary!J410="","",Summary!J410)</f>
        <v/>
      </c>
      <c r="C410" s="60" t="str">
        <f>Summary!H410</f>
        <v/>
      </c>
    </row>
    <row r="411" spans="1:3">
      <c r="A411" s="59" t="str">
        <f>IF(Summary!E411="","",Summary!E411)</f>
        <v/>
      </c>
      <c r="B411" s="59" t="str">
        <f>IF(Summary!J411="","",Summary!J411)</f>
        <v/>
      </c>
      <c r="C411" s="60" t="str">
        <f>Summary!H411</f>
        <v/>
      </c>
    </row>
    <row r="412" spans="1:3">
      <c r="A412" s="59" t="str">
        <f>IF(Summary!E412="","",Summary!E412)</f>
        <v/>
      </c>
      <c r="B412" s="59" t="str">
        <f>IF(Summary!J412="","",Summary!J412)</f>
        <v/>
      </c>
      <c r="C412" s="60" t="str">
        <f>Summary!H412</f>
        <v/>
      </c>
    </row>
    <row r="413" spans="1:3">
      <c r="A413" s="59" t="str">
        <f>IF(Summary!E413="","",Summary!E413)</f>
        <v/>
      </c>
      <c r="B413" s="59" t="str">
        <f>IF(Summary!J413="","",Summary!J413)</f>
        <v/>
      </c>
      <c r="C413" s="60" t="str">
        <f>Summary!H413</f>
        <v/>
      </c>
    </row>
    <row r="414" spans="1:3">
      <c r="A414" s="59" t="str">
        <f>IF(Summary!E414="","",Summary!E414)</f>
        <v/>
      </c>
      <c r="B414" s="59" t="str">
        <f>IF(Summary!J414="","",Summary!J414)</f>
        <v/>
      </c>
      <c r="C414" s="60" t="str">
        <f>Summary!H414</f>
        <v/>
      </c>
    </row>
    <row r="415" spans="1:3">
      <c r="A415" s="59" t="str">
        <f>IF(Summary!E415="","",Summary!E415)</f>
        <v/>
      </c>
      <c r="B415" s="59" t="str">
        <f>IF(Summary!J415="","",Summary!J415)</f>
        <v/>
      </c>
      <c r="C415" s="60" t="str">
        <f>Summary!H415</f>
        <v/>
      </c>
    </row>
    <row r="416" spans="1:3">
      <c r="A416" s="59" t="str">
        <f>IF(Summary!E416="","",Summary!E416)</f>
        <v/>
      </c>
      <c r="B416" s="59" t="str">
        <f>IF(Summary!J416="","",Summary!J416)</f>
        <v/>
      </c>
      <c r="C416" s="60" t="str">
        <f>Summary!H416</f>
        <v/>
      </c>
    </row>
    <row r="417" spans="1:3">
      <c r="A417" s="59" t="str">
        <f>IF(Summary!E417="","",Summary!E417)</f>
        <v/>
      </c>
      <c r="B417" s="59" t="str">
        <f>IF(Summary!J417="","",Summary!J417)</f>
        <v/>
      </c>
      <c r="C417" s="60" t="str">
        <f>Summary!H417</f>
        <v/>
      </c>
    </row>
    <row r="418" spans="1:3">
      <c r="A418" s="59" t="str">
        <f>IF(Summary!E418="","",Summary!E418)</f>
        <v/>
      </c>
      <c r="B418" s="59" t="str">
        <f>IF(Summary!J418="","",Summary!J418)</f>
        <v/>
      </c>
      <c r="C418" s="60" t="str">
        <f>Summary!H418</f>
        <v/>
      </c>
    </row>
    <row r="419" spans="1:3">
      <c r="A419" s="59" t="str">
        <f>IF(Summary!E419="","",Summary!E419)</f>
        <v/>
      </c>
      <c r="B419" s="59" t="str">
        <f>IF(Summary!J419="","",Summary!J419)</f>
        <v/>
      </c>
      <c r="C419" s="60" t="str">
        <f>Summary!H419</f>
        <v/>
      </c>
    </row>
    <row r="420" spans="1:3">
      <c r="A420" s="59" t="str">
        <f>IF(Summary!E420="","",Summary!E420)</f>
        <v/>
      </c>
      <c r="B420" s="59" t="str">
        <f>IF(Summary!J420="","",Summary!J420)</f>
        <v/>
      </c>
      <c r="C420" s="60" t="str">
        <f>Summary!H420</f>
        <v/>
      </c>
    </row>
    <row r="421" spans="1:3">
      <c r="A421" s="59" t="str">
        <f>IF(Summary!E421="","",Summary!E421)</f>
        <v/>
      </c>
      <c r="B421" s="59" t="str">
        <f>IF(Summary!J421="","",Summary!J421)</f>
        <v/>
      </c>
      <c r="C421" s="60" t="str">
        <f>Summary!H421</f>
        <v/>
      </c>
    </row>
    <row r="422" spans="1:3">
      <c r="A422" s="59" t="str">
        <f>IF(Summary!E422="","",Summary!E422)</f>
        <v/>
      </c>
      <c r="B422" s="59" t="str">
        <f>IF(Summary!J422="","",Summary!J422)</f>
        <v/>
      </c>
      <c r="C422" s="60" t="str">
        <f>Summary!H422</f>
        <v/>
      </c>
    </row>
    <row r="423" spans="1:3">
      <c r="A423" s="59" t="str">
        <f>IF(Summary!E423="","",Summary!E423)</f>
        <v/>
      </c>
      <c r="B423" s="59" t="str">
        <f>IF(Summary!J423="","",Summary!J423)</f>
        <v/>
      </c>
      <c r="C423" s="60" t="str">
        <f>Summary!H423</f>
        <v/>
      </c>
    </row>
    <row r="424" spans="1:3">
      <c r="A424" s="59" t="str">
        <f>IF(Summary!E424="","",Summary!E424)</f>
        <v/>
      </c>
      <c r="B424" s="59" t="str">
        <f>IF(Summary!J424="","",Summary!J424)</f>
        <v/>
      </c>
      <c r="C424" s="60" t="str">
        <f>Summary!H424</f>
        <v/>
      </c>
    </row>
    <row r="425" spans="1:3">
      <c r="A425" s="59" t="str">
        <f>IF(Summary!E425="","",Summary!E425)</f>
        <v/>
      </c>
      <c r="B425" s="59" t="str">
        <f>IF(Summary!J425="","",Summary!J425)</f>
        <v/>
      </c>
      <c r="C425" s="60" t="str">
        <f>Summary!H425</f>
        <v/>
      </c>
    </row>
    <row r="426" spans="1:3">
      <c r="A426" s="59" t="str">
        <f>IF(Summary!E426="","",Summary!E426)</f>
        <v/>
      </c>
      <c r="B426" s="59" t="str">
        <f>IF(Summary!J426="","",Summary!J426)</f>
        <v/>
      </c>
      <c r="C426" s="60" t="str">
        <f>Summary!H426</f>
        <v/>
      </c>
    </row>
    <row r="427" spans="1:3">
      <c r="A427" s="59" t="str">
        <f>IF(Summary!E427="","",Summary!E427)</f>
        <v/>
      </c>
      <c r="B427" s="59" t="str">
        <f>IF(Summary!J427="","",Summary!J427)</f>
        <v/>
      </c>
      <c r="C427" s="60" t="str">
        <f>Summary!H427</f>
        <v/>
      </c>
    </row>
    <row r="428" spans="1:3">
      <c r="A428" s="59" t="str">
        <f>IF(Summary!E428="","",Summary!E428)</f>
        <v/>
      </c>
      <c r="B428" s="59" t="str">
        <f>IF(Summary!J428="","",Summary!J428)</f>
        <v/>
      </c>
      <c r="C428" s="60" t="str">
        <f>Summary!H428</f>
        <v/>
      </c>
    </row>
    <row r="429" spans="1:3">
      <c r="A429" s="59" t="str">
        <f>IF(Summary!E429="","",Summary!E429)</f>
        <v/>
      </c>
      <c r="B429" s="59" t="str">
        <f>IF(Summary!J429="","",Summary!J429)</f>
        <v/>
      </c>
      <c r="C429" s="60" t="str">
        <f>Summary!H429</f>
        <v/>
      </c>
    </row>
    <row r="430" spans="1:3">
      <c r="A430" s="59" t="str">
        <f>IF(Summary!E430="","",Summary!E430)</f>
        <v/>
      </c>
      <c r="B430" s="59" t="str">
        <f>IF(Summary!J430="","",Summary!J430)</f>
        <v/>
      </c>
      <c r="C430" s="60" t="str">
        <f>Summary!H430</f>
        <v/>
      </c>
    </row>
    <row r="431" spans="1:3">
      <c r="A431" s="59" t="str">
        <f>IF(Summary!E431="","",Summary!E431)</f>
        <v/>
      </c>
      <c r="B431" s="59" t="str">
        <f>IF(Summary!J431="","",Summary!J431)</f>
        <v/>
      </c>
      <c r="C431" s="60" t="str">
        <f>Summary!H431</f>
        <v/>
      </c>
    </row>
    <row r="432" spans="1:3">
      <c r="A432" s="59" t="str">
        <f>IF(Summary!E432="","",Summary!E432)</f>
        <v/>
      </c>
      <c r="B432" s="59" t="str">
        <f>IF(Summary!J432="","",Summary!J432)</f>
        <v/>
      </c>
      <c r="C432" s="60" t="str">
        <f>Summary!H432</f>
        <v/>
      </c>
    </row>
    <row r="433" spans="1:3">
      <c r="A433" s="59" t="str">
        <f>IF(Summary!E433="","",Summary!E433)</f>
        <v/>
      </c>
      <c r="B433" s="59" t="str">
        <f>IF(Summary!J433="","",Summary!J433)</f>
        <v/>
      </c>
      <c r="C433" s="60" t="str">
        <f>Summary!H433</f>
        <v/>
      </c>
    </row>
    <row r="434" spans="1:3">
      <c r="A434" s="59" t="str">
        <f>IF(Summary!E434="","",Summary!E434)</f>
        <v/>
      </c>
      <c r="B434" s="59" t="str">
        <f>IF(Summary!J434="","",Summary!J434)</f>
        <v/>
      </c>
      <c r="C434" s="60" t="str">
        <f>Summary!H434</f>
        <v/>
      </c>
    </row>
    <row r="435" spans="1:3">
      <c r="A435" s="59" t="str">
        <f>IF(Summary!E435="","",Summary!E435)</f>
        <v/>
      </c>
      <c r="B435" s="59" t="str">
        <f>IF(Summary!J435="","",Summary!J435)</f>
        <v/>
      </c>
      <c r="C435" s="60" t="str">
        <f>Summary!H435</f>
        <v/>
      </c>
    </row>
    <row r="436" spans="1:3">
      <c r="A436" s="59" t="str">
        <f>IF(Summary!E436="","",Summary!E436)</f>
        <v/>
      </c>
      <c r="B436" s="59" t="str">
        <f>IF(Summary!J436="","",Summary!J436)</f>
        <v/>
      </c>
      <c r="C436" s="60" t="str">
        <f>Summary!H436</f>
        <v/>
      </c>
    </row>
    <row r="437" spans="1:3">
      <c r="A437" s="59" t="str">
        <f>IF(Summary!E437="","",Summary!E437)</f>
        <v/>
      </c>
      <c r="B437" s="59" t="str">
        <f>IF(Summary!J437="","",Summary!J437)</f>
        <v/>
      </c>
      <c r="C437" s="60" t="str">
        <f>Summary!H437</f>
        <v/>
      </c>
    </row>
    <row r="438" spans="1:3">
      <c r="A438" s="59" t="str">
        <f>IF(Summary!E438="","",Summary!E438)</f>
        <v/>
      </c>
      <c r="B438" s="59" t="str">
        <f>IF(Summary!J438="","",Summary!J438)</f>
        <v/>
      </c>
      <c r="C438" s="60" t="str">
        <f>Summary!H438</f>
        <v/>
      </c>
    </row>
    <row r="439" spans="1:3">
      <c r="A439" s="59" t="str">
        <f>IF(Summary!E439="","",Summary!E439)</f>
        <v/>
      </c>
      <c r="B439" s="59" t="str">
        <f>IF(Summary!J439="","",Summary!J439)</f>
        <v/>
      </c>
      <c r="C439" s="60" t="str">
        <f>Summary!H439</f>
        <v/>
      </c>
    </row>
    <row r="440" spans="1:3">
      <c r="A440" s="59" t="str">
        <f>IF(Summary!E440="","",Summary!E440)</f>
        <v/>
      </c>
      <c r="B440" s="59" t="str">
        <f>IF(Summary!J440="","",Summary!J440)</f>
        <v/>
      </c>
      <c r="C440" s="60" t="str">
        <f>Summary!H440</f>
        <v/>
      </c>
    </row>
    <row r="441" spans="1:3">
      <c r="A441" s="59" t="str">
        <f>IF(Summary!E441="","",Summary!E441)</f>
        <v/>
      </c>
      <c r="B441" s="59" t="str">
        <f>IF(Summary!J441="","",Summary!J441)</f>
        <v/>
      </c>
      <c r="C441" s="60" t="str">
        <f>Summary!H441</f>
        <v/>
      </c>
    </row>
    <row r="442" spans="1:3">
      <c r="A442" s="59" t="str">
        <f>IF(Summary!E442="","",Summary!E442)</f>
        <v/>
      </c>
      <c r="B442" s="59" t="str">
        <f>IF(Summary!J442="","",Summary!J442)</f>
        <v/>
      </c>
      <c r="C442" s="60" t="str">
        <f>Summary!H442</f>
        <v/>
      </c>
    </row>
    <row r="443" spans="1:3">
      <c r="A443" s="59" t="str">
        <f>IF(Summary!E443="","",Summary!E443)</f>
        <v/>
      </c>
      <c r="B443" s="59" t="str">
        <f>IF(Summary!J443="","",Summary!J443)</f>
        <v/>
      </c>
      <c r="C443" s="60" t="str">
        <f>Summary!H443</f>
        <v/>
      </c>
    </row>
    <row r="444" spans="1:3">
      <c r="A444" s="59" t="str">
        <f>IF(Summary!E444="","",Summary!E444)</f>
        <v/>
      </c>
      <c r="B444" s="59" t="str">
        <f>IF(Summary!J444="","",Summary!J444)</f>
        <v/>
      </c>
      <c r="C444" s="60" t="str">
        <f>Summary!H444</f>
        <v/>
      </c>
    </row>
    <row r="445" spans="1:3">
      <c r="A445" s="59" t="str">
        <f>IF(Summary!E445="","",Summary!E445)</f>
        <v/>
      </c>
      <c r="B445" s="59" t="str">
        <f>IF(Summary!J445="","",Summary!J445)</f>
        <v/>
      </c>
      <c r="C445" s="60" t="str">
        <f>Summary!H445</f>
        <v/>
      </c>
    </row>
    <row r="446" spans="1:3">
      <c r="A446" s="59" t="str">
        <f>IF(Summary!E446="","",Summary!E446)</f>
        <v/>
      </c>
      <c r="B446" s="59" t="str">
        <f>IF(Summary!J446="","",Summary!J446)</f>
        <v/>
      </c>
      <c r="C446" s="60" t="str">
        <f>Summary!H446</f>
        <v/>
      </c>
    </row>
    <row r="447" spans="1:3">
      <c r="A447" s="59" t="str">
        <f>IF(Summary!E447="","",Summary!E447)</f>
        <v/>
      </c>
      <c r="B447" s="59" t="str">
        <f>IF(Summary!J447="","",Summary!J447)</f>
        <v/>
      </c>
      <c r="C447" s="60" t="str">
        <f>Summary!H447</f>
        <v/>
      </c>
    </row>
    <row r="448" spans="1:3">
      <c r="A448" s="59" t="str">
        <f>IF(Summary!E448="","",Summary!E448)</f>
        <v/>
      </c>
      <c r="B448" s="59" t="str">
        <f>IF(Summary!J448="","",Summary!J448)</f>
        <v/>
      </c>
      <c r="C448" s="60" t="str">
        <f>Summary!H448</f>
        <v/>
      </c>
    </row>
    <row r="449" spans="1:3">
      <c r="A449" s="59" t="str">
        <f>IF(Summary!E449="","",Summary!E449)</f>
        <v/>
      </c>
      <c r="B449" s="59" t="str">
        <f>IF(Summary!J449="","",Summary!J449)</f>
        <v/>
      </c>
      <c r="C449" s="60" t="str">
        <f>Summary!H449</f>
        <v/>
      </c>
    </row>
    <row r="450" spans="1:3">
      <c r="A450" s="59" t="str">
        <f>IF(Summary!E450="","",Summary!E450)</f>
        <v/>
      </c>
      <c r="B450" s="59" t="str">
        <f>IF(Summary!J450="","",Summary!J450)</f>
        <v/>
      </c>
      <c r="C450" s="60" t="str">
        <f>Summary!H450</f>
        <v/>
      </c>
    </row>
    <row r="451" spans="1:3">
      <c r="A451" s="59" t="str">
        <f>IF(Summary!E451="","",Summary!E451)</f>
        <v/>
      </c>
      <c r="B451" s="59" t="str">
        <f>IF(Summary!J451="","",Summary!J451)</f>
        <v/>
      </c>
      <c r="C451" s="60" t="str">
        <f>Summary!H451</f>
        <v/>
      </c>
    </row>
    <row r="452" spans="1:3">
      <c r="A452" s="59" t="str">
        <f>IF(Summary!E452="","",Summary!E452)</f>
        <v/>
      </c>
      <c r="B452" s="59" t="str">
        <f>IF(Summary!J452="","",Summary!J452)</f>
        <v/>
      </c>
      <c r="C452" s="60" t="str">
        <f>Summary!H452</f>
        <v/>
      </c>
    </row>
    <row r="453" spans="1:3">
      <c r="A453" s="59" t="str">
        <f>IF(Summary!E453="","",Summary!E453)</f>
        <v/>
      </c>
      <c r="B453" s="59" t="str">
        <f>IF(Summary!J453="","",Summary!J453)</f>
        <v/>
      </c>
      <c r="C453" s="60" t="str">
        <f>Summary!H453</f>
        <v/>
      </c>
    </row>
    <row r="454" spans="1:3">
      <c r="A454" s="59" t="str">
        <f>IF(Summary!E454="","",Summary!E454)</f>
        <v/>
      </c>
      <c r="B454" s="59" t="str">
        <f>IF(Summary!J454="","",Summary!J454)</f>
        <v/>
      </c>
      <c r="C454" s="60" t="str">
        <f>Summary!H454</f>
        <v/>
      </c>
    </row>
    <row r="455" spans="1:3">
      <c r="A455" s="59" t="str">
        <f>IF(Summary!E455="","",Summary!E455)</f>
        <v/>
      </c>
      <c r="B455" s="59" t="str">
        <f>IF(Summary!J455="","",Summary!J455)</f>
        <v/>
      </c>
      <c r="C455" s="60" t="str">
        <f>Summary!H455</f>
        <v/>
      </c>
    </row>
    <row r="456" spans="1:3">
      <c r="A456" s="59" t="str">
        <f>IF(Summary!E456="","",Summary!E456)</f>
        <v/>
      </c>
      <c r="B456" s="59" t="str">
        <f>IF(Summary!J456="","",Summary!J456)</f>
        <v/>
      </c>
      <c r="C456" s="60" t="str">
        <f>Summary!H456</f>
        <v/>
      </c>
    </row>
    <row r="457" spans="1:3">
      <c r="A457" s="59" t="str">
        <f>IF(Summary!E457="","",Summary!E457)</f>
        <v/>
      </c>
      <c r="B457" s="59" t="str">
        <f>IF(Summary!J457="","",Summary!J457)</f>
        <v/>
      </c>
      <c r="C457" s="60" t="str">
        <f>Summary!H457</f>
        <v/>
      </c>
    </row>
    <row r="458" spans="1:3">
      <c r="A458" s="59" t="str">
        <f>IF(Summary!E458="","",Summary!E458)</f>
        <v/>
      </c>
      <c r="B458" s="59" t="str">
        <f>IF(Summary!J458="","",Summary!J458)</f>
        <v/>
      </c>
      <c r="C458" s="60" t="str">
        <f>Summary!H458</f>
        <v/>
      </c>
    </row>
    <row r="459" spans="1:3">
      <c r="A459" s="59" t="str">
        <f>IF(Summary!E459="","",Summary!E459)</f>
        <v/>
      </c>
      <c r="B459" s="59" t="str">
        <f>IF(Summary!J459="","",Summary!J459)</f>
        <v/>
      </c>
      <c r="C459" s="60" t="str">
        <f>Summary!H459</f>
        <v/>
      </c>
    </row>
    <row r="460" spans="1:3">
      <c r="A460" s="59" t="str">
        <f>IF(Summary!E460="","",Summary!E460)</f>
        <v/>
      </c>
      <c r="B460" s="59" t="str">
        <f>IF(Summary!J460="","",Summary!J460)</f>
        <v/>
      </c>
      <c r="C460" s="60" t="str">
        <f>Summary!H460</f>
        <v/>
      </c>
    </row>
    <row r="461" spans="1:3">
      <c r="A461" s="59" t="str">
        <f>IF(Summary!E461="","",Summary!E461)</f>
        <v/>
      </c>
      <c r="B461" s="59" t="str">
        <f>IF(Summary!J461="","",Summary!J461)</f>
        <v/>
      </c>
      <c r="C461" s="60" t="str">
        <f>Summary!H461</f>
        <v/>
      </c>
    </row>
    <row r="462" spans="1:3">
      <c r="A462" s="59" t="str">
        <f>IF(Summary!E462="","",Summary!E462)</f>
        <v/>
      </c>
      <c r="B462" s="59" t="str">
        <f>IF(Summary!J462="","",Summary!J462)</f>
        <v/>
      </c>
      <c r="C462" s="60" t="str">
        <f>Summary!H462</f>
        <v/>
      </c>
    </row>
    <row r="463" spans="1:3">
      <c r="A463" s="59" t="str">
        <f>IF(Summary!E463="","",Summary!E463)</f>
        <v/>
      </c>
      <c r="B463" s="59" t="str">
        <f>IF(Summary!J463="","",Summary!J463)</f>
        <v/>
      </c>
      <c r="C463" s="60" t="str">
        <f>Summary!H463</f>
        <v/>
      </c>
    </row>
    <row r="464" spans="1:3">
      <c r="A464" s="59" t="str">
        <f>IF(Summary!E464="","",Summary!E464)</f>
        <v/>
      </c>
      <c r="B464" s="59" t="str">
        <f>IF(Summary!J464="","",Summary!J464)</f>
        <v/>
      </c>
      <c r="C464" s="60" t="str">
        <f>Summary!H464</f>
        <v/>
      </c>
    </row>
    <row r="465" spans="1:3">
      <c r="A465" s="59" t="str">
        <f>IF(Summary!E465="","",Summary!E465)</f>
        <v/>
      </c>
      <c r="B465" s="59" t="str">
        <f>IF(Summary!J465="","",Summary!J465)</f>
        <v/>
      </c>
      <c r="C465" s="60" t="str">
        <f>Summary!H465</f>
        <v/>
      </c>
    </row>
    <row r="466" spans="1:3">
      <c r="A466" s="59" t="str">
        <f>IF(Summary!E466="","",Summary!E466)</f>
        <v/>
      </c>
      <c r="B466" s="59" t="str">
        <f>IF(Summary!J466="","",Summary!J466)</f>
        <v/>
      </c>
      <c r="C466" s="60" t="str">
        <f>Summary!H466</f>
        <v/>
      </c>
    </row>
    <row r="467" spans="1:3">
      <c r="A467" s="59" t="str">
        <f>IF(Summary!E467="","",Summary!E467)</f>
        <v/>
      </c>
      <c r="B467" s="59" t="str">
        <f>IF(Summary!J467="","",Summary!J467)</f>
        <v/>
      </c>
      <c r="C467" s="60" t="str">
        <f>Summary!H467</f>
        <v/>
      </c>
    </row>
    <row r="468" spans="1:3">
      <c r="A468" s="59" t="str">
        <f>IF(Summary!E468="","",Summary!E468)</f>
        <v/>
      </c>
      <c r="B468" s="59" t="str">
        <f>IF(Summary!J468="","",Summary!J468)</f>
        <v/>
      </c>
      <c r="C468" s="60" t="str">
        <f>Summary!H468</f>
        <v/>
      </c>
    </row>
    <row r="469" spans="1:3">
      <c r="A469" s="59" t="str">
        <f>IF(Summary!E469="","",Summary!E469)</f>
        <v/>
      </c>
      <c r="B469" s="59" t="str">
        <f>IF(Summary!J469="","",Summary!J469)</f>
        <v/>
      </c>
      <c r="C469" s="60" t="str">
        <f>Summary!H469</f>
        <v/>
      </c>
    </row>
    <row r="470" spans="1:3">
      <c r="A470" s="59" t="str">
        <f>IF(Summary!E470="","",Summary!E470)</f>
        <v/>
      </c>
      <c r="B470" s="59" t="str">
        <f>IF(Summary!J470="","",Summary!J470)</f>
        <v/>
      </c>
      <c r="C470" s="60" t="str">
        <f>Summary!H470</f>
        <v/>
      </c>
    </row>
    <row r="471" spans="1:3">
      <c r="A471" s="59" t="str">
        <f>IF(Summary!E471="","",Summary!E471)</f>
        <v/>
      </c>
      <c r="B471" s="59" t="str">
        <f>IF(Summary!J471="","",Summary!J471)</f>
        <v/>
      </c>
      <c r="C471" s="60" t="str">
        <f>Summary!H471</f>
        <v/>
      </c>
    </row>
    <row r="472" spans="1:3">
      <c r="A472" s="59" t="str">
        <f>IF(Summary!E472="","",Summary!E472)</f>
        <v/>
      </c>
      <c r="B472" s="59" t="str">
        <f>IF(Summary!J472="","",Summary!J472)</f>
        <v/>
      </c>
      <c r="C472" s="60" t="str">
        <f>Summary!H472</f>
        <v/>
      </c>
    </row>
    <row r="473" spans="1:3">
      <c r="A473" s="59" t="str">
        <f>IF(Summary!E473="","",Summary!E473)</f>
        <v/>
      </c>
      <c r="B473" s="59" t="str">
        <f>IF(Summary!J473="","",Summary!J473)</f>
        <v/>
      </c>
      <c r="C473" s="60" t="str">
        <f>Summary!H473</f>
        <v/>
      </c>
    </row>
    <row r="474" spans="1:3">
      <c r="A474" s="59" t="str">
        <f>IF(Summary!E474="","",Summary!E474)</f>
        <v/>
      </c>
      <c r="B474" s="59" t="str">
        <f>IF(Summary!J474="","",Summary!J474)</f>
        <v/>
      </c>
      <c r="C474" s="60" t="str">
        <f>Summary!H474</f>
        <v/>
      </c>
    </row>
    <row r="475" spans="1:3">
      <c r="A475" s="59" t="str">
        <f>IF(Summary!E475="","",Summary!E475)</f>
        <v/>
      </c>
      <c r="B475" s="59" t="str">
        <f>IF(Summary!J475="","",Summary!J475)</f>
        <v/>
      </c>
      <c r="C475" s="60" t="str">
        <f>Summary!H475</f>
        <v/>
      </c>
    </row>
    <row r="476" spans="1:3">
      <c r="A476" s="59" t="str">
        <f>IF(Summary!E476="","",Summary!E476)</f>
        <v/>
      </c>
      <c r="B476" s="59" t="str">
        <f>IF(Summary!J476="","",Summary!J476)</f>
        <v/>
      </c>
      <c r="C476" s="60" t="str">
        <f>Summary!H476</f>
        <v/>
      </c>
    </row>
    <row r="477" spans="1:3">
      <c r="A477" s="59" t="str">
        <f>IF(Summary!E477="","",Summary!E477)</f>
        <v/>
      </c>
      <c r="B477" s="59" t="str">
        <f>IF(Summary!J477="","",Summary!J477)</f>
        <v/>
      </c>
      <c r="C477" s="60" t="str">
        <f>Summary!H477</f>
        <v/>
      </c>
    </row>
    <row r="478" spans="1:3">
      <c r="A478" s="59" t="str">
        <f>IF(Summary!E478="","",Summary!E478)</f>
        <v/>
      </c>
      <c r="B478" s="59" t="str">
        <f>IF(Summary!J478="","",Summary!J478)</f>
        <v/>
      </c>
      <c r="C478" s="60" t="str">
        <f>Summary!H478</f>
        <v/>
      </c>
    </row>
    <row r="479" spans="1:3">
      <c r="A479" s="59" t="str">
        <f>IF(Summary!E479="","",Summary!E479)</f>
        <v/>
      </c>
      <c r="B479" s="59" t="str">
        <f>IF(Summary!J479="","",Summary!J479)</f>
        <v/>
      </c>
      <c r="C479" s="60" t="str">
        <f>Summary!H479</f>
        <v/>
      </c>
    </row>
    <row r="480" spans="1:3">
      <c r="A480" s="59" t="str">
        <f>IF(Summary!E480="","",Summary!E480)</f>
        <v/>
      </c>
      <c r="B480" s="59" t="str">
        <f>IF(Summary!J480="","",Summary!J480)</f>
        <v/>
      </c>
      <c r="C480" s="60" t="str">
        <f>Summary!H480</f>
        <v/>
      </c>
    </row>
    <row r="481" spans="1:3">
      <c r="A481" s="59" t="str">
        <f>IF(Summary!E481="","",Summary!E481)</f>
        <v/>
      </c>
      <c r="B481" s="59" t="str">
        <f>IF(Summary!J481="","",Summary!J481)</f>
        <v/>
      </c>
      <c r="C481" s="60" t="str">
        <f>Summary!H481</f>
        <v/>
      </c>
    </row>
    <row r="482" spans="1:3">
      <c r="A482" s="59" t="str">
        <f>IF(Summary!E482="","",Summary!E482)</f>
        <v/>
      </c>
      <c r="B482" s="59" t="str">
        <f>IF(Summary!J482="","",Summary!J482)</f>
        <v/>
      </c>
      <c r="C482" s="60" t="str">
        <f>Summary!H482</f>
        <v/>
      </c>
    </row>
    <row r="483" spans="1:3">
      <c r="A483" s="59" t="str">
        <f>IF(Summary!E483="","",Summary!E483)</f>
        <v/>
      </c>
      <c r="B483" s="59" t="str">
        <f>IF(Summary!J483="","",Summary!J483)</f>
        <v/>
      </c>
      <c r="C483" s="60" t="str">
        <f>Summary!H483</f>
        <v/>
      </c>
    </row>
    <row r="484" spans="1:3">
      <c r="A484" s="59" t="str">
        <f>IF(Summary!E484="","",Summary!E484)</f>
        <v/>
      </c>
      <c r="B484" s="59" t="str">
        <f>IF(Summary!J484="","",Summary!J484)</f>
        <v/>
      </c>
      <c r="C484" s="60" t="str">
        <f>Summary!H484</f>
        <v/>
      </c>
    </row>
    <row r="485" spans="1:3">
      <c r="A485" s="59" t="str">
        <f>IF(Summary!E485="","",Summary!E485)</f>
        <v/>
      </c>
      <c r="B485" s="59" t="str">
        <f>IF(Summary!J485="","",Summary!J485)</f>
        <v/>
      </c>
      <c r="C485" s="60" t="str">
        <f>Summary!H485</f>
        <v/>
      </c>
    </row>
    <row r="486" spans="1:3">
      <c r="A486" s="59" t="str">
        <f>IF(Summary!E486="","",Summary!E486)</f>
        <v/>
      </c>
      <c r="B486" s="59" t="str">
        <f>IF(Summary!J486="","",Summary!J486)</f>
        <v/>
      </c>
      <c r="C486" s="60" t="str">
        <f>Summary!H486</f>
        <v/>
      </c>
    </row>
    <row r="487" spans="1:3">
      <c r="A487" s="59" t="str">
        <f>IF(Summary!E487="","",Summary!E487)</f>
        <v/>
      </c>
      <c r="B487" s="59" t="str">
        <f>IF(Summary!J487="","",Summary!J487)</f>
        <v/>
      </c>
      <c r="C487" s="60" t="str">
        <f>Summary!H487</f>
        <v/>
      </c>
    </row>
    <row r="488" spans="1:3">
      <c r="A488" s="59" t="str">
        <f>IF(Summary!E488="","",Summary!E488)</f>
        <v/>
      </c>
      <c r="B488" s="59" t="str">
        <f>IF(Summary!J488="","",Summary!J488)</f>
        <v/>
      </c>
      <c r="C488" s="60" t="str">
        <f>Summary!H488</f>
        <v/>
      </c>
    </row>
    <row r="489" spans="1:3">
      <c r="A489" s="59" t="str">
        <f>IF(Summary!E489="","",Summary!E489)</f>
        <v/>
      </c>
      <c r="B489" s="59" t="str">
        <f>IF(Summary!J489="","",Summary!J489)</f>
        <v/>
      </c>
      <c r="C489" s="60" t="str">
        <f>Summary!H489</f>
        <v/>
      </c>
    </row>
    <row r="490" spans="1:3">
      <c r="A490" s="59" t="str">
        <f>IF(Summary!E490="","",Summary!E490)</f>
        <v/>
      </c>
      <c r="B490" s="59" t="str">
        <f>IF(Summary!J490="","",Summary!J490)</f>
        <v/>
      </c>
      <c r="C490" s="60" t="str">
        <f>Summary!H490</f>
        <v/>
      </c>
    </row>
    <row r="491" spans="1:3">
      <c r="A491" s="59" t="str">
        <f>IF(Summary!E491="","",Summary!E491)</f>
        <v/>
      </c>
      <c r="B491" s="59" t="str">
        <f>IF(Summary!J491="","",Summary!J491)</f>
        <v/>
      </c>
      <c r="C491" s="60" t="str">
        <f>Summary!H491</f>
        <v/>
      </c>
    </row>
    <row r="492" spans="1:3">
      <c r="A492" s="59" t="str">
        <f>IF(Summary!E492="","",Summary!E492)</f>
        <v/>
      </c>
      <c r="B492" s="59" t="str">
        <f>IF(Summary!J492="","",Summary!J492)</f>
        <v/>
      </c>
      <c r="C492" s="60" t="str">
        <f>Summary!H492</f>
        <v/>
      </c>
    </row>
    <row r="493" spans="1:3">
      <c r="A493" s="59" t="str">
        <f>IF(Summary!E493="","",Summary!E493)</f>
        <v/>
      </c>
      <c r="B493" s="59" t="str">
        <f>IF(Summary!J493="","",Summary!J493)</f>
        <v/>
      </c>
      <c r="C493" s="60" t="str">
        <f>Summary!H493</f>
        <v/>
      </c>
    </row>
    <row r="494" spans="1:3">
      <c r="A494" s="59" t="str">
        <f>IF(Summary!E494="","",Summary!E494)</f>
        <v/>
      </c>
      <c r="B494" s="59" t="str">
        <f>IF(Summary!J494="","",Summary!J494)</f>
        <v/>
      </c>
      <c r="C494" s="60" t="str">
        <f>Summary!H494</f>
        <v/>
      </c>
    </row>
    <row r="495" spans="1:3">
      <c r="A495" s="59" t="str">
        <f>IF(Summary!E495="","",Summary!E495)</f>
        <v/>
      </c>
      <c r="B495" s="59" t="str">
        <f>IF(Summary!J495="","",Summary!J495)</f>
        <v/>
      </c>
      <c r="C495" s="60" t="str">
        <f>Summary!H495</f>
        <v/>
      </c>
    </row>
    <row r="496" spans="1:3">
      <c r="A496" s="59" t="str">
        <f>IF(Summary!E496="","",Summary!E496)</f>
        <v/>
      </c>
      <c r="B496" s="59" t="str">
        <f>IF(Summary!J496="","",Summary!J496)</f>
        <v/>
      </c>
      <c r="C496" s="60" t="str">
        <f>Summary!H496</f>
        <v/>
      </c>
    </row>
    <row r="497" spans="1:3">
      <c r="A497" s="59" t="str">
        <f>IF(Summary!E497="","",Summary!E497)</f>
        <v/>
      </c>
      <c r="B497" s="59" t="str">
        <f>IF(Summary!J497="","",Summary!J497)</f>
        <v/>
      </c>
      <c r="C497" s="60" t="str">
        <f>Summary!H497</f>
        <v/>
      </c>
    </row>
    <row r="498" spans="1:3">
      <c r="A498" s="59" t="str">
        <f>IF(Summary!E498="","",Summary!E498)</f>
        <v/>
      </c>
      <c r="B498" s="59" t="str">
        <f>IF(Summary!J498="","",Summary!J498)</f>
        <v/>
      </c>
      <c r="C498" s="60" t="str">
        <f>Summary!H498</f>
        <v/>
      </c>
    </row>
    <row r="499" spans="1:3">
      <c r="A499" s="59" t="str">
        <f>IF(Summary!E499="","",Summary!E499)</f>
        <v/>
      </c>
      <c r="B499" s="59" t="str">
        <f>IF(Summary!J499="","",Summary!J499)</f>
        <v/>
      </c>
      <c r="C499" s="60" t="str">
        <f>Summary!H499</f>
        <v/>
      </c>
    </row>
    <row r="500" spans="1:3">
      <c r="A500" s="59" t="str">
        <f>IF(Summary!E500="","",Summary!E500)</f>
        <v/>
      </c>
      <c r="B500" s="59" t="str">
        <f>IF(Summary!J500="","",Summary!J500)</f>
        <v/>
      </c>
      <c r="C500" s="60" t="str">
        <f>Summary!H500</f>
        <v/>
      </c>
    </row>
    <row r="501" spans="1:3">
      <c r="A501" s="59" t="str">
        <f>IF(Summary!E501="","",Summary!E501)</f>
        <v/>
      </c>
      <c r="B501" s="59" t="str">
        <f>IF(Summary!J501="","",Summary!J501)</f>
        <v/>
      </c>
      <c r="C501" s="60" t="str">
        <f>Summary!H501</f>
        <v/>
      </c>
    </row>
    <row r="502" spans="1:3">
      <c r="A502" s="59" t="str">
        <f>IF(Summary!E502="","",Summary!E502)</f>
        <v/>
      </c>
      <c r="B502" s="59" t="str">
        <f>IF(Summary!J502="","",Summary!J502)</f>
        <v/>
      </c>
      <c r="C502" s="60" t="str">
        <f>Summary!H502</f>
        <v/>
      </c>
    </row>
    <row r="503" spans="1:3">
      <c r="A503" s="59" t="str">
        <f>IF(Summary!E503="","",Summary!E503)</f>
        <v/>
      </c>
      <c r="B503" s="59" t="str">
        <f>IF(Summary!J503="","",Summary!J503)</f>
        <v/>
      </c>
      <c r="C503" s="60" t="str">
        <f>Summary!H503</f>
        <v/>
      </c>
    </row>
    <row r="504" spans="1:3">
      <c r="A504" s="59" t="str">
        <f>IF(Summary!E504="","",Summary!E504)</f>
        <v/>
      </c>
      <c r="B504" s="59" t="str">
        <f>IF(Summary!J504="","",Summary!J504)</f>
        <v/>
      </c>
      <c r="C504" s="60" t="str">
        <f>Summary!H504</f>
        <v/>
      </c>
    </row>
    <row r="505" spans="1:3">
      <c r="A505" s="59" t="str">
        <f>IF(Summary!E505="","",Summary!E505)</f>
        <v/>
      </c>
      <c r="B505" s="59" t="str">
        <f>IF(Summary!J505="","",Summary!J505)</f>
        <v/>
      </c>
      <c r="C505" s="60" t="str">
        <f>Summary!H505</f>
        <v/>
      </c>
    </row>
    <row r="506" spans="1:3">
      <c r="A506" s="59" t="str">
        <f>IF(Summary!E506="","",Summary!E506)</f>
        <v/>
      </c>
      <c r="B506" s="59" t="str">
        <f>IF(Summary!J506="","",Summary!J506)</f>
        <v/>
      </c>
      <c r="C506" s="60" t="str">
        <f>Summary!H506</f>
        <v/>
      </c>
    </row>
    <row r="507" spans="1:3">
      <c r="A507" s="59" t="str">
        <f>IF(Summary!E507="","",Summary!E507)</f>
        <v/>
      </c>
      <c r="B507" s="59" t="str">
        <f>IF(Summary!J507="","",Summary!J507)</f>
        <v/>
      </c>
      <c r="C507" s="60" t="str">
        <f>Summary!H507</f>
        <v/>
      </c>
    </row>
    <row r="508" spans="1:3">
      <c r="A508" s="59" t="str">
        <f>IF(Summary!E508="","",Summary!E508)</f>
        <v/>
      </c>
      <c r="B508" s="59" t="str">
        <f>IF(Summary!J508="","",Summary!J508)</f>
        <v/>
      </c>
      <c r="C508" s="60" t="str">
        <f>Summary!H508</f>
        <v/>
      </c>
    </row>
    <row r="509" spans="1:3">
      <c r="A509" s="59" t="str">
        <f>IF(Summary!E509="","",Summary!E509)</f>
        <v/>
      </c>
      <c r="B509" s="59" t="str">
        <f>IF(Summary!J509="","",Summary!J509)</f>
        <v/>
      </c>
      <c r="C509" s="60" t="str">
        <f>Summary!H509</f>
        <v/>
      </c>
    </row>
    <row r="510" spans="1:3">
      <c r="A510" s="59" t="str">
        <f>IF(Summary!E510="","",Summary!E510)</f>
        <v/>
      </c>
      <c r="B510" s="59" t="str">
        <f>IF(Summary!J510="","",Summary!J510)</f>
        <v/>
      </c>
      <c r="C510" s="60" t="str">
        <f>Summary!H510</f>
        <v/>
      </c>
    </row>
    <row r="511" spans="1:3">
      <c r="A511" s="59" t="str">
        <f>IF(Summary!E511="","",Summary!E511)</f>
        <v/>
      </c>
      <c r="B511" s="59" t="str">
        <f>IF(Summary!J511="","",Summary!J511)</f>
        <v/>
      </c>
      <c r="C511" s="60" t="str">
        <f>Summary!H511</f>
        <v/>
      </c>
    </row>
    <row r="512" spans="1:3">
      <c r="A512" s="59" t="str">
        <f>IF(Summary!E512="","",Summary!E512)</f>
        <v/>
      </c>
      <c r="B512" s="59" t="str">
        <f>IF(Summary!J512="","",Summary!J512)</f>
        <v/>
      </c>
      <c r="C512" s="60" t="str">
        <f>Summary!H512</f>
        <v/>
      </c>
    </row>
    <row r="513" spans="1:3">
      <c r="A513" s="59" t="str">
        <f>IF(Summary!E513="","",Summary!E513)</f>
        <v/>
      </c>
      <c r="B513" s="59" t="str">
        <f>IF(Summary!J513="","",Summary!J513)</f>
        <v/>
      </c>
      <c r="C513" s="60" t="str">
        <f>Summary!H513</f>
        <v/>
      </c>
    </row>
    <row r="514" spans="1:3">
      <c r="A514" s="59" t="str">
        <f>IF(Summary!E514="","",Summary!E514)</f>
        <v/>
      </c>
      <c r="B514" s="59" t="str">
        <f>IF(Summary!J514="","",Summary!J514)</f>
        <v/>
      </c>
      <c r="C514" s="60" t="str">
        <f>Summary!H514</f>
        <v/>
      </c>
    </row>
    <row r="515" spans="1:3">
      <c r="A515" s="59" t="str">
        <f>IF(Summary!E515="","",Summary!E515)</f>
        <v/>
      </c>
      <c r="B515" s="59" t="str">
        <f>IF(Summary!J515="","",Summary!J515)</f>
        <v/>
      </c>
      <c r="C515" s="60" t="str">
        <f>Summary!H515</f>
        <v/>
      </c>
    </row>
    <row r="516" spans="1:3">
      <c r="A516" s="59" t="str">
        <f>IF(Summary!E516="","",Summary!E516)</f>
        <v/>
      </c>
      <c r="B516" s="59" t="str">
        <f>IF(Summary!J516="","",Summary!J516)</f>
        <v/>
      </c>
      <c r="C516" s="60" t="str">
        <f>Summary!H516</f>
        <v/>
      </c>
    </row>
    <row r="517" spans="1:3">
      <c r="A517" s="59" t="str">
        <f>IF(Summary!E517="","",Summary!E517)</f>
        <v/>
      </c>
      <c r="B517" s="59" t="str">
        <f>IF(Summary!J517="","",Summary!J517)</f>
        <v/>
      </c>
      <c r="C517" s="60" t="str">
        <f>Summary!H517</f>
        <v/>
      </c>
    </row>
    <row r="518" spans="1:3">
      <c r="A518" s="59" t="str">
        <f>IF(Summary!E518="","",Summary!E518)</f>
        <v/>
      </c>
      <c r="B518" s="59" t="str">
        <f>IF(Summary!J518="","",Summary!J518)</f>
        <v/>
      </c>
      <c r="C518" s="60" t="str">
        <f>Summary!H518</f>
        <v/>
      </c>
    </row>
    <row r="519" spans="1:3">
      <c r="A519" s="59" t="str">
        <f>IF(Summary!E519="","",Summary!E519)</f>
        <v/>
      </c>
      <c r="B519" s="59" t="str">
        <f>IF(Summary!J519="","",Summary!J519)</f>
        <v/>
      </c>
      <c r="C519" s="60" t="str">
        <f>Summary!H519</f>
        <v/>
      </c>
    </row>
    <row r="520" spans="1:3">
      <c r="A520" s="59" t="str">
        <f>IF(Summary!E520="","",Summary!E520)</f>
        <v/>
      </c>
      <c r="B520" s="59" t="str">
        <f>IF(Summary!J520="","",Summary!J520)</f>
        <v/>
      </c>
      <c r="C520" s="60" t="str">
        <f>Summary!H520</f>
        <v/>
      </c>
    </row>
    <row r="521" spans="1:3">
      <c r="A521" s="59" t="str">
        <f>IF(Summary!E521="","",Summary!E521)</f>
        <v/>
      </c>
      <c r="B521" s="59" t="str">
        <f>IF(Summary!J521="","",Summary!J521)</f>
        <v/>
      </c>
      <c r="C521" s="60" t="str">
        <f>Summary!H521</f>
        <v/>
      </c>
    </row>
    <row r="522" spans="1:3">
      <c r="A522" s="59" t="str">
        <f>IF(Summary!E522="","",Summary!E522)</f>
        <v/>
      </c>
      <c r="B522" s="59" t="str">
        <f>IF(Summary!J522="","",Summary!J522)</f>
        <v/>
      </c>
      <c r="C522" s="60" t="str">
        <f>Summary!H522</f>
        <v/>
      </c>
    </row>
    <row r="523" spans="1:3">
      <c r="A523" s="59" t="str">
        <f>IF(Summary!E523="","",Summary!E523)</f>
        <v/>
      </c>
      <c r="B523" s="59" t="str">
        <f>IF(Summary!J523="","",Summary!J523)</f>
        <v/>
      </c>
      <c r="C523" s="60" t="str">
        <f>Summary!H523</f>
        <v/>
      </c>
    </row>
    <row r="524" spans="1:3">
      <c r="A524" s="59" t="str">
        <f>IF(Summary!E524="","",Summary!E524)</f>
        <v/>
      </c>
      <c r="B524" s="59" t="str">
        <f>IF(Summary!J524="","",Summary!J524)</f>
        <v/>
      </c>
      <c r="C524" s="60" t="str">
        <f>Summary!H524</f>
        <v/>
      </c>
    </row>
    <row r="525" spans="1:3">
      <c r="A525" s="59" t="str">
        <f>IF(Summary!E525="","",Summary!E525)</f>
        <v/>
      </c>
      <c r="B525" s="59" t="str">
        <f>IF(Summary!J525="","",Summary!J525)</f>
        <v/>
      </c>
      <c r="C525" s="60" t="str">
        <f>Summary!H525</f>
        <v/>
      </c>
    </row>
    <row r="526" spans="1:3">
      <c r="A526" s="59" t="str">
        <f>IF(Summary!E526="","",Summary!E526)</f>
        <v/>
      </c>
      <c r="B526" s="59" t="str">
        <f>IF(Summary!J526="","",Summary!J526)</f>
        <v/>
      </c>
      <c r="C526" s="60" t="str">
        <f>Summary!H526</f>
        <v/>
      </c>
    </row>
    <row r="527" spans="1:3">
      <c r="A527" s="59" t="str">
        <f>IF(Summary!E527="","",Summary!E527)</f>
        <v/>
      </c>
      <c r="B527" s="59" t="str">
        <f>IF(Summary!J527="","",Summary!J527)</f>
        <v/>
      </c>
      <c r="C527" s="60" t="str">
        <f>Summary!H527</f>
        <v/>
      </c>
    </row>
    <row r="528" spans="1:3">
      <c r="A528" s="59" t="str">
        <f>IF(Summary!E528="","",Summary!E528)</f>
        <v/>
      </c>
      <c r="B528" s="59" t="str">
        <f>IF(Summary!J528="","",Summary!J528)</f>
        <v/>
      </c>
      <c r="C528" s="60" t="str">
        <f>Summary!H528</f>
        <v/>
      </c>
    </row>
    <row r="529" spans="1:3">
      <c r="A529" s="59" t="str">
        <f>IF(Summary!E529="","",Summary!E529)</f>
        <v/>
      </c>
      <c r="B529" s="59" t="str">
        <f>IF(Summary!J529="","",Summary!J529)</f>
        <v/>
      </c>
      <c r="C529" s="60" t="str">
        <f>Summary!H529</f>
        <v/>
      </c>
    </row>
    <row r="530" spans="1:3">
      <c r="A530" s="59" t="str">
        <f>IF(Summary!E530="","",Summary!E530)</f>
        <v/>
      </c>
      <c r="B530" s="59" t="str">
        <f>IF(Summary!J530="","",Summary!J530)</f>
        <v/>
      </c>
      <c r="C530" s="60" t="str">
        <f>Summary!H530</f>
        <v/>
      </c>
    </row>
    <row r="531" spans="1:3">
      <c r="A531" s="59" t="str">
        <f>IF(Summary!E531="","",Summary!E531)</f>
        <v/>
      </c>
      <c r="B531" s="59" t="str">
        <f>IF(Summary!J531="","",Summary!J531)</f>
        <v/>
      </c>
      <c r="C531" s="60" t="str">
        <f>Summary!H531</f>
        <v/>
      </c>
    </row>
    <row r="532" spans="1:3">
      <c r="A532" s="59" t="str">
        <f>IF(Summary!E532="","",Summary!E532)</f>
        <v/>
      </c>
      <c r="B532" s="59" t="str">
        <f>IF(Summary!J532="","",Summary!J532)</f>
        <v/>
      </c>
      <c r="C532" s="60" t="str">
        <f>Summary!H532</f>
        <v/>
      </c>
    </row>
    <row r="533" spans="1:3">
      <c r="A533" s="59" t="str">
        <f>IF(Summary!E533="","",Summary!E533)</f>
        <v/>
      </c>
      <c r="B533" s="59" t="str">
        <f>IF(Summary!J533="","",Summary!J533)</f>
        <v/>
      </c>
      <c r="C533" s="60" t="str">
        <f>Summary!H533</f>
        <v/>
      </c>
    </row>
    <row r="534" spans="1:3">
      <c r="A534" s="59" t="str">
        <f>IF(Summary!E534="","",Summary!E534)</f>
        <v/>
      </c>
      <c r="B534" s="59" t="str">
        <f>IF(Summary!J534="","",Summary!J534)</f>
        <v/>
      </c>
      <c r="C534" s="60" t="str">
        <f>Summary!H534</f>
        <v/>
      </c>
    </row>
    <row r="535" spans="1:3">
      <c r="A535" s="59" t="str">
        <f>IF(Summary!E535="","",Summary!E535)</f>
        <v/>
      </c>
      <c r="B535" s="59" t="str">
        <f>IF(Summary!J535="","",Summary!J535)</f>
        <v/>
      </c>
      <c r="C535" s="60" t="str">
        <f>Summary!H535</f>
        <v/>
      </c>
    </row>
    <row r="536" spans="1:3">
      <c r="A536" s="59" t="str">
        <f>IF(Summary!E536="","",Summary!E536)</f>
        <v/>
      </c>
      <c r="B536" s="59" t="str">
        <f>IF(Summary!J536="","",Summary!J536)</f>
        <v/>
      </c>
      <c r="C536" s="60" t="str">
        <f>Summary!H536</f>
        <v/>
      </c>
    </row>
    <row r="537" spans="1:3">
      <c r="A537" s="59" t="str">
        <f>IF(Summary!E537="","",Summary!E537)</f>
        <v/>
      </c>
      <c r="B537" s="59" t="str">
        <f>IF(Summary!J537="","",Summary!J537)</f>
        <v/>
      </c>
      <c r="C537" s="60" t="str">
        <f>Summary!H537</f>
        <v/>
      </c>
    </row>
    <row r="538" spans="1:3">
      <c r="A538" s="59" t="str">
        <f>IF(Summary!E538="","",Summary!E538)</f>
        <v/>
      </c>
      <c r="B538" s="59" t="str">
        <f>IF(Summary!J538="","",Summary!J538)</f>
        <v/>
      </c>
      <c r="C538" s="60" t="str">
        <f>Summary!H538</f>
        <v/>
      </c>
    </row>
    <row r="539" spans="1:3">
      <c r="A539" s="59" t="str">
        <f>IF(Summary!E539="","",Summary!E539)</f>
        <v/>
      </c>
      <c r="B539" s="59" t="str">
        <f>IF(Summary!J539="","",Summary!J539)</f>
        <v/>
      </c>
      <c r="C539" s="60" t="str">
        <f>Summary!H539</f>
        <v/>
      </c>
    </row>
    <row r="540" spans="1:3">
      <c r="A540" s="59" t="str">
        <f>IF(Summary!E540="","",Summary!E540)</f>
        <v/>
      </c>
      <c r="B540" s="59" t="str">
        <f>IF(Summary!J540="","",Summary!J540)</f>
        <v/>
      </c>
      <c r="C540" s="60" t="str">
        <f>Summary!H540</f>
        <v/>
      </c>
    </row>
    <row r="541" spans="1:3">
      <c r="A541" s="59" t="str">
        <f>IF(Summary!E541="","",Summary!E541)</f>
        <v/>
      </c>
      <c r="B541" s="59" t="str">
        <f>IF(Summary!J541="","",Summary!J541)</f>
        <v/>
      </c>
      <c r="C541" s="60" t="str">
        <f>Summary!H541</f>
        <v/>
      </c>
    </row>
    <row r="542" spans="1:3">
      <c r="A542" s="59" t="str">
        <f>IF(Summary!E542="","",Summary!E542)</f>
        <v/>
      </c>
      <c r="B542" s="59" t="str">
        <f>IF(Summary!J542="","",Summary!J542)</f>
        <v/>
      </c>
      <c r="C542" s="60" t="str">
        <f>Summary!H542</f>
        <v/>
      </c>
    </row>
    <row r="543" spans="1:3">
      <c r="A543" s="59" t="str">
        <f>IF(Summary!E543="","",Summary!E543)</f>
        <v/>
      </c>
      <c r="B543" s="59" t="str">
        <f>IF(Summary!J543="","",Summary!J543)</f>
        <v/>
      </c>
      <c r="C543" s="60" t="str">
        <f>Summary!H543</f>
        <v/>
      </c>
    </row>
    <row r="544" spans="1:3">
      <c r="A544" s="59" t="str">
        <f>IF(Summary!E544="","",Summary!E544)</f>
        <v/>
      </c>
      <c r="B544" s="59" t="str">
        <f>IF(Summary!J544="","",Summary!J544)</f>
        <v/>
      </c>
      <c r="C544" s="60" t="str">
        <f>Summary!H544</f>
        <v/>
      </c>
    </row>
    <row r="545" spans="1:3">
      <c r="A545" s="59" t="str">
        <f>IF(Summary!E545="","",Summary!E545)</f>
        <v/>
      </c>
      <c r="B545" s="59" t="str">
        <f>IF(Summary!J545="","",Summary!J545)</f>
        <v/>
      </c>
      <c r="C545" s="60" t="str">
        <f>Summary!H545</f>
        <v/>
      </c>
    </row>
    <row r="546" spans="1:3">
      <c r="A546" s="59" t="str">
        <f>IF(Summary!E546="","",Summary!E546)</f>
        <v/>
      </c>
      <c r="B546" s="59" t="str">
        <f>IF(Summary!J546="","",Summary!J546)</f>
        <v/>
      </c>
      <c r="C546" s="60" t="str">
        <f>Summary!H546</f>
        <v/>
      </c>
    </row>
    <row r="547" spans="1:3">
      <c r="A547" s="59" t="str">
        <f>IF(Summary!E547="","",Summary!E547)</f>
        <v/>
      </c>
      <c r="B547" s="59" t="str">
        <f>IF(Summary!J547="","",Summary!J547)</f>
        <v/>
      </c>
      <c r="C547" s="60" t="str">
        <f>Summary!H547</f>
        <v/>
      </c>
    </row>
    <row r="548" spans="1:3">
      <c r="A548" s="59" t="str">
        <f>IF(Summary!E548="","",Summary!E548)</f>
        <v/>
      </c>
      <c r="B548" s="59" t="str">
        <f>IF(Summary!J548="","",Summary!J548)</f>
        <v/>
      </c>
      <c r="C548" s="60" t="str">
        <f>Summary!H548</f>
        <v/>
      </c>
    </row>
    <row r="549" spans="1:3">
      <c r="A549" s="59" t="str">
        <f>IF(Summary!E549="","",Summary!E549)</f>
        <v/>
      </c>
      <c r="B549" s="59" t="str">
        <f>IF(Summary!J549="","",Summary!J549)</f>
        <v/>
      </c>
      <c r="C549" s="60" t="str">
        <f>Summary!H549</f>
        <v/>
      </c>
    </row>
    <row r="550" spans="1:3">
      <c r="A550" s="59" t="str">
        <f>IF(Summary!E550="","",Summary!E550)</f>
        <v/>
      </c>
      <c r="B550" s="59" t="str">
        <f>IF(Summary!J550="","",Summary!J550)</f>
        <v/>
      </c>
      <c r="C550" s="60" t="str">
        <f>Summary!H550</f>
        <v/>
      </c>
    </row>
    <row r="551" spans="1:3">
      <c r="A551" s="59" t="str">
        <f>IF(Summary!E551="","",Summary!E551)</f>
        <v/>
      </c>
      <c r="B551" s="59" t="str">
        <f>IF(Summary!J551="","",Summary!J551)</f>
        <v/>
      </c>
      <c r="C551" s="60" t="str">
        <f>Summary!H551</f>
        <v/>
      </c>
    </row>
    <row r="552" spans="1:3">
      <c r="A552" s="59" t="str">
        <f>IF(Summary!E552="","",Summary!E552)</f>
        <v/>
      </c>
      <c r="B552" s="59" t="str">
        <f>IF(Summary!J552="","",Summary!J552)</f>
        <v/>
      </c>
      <c r="C552" s="60" t="str">
        <f>Summary!H552</f>
        <v/>
      </c>
    </row>
    <row r="553" spans="1:3">
      <c r="A553" s="59" t="str">
        <f>IF(Summary!E553="","",Summary!E553)</f>
        <v/>
      </c>
      <c r="B553" s="59" t="str">
        <f>IF(Summary!J553="","",Summary!J553)</f>
        <v/>
      </c>
      <c r="C553" s="60" t="str">
        <f>Summary!H553</f>
        <v/>
      </c>
    </row>
    <row r="554" spans="1:3">
      <c r="A554" s="59" t="str">
        <f>IF(Summary!E554="","",Summary!E554)</f>
        <v/>
      </c>
      <c r="B554" s="59" t="str">
        <f>IF(Summary!J554="","",Summary!J554)</f>
        <v/>
      </c>
      <c r="C554" s="60" t="str">
        <f>Summary!H554</f>
        <v/>
      </c>
    </row>
    <row r="555" spans="1:3">
      <c r="A555" s="59" t="str">
        <f>IF(Summary!E555="","",Summary!E555)</f>
        <v/>
      </c>
      <c r="B555" s="59" t="str">
        <f>IF(Summary!J555="","",Summary!J555)</f>
        <v/>
      </c>
      <c r="C555" s="60" t="str">
        <f>Summary!H555</f>
        <v/>
      </c>
    </row>
    <row r="556" spans="1:3">
      <c r="A556" s="59" t="str">
        <f>IF(Summary!E556="","",Summary!E556)</f>
        <v/>
      </c>
      <c r="B556" s="59" t="str">
        <f>IF(Summary!J556="","",Summary!J556)</f>
        <v/>
      </c>
      <c r="C556" s="60" t="str">
        <f>Summary!H556</f>
        <v/>
      </c>
    </row>
    <row r="557" spans="1:3">
      <c r="A557" s="59" t="str">
        <f>IF(Summary!E557="","",Summary!E557)</f>
        <v/>
      </c>
      <c r="B557" s="59" t="str">
        <f>IF(Summary!J557="","",Summary!J557)</f>
        <v/>
      </c>
      <c r="C557" s="60" t="str">
        <f>Summary!H557</f>
        <v/>
      </c>
    </row>
    <row r="558" spans="1:3">
      <c r="A558" s="59" t="str">
        <f>IF(Summary!E558="","",Summary!E558)</f>
        <v/>
      </c>
      <c r="B558" s="59" t="str">
        <f>IF(Summary!J558="","",Summary!J558)</f>
        <v/>
      </c>
      <c r="C558" s="60" t="str">
        <f>Summary!H558</f>
        <v/>
      </c>
    </row>
    <row r="559" spans="1:3">
      <c r="A559" s="59" t="str">
        <f>IF(Summary!E559="","",Summary!E559)</f>
        <v/>
      </c>
      <c r="B559" s="59" t="str">
        <f>IF(Summary!J559="","",Summary!J559)</f>
        <v/>
      </c>
      <c r="C559" s="60" t="str">
        <f>Summary!H559</f>
        <v/>
      </c>
    </row>
    <row r="560" spans="1:3">
      <c r="A560" s="59" t="str">
        <f>IF(Summary!E560="","",Summary!E560)</f>
        <v/>
      </c>
      <c r="B560" s="59" t="str">
        <f>IF(Summary!J560="","",Summary!J560)</f>
        <v/>
      </c>
      <c r="C560" s="60" t="str">
        <f>Summary!H560</f>
        <v/>
      </c>
    </row>
    <row r="561" spans="1:3">
      <c r="A561" s="59" t="str">
        <f>IF(Summary!E561="","",Summary!E561)</f>
        <v/>
      </c>
      <c r="B561" s="59" t="str">
        <f>IF(Summary!J561="","",Summary!J561)</f>
        <v/>
      </c>
      <c r="C561" s="60" t="str">
        <f>Summary!H561</f>
        <v/>
      </c>
    </row>
    <row r="562" spans="1:3">
      <c r="A562" s="59" t="str">
        <f>IF(Summary!E562="","",Summary!E562)</f>
        <v/>
      </c>
      <c r="B562" s="59" t="str">
        <f>IF(Summary!J562="","",Summary!J562)</f>
        <v/>
      </c>
      <c r="C562" s="60" t="str">
        <f>Summary!H562</f>
        <v/>
      </c>
    </row>
    <row r="563" spans="1:3">
      <c r="A563" s="59" t="str">
        <f>IF(Summary!E563="","",Summary!E563)</f>
        <v/>
      </c>
      <c r="B563" s="59" t="str">
        <f>IF(Summary!J563="","",Summary!J563)</f>
        <v/>
      </c>
      <c r="C563" s="60" t="str">
        <f>Summary!H563</f>
        <v/>
      </c>
    </row>
    <row r="564" spans="1:3">
      <c r="A564" s="59" t="str">
        <f>IF(Summary!E564="","",Summary!E564)</f>
        <v/>
      </c>
      <c r="B564" s="59" t="str">
        <f>IF(Summary!J564="","",Summary!J564)</f>
        <v/>
      </c>
      <c r="C564" s="60" t="str">
        <f>Summary!H564</f>
        <v/>
      </c>
    </row>
    <row r="565" spans="1:3">
      <c r="A565" s="59" t="str">
        <f>IF(Summary!E565="","",Summary!E565)</f>
        <v/>
      </c>
      <c r="B565" s="59" t="str">
        <f>IF(Summary!J565="","",Summary!J565)</f>
        <v/>
      </c>
      <c r="C565" s="60" t="str">
        <f>Summary!H565</f>
        <v/>
      </c>
    </row>
    <row r="566" spans="1:3">
      <c r="A566" s="59" t="str">
        <f>IF(Summary!E566="","",Summary!E566)</f>
        <v/>
      </c>
      <c r="B566" s="59" t="str">
        <f>IF(Summary!J566="","",Summary!J566)</f>
        <v/>
      </c>
      <c r="C566" s="60" t="str">
        <f>Summary!H566</f>
        <v/>
      </c>
    </row>
    <row r="567" spans="1:3">
      <c r="A567" s="59" t="str">
        <f>IF(Summary!E567="","",Summary!E567)</f>
        <v/>
      </c>
      <c r="B567" s="59" t="str">
        <f>IF(Summary!J567="","",Summary!J567)</f>
        <v/>
      </c>
      <c r="C567" s="60" t="str">
        <f>Summary!H567</f>
        <v/>
      </c>
    </row>
    <row r="568" spans="1:3">
      <c r="A568" s="59" t="str">
        <f>IF(Summary!E568="","",Summary!E568)</f>
        <v/>
      </c>
      <c r="B568" s="59" t="str">
        <f>IF(Summary!J568="","",Summary!J568)</f>
        <v/>
      </c>
      <c r="C568" s="60" t="str">
        <f>Summary!H568</f>
        <v/>
      </c>
    </row>
    <row r="569" spans="1:3">
      <c r="A569" s="59" t="str">
        <f>IF(Summary!E569="","",Summary!E569)</f>
        <v/>
      </c>
      <c r="B569" s="59" t="str">
        <f>IF(Summary!J569="","",Summary!J569)</f>
        <v/>
      </c>
      <c r="C569" s="60" t="str">
        <f>Summary!H569</f>
        <v/>
      </c>
    </row>
    <row r="570" spans="1:3">
      <c r="A570" s="59" t="str">
        <f>IF(Summary!E570="","",Summary!E570)</f>
        <v/>
      </c>
      <c r="B570" s="59" t="str">
        <f>IF(Summary!J570="","",Summary!J570)</f>
        <v/>
      </c>
      <c r="C570" s="60" t="str">
        <f>Summary!H570</f>
        <v/>
      </c>
    </row>
    <row r="571" spans="1:3">
      <c r="A571" s="59" t="str">
        <f>IF(Summary!E571="","",Summary!E571)</f>
        <v/>
      </c>
      <c r="B571" s="59" t="str">
        <f>IF(Summary!J571="","",Summary!J571)</f>
        <v/>
      </c>
      <c r="C571" s="60" t="str">
        <f>Summary!H571</f>
        <v/>
      </c>
    </row>
    <row r="572" spans="1:3">
      <c r="A572" s="59" t="str">
        <f>IF(Summary!E572="","",Summary!E572)</f>
        <v/>
      </c>
      <c r="B572" s="59" t="str">
        <f>IF(Summary!J572="","",Summary!J572)</f>
        <v/>
      </c>
      <c r="C572" s="60" t="str">
        <f>Summary!H572</f>
        <v/>
      </c>
    </row>
    <row r="573" spans="1:3">
      <c r="A573" s="59" t="str">
        <f>IF(Summary!E573="","",Summary!E573)</f>
        <v/>
      </c>
      <c r="B573" s="59" t="str">
        <f>IF(Summary!J573="","",Summary!J573)</f>
        <v/>
      </c>
      <c r="C573" s="60" t="str">
        <f>Summary!H573</f>
        <v/>
      </c>
    </row>
    <row r="574" spans="1:3">
      <c r="A574" s="59" t="str">
        <f>IF(Summary!E574="","",Summary!E574)</f>
        <v/>
      </c>
      <c r="B574" s="59" t="str">
        <f>IF(Summary!J574="","",Summary!J574)</f>
        <v/>
      </c>
      <c r="C574" s="60" t="str">
        <f>Summary!H574</f>
        <v/>
      </c>
    </row>
    <row r="575" spans="1:3">
      <c r="A575" s="59" t="str">
        <f>IF(Summary!E575="","",Summary!E575)</f>
        <v/>
      </c>
      <c r="B575" s="59" t="str">
        <f>IF(Summary!J575="","",Summary!J575)</f>
        <v/>
      </c>
      <c r="C575" s="60" t="str">
        <f>Summary!H575</f>
        <v/>
      </c>
    </row>
    <row r="576" spans="1:3">
      <c r="A576" s="59" t="str">
        <f>IF(Summary!E576="","",Summary!E576)</f>
        <v/>
      </c>
      <c r="B576" s="59" t="str">
        <f>IF(Summary!J576="","",Summary!J576)</f>
        <v/>
      </c>
      <c r="C576" s="60" t="str">
        <f>Summary!H576</f>
        <v/>
      </c>
    </row>
    <row r="577" spans="1:3">
      <c r="A577" s="59" t="str">
        <f>IF(Summary!E577="","",Summary!E577)</f>
        <v/>
      </c>
      <c r="B577" s="59" t="str">
        <f>IF(Summary!J577="","",Summary!J577)</f>
        <v/>
      </c>
      <c r="C577" s="60" t="str">
        <f>Summary!H577</f>
        <v/>
      </c>
    </row>
    <row r="578" spans="1:3">
      <c r="A578" s="59" t="str">
        <f>IF(Summary!E578="","",Summary!E578)</f>
        <v/>
      </c>
      <c r="B578" s="59" t="str">
        <f>IF(Summary!J578="","",Summary!J578)</f>
        <v/>
      </c>
      <c r="C578" s="60" t="str">
        <f>Summary!H578</f>
        <v/>
      </c>
    </row>
    <row r="579" spans="1:3">
      <c r="A579" s="59" t="str">
        <f>IF(Summary!E579="","",Summary!E579)</f>
        <v/>
      </c>
      <c r="B579" s="59" t="str">
        <f>IF(Summary!J579="","",Summary!J579)</f>
        <v/>
      </c>
      <c r="C579" s="60" t="str">
        <f>Summary!H579</f>
        <v/>
      </c>
    </row>
    <row r="580" spans="1:3">
      <c r="A580" s="59" t="str">
        <f>IF(Summary!E580="","",Summary!E580)</f>
        <v/>
      </c>
      <c r="B580" s="59" t="str">
        <f>IF(Summary!J580="","",Summary!J580)</f>
        <v/>
      </c>
      <c r="C580" s="60" t="str">
        <f>Summary!H580</f>
        <v/>
      </c>
    </row>
    <row r="581" spans="1:3">
      <c r="A581" s="59" t="str">
        <f>IF(Summary!E581="","",Summary!E581)</f>
        <v/>
      </c>
      <c r="B581" s="59" t="str">
        <f>IF(Summary!J581="","",Summary!J581)</f>
        <v/>
      </c>
      <c r="C581" s="60" t="str">
        <f>Summary!H581</f>
        <v/>
      </c>
    </row>
    <row r="582" spans="1:3">
      <c r="A582" s="59" t="str">
        <f>IF(Summary!E582="","",Summary!E582)</f>
        <v/>
      </c>
      <c r="B582" s="59" t="str">
        <f>IF(Summary!J582="","",Summary!J582)</f>
        <v/>
      </c>
      <c r="C582" s="60" t="str">
        <f>Summary!H582</f>
        <v/>
      </c>
    </row>
    <row r="583" spans="1:3">
      <c r="A583" s="59" t="str">
        <f>IF(Summary!E583="","",Summary!E583)</f>
        <v/>
      </c>
      <c r="B583" s="59" t="str">
        <f>IF(Summary!J583="","",Summary!J583)</f>
        <v/>
      </c>
      <c r="C583" s="60" t="str">
        <f>Summary!H583</f>
        <v/>
      </c>
    </row>
    <row r="584" spans="1:3">
      <c r="A584" s="59" t="str">
        <f>IF(Summary!E584="","",Summary!E584)</f>
        <v/>
      </c>
      <c r="B584" s="59" t="str">
        <f>IF(Summary!J584="","",Summary!J584)</f>
        <v/>
      </c>
      <c r="C584" s="60" t="str">
        <f>Summary!H584</f>
        <v/>
      </c>
    </row>
    <row r="585" spans="1:3">
      <c r="A585" s="59" t="str">
        <f>IF(Summary!E585="","",Summary!E585)</f>
        <v/>
      </c>
      <c r="B585" s="59" t="str">
        <f>IF(Summary!J585="","",Summary!J585)</f>
        <v/>
      </c>
      <c r="C585" s="60" t="str">
        <f>Summary!H585</f>
        <v/>
      </c>
    </row>
    <row r="586" spans="1:3">
      <c r="A586" s="59" t="str">
        <f>IF(Summary!E586="","",Summary!E586)</f>
        <v/>
      </c>
      <c r="B586" s="59" t="str">
        <f>IF(Summary!J586="","",Summary!J586)</f>
        <v/>
      </c>
      <c r="C586" s="60" t="str">
        <f>Summary!H586</f>
        <v/>
      </c>
    </row>
    <row r="587" spans="1:3">
      <c r="A587" s="59" t="str">
        <f>IF(Summary!E587="","",Summary!E587)</f>
        <v/>
      </c>
      <c r="B587" s="59" t="str">
        <f>IF(Summary!J587="","",Summary!J587)</f>
        <v/>
      </c>
      <c r="C587" s="60" t="str">
        <f>Summary!H587</f>
        <v/>
      </c>
    </row>
    <row r="588" spans="1:3">
      <c r="A588" s="59" t="str">
        <f>IF(Summary!E588="","",Summary!E588)</f>
        <v/>
      </c>
      <c r="B588" s="59" t="str">
        <f>IF(Summary!J588="","",Summary!J588)</f>
        <v/>
      </c>
      <c r="C588" s="60" t="str">
        <f>Summary!H588</f>
        <v/>
      </c>
    </row>
    <row r="589" spans="1:3">
      <c r="A589" s="59" t="str">
        <f>IF(Summary!E589="","",Summary!E589)</f>
        <v/>
      </c>
      <c r="B589" s="59" t="str">
        <f>IF(Summary!J589="","",Summary!J589)</f>
        <v/>
      </c>
      <c r="C589" s="60" t="str">
        <f>Summary!H589</f>
        <v/>
      </c>
    </row>
    <row r="590" spans="1:3">
      <c r="A590" s="59" t="str">
        <f>IF(Summary!E590="","",Summary!E590)</f>
        <v/>
      </c>
      <c r="B590" s="59" t="str">
        <f>IF(Summary!J590="","",Summary!J590)</f>
        <v/>
      </c>
      <c r="C590" s="60" t="str">
        <f>Summary!H590</f>
        <v/>
      </c>
    </row>
    <row r="591" spans="1:3">
      <c r="A591" s="59" t="str">
        <f>IF(Summary!E591="","",Summary!E591)</f>
        <v/>
      </c>
      <c r="B591" s="59" t="str">
        <f>IF(Summary!J591="","",Summary!J591)</f>
        <v/>
      </c>
      <c r="C591" s="60" t="str">
        <f>Summary!H591</f>
        <v/>
      </c>
    </row>
    <row r="592" spans="1:3">
      <c r="A592" s="59" t="str">
        <f>IF(Summary!E592="","",Summary!E592)</f>
        <v/>
      </c>
      <c r="B592" s="59" t="str">
        <f>IF(Summary!J592="","",Summary!J592)</f>
        <v/>
      </c>
      <c r="C592" s="60" t="str">
        <f>Summary!H592</f>
        <v/>
      </c>
    </row>
    <row r="593" spans="1:3">
      <c r="A593" s="59" t="str">
        <f>IF(Summary!E593="","",Summary!E593)</f>
        <v/>
      </c>
      <c r="B593" s="59" t="str">
        <f>IF(Summary!J593="","",Summary!J593)</f>
        <v/>
      </c>
      <c r="C593" s="60" t="str">
        <f>Summary!H593</f>
        <v/>
      </c>
    </row>
    <row r="594" spans="1:3">
      <c r="A594" s="59" t="str">
        <f>IF(Summary!E594="","",Summary!E594)</f>
        <v/>
      </c>
      <c r="B594" s="59" t="str">
        <f>IF(Summary!J594="","",Summary!J594)</f>
        <v/>
      </c>
      <c r="C594" s="60" t="str">
        <f>Summary!H594</f>
        <v/>
      </c>
    </row>
    <row r="595" spans="1:3">
      <c r="A595" s="59" t="str">
        <f>IF(Summary!E595="","",Summary!E595)</f>
        <v/>
      </c>
      <c r="B595" s="59" t="str">
        <f>IF(Summary!J595="","",Summary!J595)</f>
        <v/>
      </c>
      <c r="C595" s="60" t="str">
        <f>Summary!H595</f>
        <v/>
      </c>
    </row>
    <row r="596" spans="1:3">
      <c r="A596" s="59" t="str">
        <f>IF(Summary!E596="","",Summary!E596)</f>
        <v/>
      </c>
      <c r="B596" s="59" t="str">
        <f>IF(Summary!J596="","",Summary!J596)</f>
        <v/>
      </c>
      <c r="C596" s="60" t="str">
        <f>Summary!H596</f>
        <v/>
      </c>
    </row>
    <row r="597" spans="1:3">
      <c r="A597" s="59" t="str">
        <f>IF(Summary!E597="","",Summary!E597)</f>
        <v/>
      </c>
      <c r="B597" s="59" t="str">
        <f>IF(Summary!J597="","",Summary!J597)</f>
        <v/>
      </c>
      <c r="C597" s="60" t="str">
        <f>Summary!H597</f>
        <v/>
      </c>
    </row>
    <row r="598" spans="1:3">
      <c r="A598" s="59" t="str">
        <f>IF(Summary!E598="","",Summary!E598)</f>
        <v/>
      </c>
      <c r="B598" s="59" t="str">
        <f>IF(Summary!J598="","",Summary!J598)</f>
        <v/>
      </c>
      <c r="C598" s="60" t="str">
        <f>Summary!H598</f>
        <v/>
      </c>
    </row>
    <row r="599" spans="1:3">
      <c r="A599" s="59" t="str">
        <f>IF(Summary!E599="","",Summary!E599)</f>
        <v/>
      </c>
      <c r="B599" s="59" t="str">
        <f>IF(Summary!J599="","",Summary!J599)</f>
        <v/>
      </c>
      <c r="C599" s="60" t="str">
        <f>Summary!H599</f>
        <v/>
      </c>
    </row>
    <row r="600" spans="1:3">
      <c r="A600" s="59" t="str">
        <f>IF(Summary!E600="","",Summary!E600)</f>
        <v/>
      </c>
      <c r="B600" s="59" t="str">
        <f>IF(Summary!J600="","",Summary!J600)</f>
        <v/>
      </c>
      <c r="C600" s="60" t="str">
        <f>Summary!H600</f>
        <v/>
      </c>
    </row>
    <row r="601" spans="1:3">
      <c r="A601" s="59" t="str">
        <f>IF(Summary!E601="","",Summary!E601)</f>
        <v/>
      </c>
      <c r="B601" s="59" t="str">
        <f>IF(Summary!J601="","",Summary!J601)</f>
        <v/>
      </c>
      <c r="C601" s="60" t="str">
        <f>Summary!H601</f>
        <v/>
      </c>
    </row>
    <row r="602" spans="1:3">
      <c r="A602" s="59" t="str">
        <f>IF(Summary!E602="","",Summary!E602)</f>
        <v/>
      </c>
      <c r="B602" s="59" t="str">
        <f>IF(Summary!J602="","",Summary!J602)</f>
        <v/>
      </c>
      <c r="C602" s="60" t="str">
        <f>Summary!H602</f>
        <v/>
      </c>
    </row>
    <row r="603" spans="1:3">
      <c r="A603" s="59" t="str">
        <f>IF(Summary!E603="","",Summary!E603)</f>
        <v/>
      </c>
      <c r="B603" s="59" t="str">
        <f>IF(Summary!J603="","",Summary!J603)</f>
        <v/>
      </c>
      <c r="C603" s="60" t="str">
        <f>Summary!H603</f>
        <v/>
      </c>
    </row>
    <row r="604" spans="1:3">
      <c r="A604" s="59" t="str">
        <f>IF(Summary!E604="","",Summary!E604)</f>
        <v/>
      </c>
      <c r="B604" s="59" t="str">
        <f>IF(Summary!J604="","",Summary!J604)</f>
        <v/>
      </c>
      <c r="C604" s="60" t="str">
        <f>Summary!H604</f>
        <v/>
      </c>
    </row>
    <row r="605" spans="1:3">
      <c r="A605" s="59" t="str">
        <f>IF(Summary!E605="","",Summary!E605)</f>
        <v/>
      </c>
      <c r="B605" s="59" t="str">
        <f>IF(Summary!J605="","",Summary!J605)</f>
        <v/>
      </c>
      <c r="C605" s="60" t="str">
        <f>Summary!H605</f>
        <v/>
      </c>
    </row>
    <row r="606" spans="1:3">
      <c r="A606" s="59" t="str">
        <f>IF(Summary!E606="","",Summary!E606)</f>
        <v/>
      </c>
      <c r="B606" s="59" t="str">
        <f>IF(Summary!J606="","",Summary!J606)</f>
        <v/>
      </c>
      <c r="C606" s="60" t="str">
        <f>Summary!H606</f>
        <v/>
      </c>
    </row>
    <row r="607" spans="1:3">
      <c r="A607" s="59" t="str">
        <f>IF(Summary!E607="","",Summary!E607)</f>
        <v/>
      </c>
      <c r="B607" s="59" t="str">
        <f>IF(Summary!J607="","",Summary!J607)</f>
        <v/>
      </c>
      <c r="C607" s="60" t="str">
        <f>Summary!H607</f>
        <v/>
      </c>
    </row>
    <row r="608" spans="1:3">
      <c r="A608" s="59" t="str">
        <f>IF(Summary!E608="","",Summary!E608)</f>
        <v/>
      </c>
      <c r="B608" s="59" t="str">
        <f>IF(Summary!J608="","",Summary!J608)</f>
        <v/>
      </c>
      <c r="C608" s="60" t="str">
        <f>Summary!H608</f>
        <v/>
      </c>
    </row>
    <row r="609" spans="1:3">
      <c r="A609" s="59" t="str">
        <f>IF(Summary!E609="","",Summary!E609)</f>
        <v/>
      </c>
      <c r="B609" s="59" t="str">
        <f>IF(Summary!J609="","",Summary!J609)</f>
        <v/>
      </c>
      <c r="C609" s="60" t="str">
        <f>Summary!H609</f>
        <v/>
      </c>
    </row>
    <row r="610" spans="1:3">
      <c r="A610" s="59" t="str">
        <f>IF(Summary!E610="","",Summary!E610)</f>
        <v/>
      </c>
      <c r="B610" s="59" t="str">
        <f>IF(Summary!J610="","",Summary!J610)</f>
        <v/>
      </c>
      <c r="C610" s="60" t="str">
        <f>Summary!H610</f>
        <v/>
      </c>
    </row>
    <row r="611" spans="1:3">
      <c r="A611" s="59" t="str">
        <f>IF(Summary!E611="","",Summary!E611)</f>
        <v/>
      </c>
      <c r="B611" s="59" t="str">
        <f>IF(Summary!J611="","",Summary!J611)</f>
        <v/>
      </c>
      <c r="C611" s="60" t="str">
        <f>Summary!H611</f>
        <v/>
      </c>
    </row>
    <row r="612" spans="1:3">
      <c r="A612" s="59" t="str">
        <f>IF(Summary!E612="","",Summary!E612)</f>
        <v/>
      </c>
      <c r="B612" s="59" t="str">
        <f>IF(Summary!J612="","",Summary!J612)</f>
        <v/>
      </c>
      <c r="C612" s="60" t="str">
        <f>Summary!H612</f>
        <v/>
      </c>
    </row>
    <row r="613" spans="1:3">
      <c r="A613" s="59" t="str">
        <f>IF(Summary!E613="","",Summary!E613)</f>
        <v/>
      </c>
      <c r="B613" s="59" t="str">
        <f>IF(Summary!J613="","",Summary!J613)</f>
        <v/>
      </c>
      <c r="C613" s="60" t="str">
        <f>Summary!H613</f>
        <v/>
      </c>
    </row>
    <row r="614" spans="1:3">
      <c r="A614" s="59" t="str">
        <f>IF(Summary!E614="","",Summary!E614)</f>
        <v/>
      </c>
      <c r="B614" s="59" t="str">
        <f>IF(Summary!J614="","",Summary!J614)</f>
        <v/>
      </c>
      <c r="C614" s="60" t="str">
        <f>Summary!H614</f>
        <v/>
      </c>
    </row>
    <row r="615" spans="1:3">
      <c r="A615" s="59" t="str">
        <f>IF(Summary!E615="","",Summary!E615)</f>
        <v/>
      </c>
      <c r="B615" s="59" t="str">
        <f>IF(Summary!J615="","",Summary!J615)</f>
        <v/>
      </c>
      <c r="C615" s="60" t="str">
        <f>Summary!H615</f>
        <v/>
      </c>
    </row>
    <row r="616" spans="1:3">
      <c r="A616" s="59" t="str">
        <f>IF(Summary!E616="","",Summary!E616)</f>
        <v/>
      </c>
      <c r="B616" s="59" t="str">
        <f>IF(Summary!J616="","",Summary!J616)</f>
        <v/>
      </c>
      <c r="C616" s="60" t="str">
        <f>Summary!H616</f>
        <v/>
      </c>
    </row>
    <row r="617" spans="1:3">
      <c r="A617" s="59" t="str">
        <f>IF(Summary!E617="","",Summary!E617)</f>
        <v/>
      </c>
      <c r="B617" s="59" t="str">
        <f>IF(Summary!J617="","",Summary!J617)</f>
        <v/>
      </c>
      <c r="C617" s="60" t="str">
        <f>Summary!H617</f>
        <v/>
      </c>
    </row>
    <row r="618" spans="1:3">
      <c r="A618" s="59" t="str">
        <f>IF(Summary!E618="","",Summary!E618)</f>
        <v/>
      </c>
      <c r="B618" s="59" t="str">
        <f>IF(Summary!J618="","",Summary!J618)</f>
        <v/>
      </c>
      <c r="C618" s="60" t="str">
        <f>Summary!H618</f>
        <v/>
      </c>
    </row>
    <row r="619" spans="1:3">
      <c r="A619" s="59" t="str">
        <f>IF(Summary!E619="","",Summary!E619)</f>
        <v/>
      </c>
      <c r="B619" s="59" t="str">
        <f>IF(Summary!J619="","",Summary!J619)</f>
        <v/>
      </c>
      <c r="C619" s="60" t="str">
        <f>Summary!H619</f>
        <v/>
      </c>
    </row>
    <row r="620" spans="1:3">
      <c r="A620" s="59" t="str">
        <f>IF(Summary!E620="","",Summary!E620)</f>
        <v/>
      </c>
      <c r="B620" s="59" t="str">
        <f>IF(Summary!J620="","",Summary!J620)</f>
        <v/>
      </c>
      <c r="C620" s="60" t="str">
        <f>Summary!H620</f>
        <v/>
      </c>
    </row>
    <row r="621" spans="1:3">
      <c r="A621" s="59" t="str">
        <f>IF(Summary!E621="","",Summary!E621)</f>
        <v/>
      </c>
      <c r="B621" s="59" t="str">
        <f>IF(Summary!J621="","",Summary!J621)</f>
        <v/>
      </c>
      <c r="C621" s="60" t="str">
        <f>Summary!H621</f>
        <v/>
      </c>
    </row>
    <row r="622" spans="1:3">
      <c r="A622" s="59" t="str">
        <f>IF(Summary!E622="","",Summary!E622)</f>
        <v/>
      </c>
      <c r="B622" s="59" t="str">
        <f>IF(Summary!J622="","",Summary!J622)</f>
        <v/>
      </c>
      <c r="C622" s="60" t="str">
        <f>Summary!H622</f>
        <v/>
      </c>
    </row>
    <row r="623" spans="1:3">
      <c r="A623" s="59" t="str">
        <f>IF(Summary!E623="","",Summary!E623)</f>
        <v/>
      </c>
      <c r="B623" s="59" t="str">
        <f>IF(Summary!J623="","",Summary!J623)</f>
        <v/>
      </c>
      <c r="C623" s="60" t="str">
        <f>Summary!H623</f>
        <v/>
      </c>
    </row>
    <row r="624" spans="1:3">
      <c r="A624" s="59" t="str">
        <f>IF(Summary!E624="","",Summary!E624)</f>
        <v/>
      </c>
      <c r="B624" s="59" t="str">
        <f>IF(Summary!J624="","",Summary!J624)</f>
        <v/>
      </c>
      <c r="C624" s="60" t="str">
        <f>Summary!H624</f>
        <v/>
      </c>
    </row>
    <row r="625" spans="1:3">
      <c r="A625" s="59" t="str">
        <f>IF(Summary!E625="","",Summary!E625)</f>
        <v/>
      </c>
      <c r="B625" s="59" t="str">
        <f>IF(Summary!J625="","",Summary!J625)</f>
        <v/>
      </c>
      <c r="C625" s="60" t="str">
        <f>Summary!H625</f>
        <v/>
      </c>
    </row>
    <row r="626" spans="1:3">
      <c r="A626" s="59" t="str">
        <f>IF(Summary!E626="","",Summary!E626)</f>
        <v/>
      </c>
      <c r="B626" s="59" t="str">
        <f>IF(Summary!J626="","",Summary!J626)</f>
        <v/>
      </c>
      <c r="C626" s="60" t="str">
        <f>Summary!H626</f>
        <v/>
      </c>
    </row>
    <row r="627" spans="1:3">
      <c r="A627" s="59" t="str">
        <f>IF(Summary!E627="","",Summary!E627)</f>
        <v/>
      </c>
      <c r="B627" s="59" t="str">
        <f>IF(Summary!J627="","",Summary!J627)</f>
        <v/>
      </c>
      <c r="C627" s="60" t="str">
        <f>Summary!H627</f>
        <v/>
      </c>
    </row>
    <row r="628" spans="1:3">
      <c r="A628" s="59" t="str">
        <f>IF(Summary!E628="","",Summary!E628)</f>
        <v/>
      </c>
      <c r="B628" s="59" t="str">
        <f>IF(Summary!J628="","",Summary!J628)</f>
        <v/>
      </c>
      <c r="C628" s="60" t="str">
        <f>Summary!H628</f>
        <v/>
      </c>
    </row>
    <row r="629" spans="1:3">
      <c r="A629" s="59" t="str">
        <f>IF(Summary!E629="","",Summary!E629)</f>
        <v/>
      </c>
      <c r="B629" s="59" t="str">
        <f>IF(Summary!J629="","",Summary!J629)</f>
        <v/>
      </c>
      <c r="C629" s="60" t="str">
        <f>Summary!H629</f>
        <v/>
      </c>
    </row>
    <row r="630" spans="1:3">
      <c r="A630" s="59" t="str">
        <f>IF(Summary!E630="","",Summary!E630)</f>
        <v/>
      </c>
      <c r="B630" s="59" t="str">
        <f>IF(Summary!J630="","",Summary!J630)</f>
        <v/>
      </c>
      <c r="C630" s="60" t="str">
        <f>Summary!H630</f>
        <v/>
      </c>
    </row>
    <row r="631" spans="1:3">
      <c r="A631" s="59" t="str">
        <f>IF(Summary!E631="","",Summary!E631)</f>
        <v/>
      </c>
      <c r="B631" s="59" t="str">
        <f>IF(Summary!J631="","",Summary!J631)</f>
        <v/>
      </c>
      <c r="C631" s="60" t="str">
        <f>Summary!H631</f>
        <v/>
      </c>
    </row>
    <row r="632" spans="1:3">
      <c r="A632" s="59" t="str">
        <f>IF(Summary!E632="","",Summary!E632)</f>
        <v/>
      </c>
      <c r="B632" s="59" t="str">
        <f>IF(Summary!J632="","",Summary!J632)</f>
        <v/>
      </c>
      <c r="C632" s="60" t="str">
        <f>Summary!H632</f>
        <v/>
      </c>
    </row>
    <row r="633" spans="1:3">
      <c r="A633" s="59" t="str">
        <f>IF(Summary!E633="","",Summary!E633)</f>
        <v/>
      </c>
      <c r="B633" s="59" t="str">
        <f>IF(Summary!J633="","",Summary!J633)</f>
        <v/>
      </c>
      <c r="C633" s="60" t="str">
        <f>Summary!H633</f>
        <v/>
      </c>
    </row>
    <row r="634" spans="1:3">
      <c r="A634" s="59" t="str">
        <f>IF(Summary!E634="","",Summary!E634)</f>
        <v/>
      </c>
      <c r="B634" s="59" t="str">
        <f>IF(Summary!J634="","",Summary!J634)</f>
        <v/>
      </c>
      <c r="C634" s="60" t="str">
        <f>Summary!H634</f>
        <v/>
      </c>
    </row>
    <row r="635" spans="1:3">
      <c r="A635" s="59" t="str">
        <f>IF(Summary!E635="","",Summary!E635)</f>
        <v/>
      </c>
      <c r="B635" s="59" t="str">
        <f>IF(Summary!J635="","",Summary!J635)</f>
        <v/>
      </c>
      <c r="C635" s="60" t="str">
        <f>Summary!H635</f>
        <v/>
      </c>
    </row>
    <row r="636" spans="1:3">
      <c r="A636" s="59" t="str">
        <f>IF(Summary!E636="","",Summary!E636)</f>
        <v/>
      </c>
      <c r="B636" s="59" t="str">
        <f>IF(Summary!J636="","",Summary!J636)</f>
        <v/>
      </c>
      <c r="C636" s="60" t="str">
        <f>Summary!H636</f>
        <v/>
      </c>
    </row>
    <row r="637" spans="1:3">
      <c r="A637" s="59" t="str">
        <f>IF(Summary!E637="","",Summary!E637)</f>
        <v/>
      </c>
      <c r="B637" s="59" t="str">
        <f>IF(Summary!J637="","",Summary!J637)</f>
        <v/>
      </c>
      <c r="C637" s="60" t="str">
        <f>Summary!H637</f>
        <v/>
      </c>
    </row>
    <row r="638" spans="1:3">
      <c r="A638" s="59" t="str">
        <f>IF(Summary!E638="","",Summary!E638)</f>
        <v/>
      </c>
      <c r="B638" s="59" t="str">
        <f>IF(Summary!J638="","",Summary!J638)</f>
        <v/>
      </c>
      <c r="C638" s="60" t="str">
        <f>Summary!H638</f>
        <v/>
      </c>
    </row>
    <row r="639" spans="1:3">
      <c r="A639" s="59" t="str">
        <f>IF(Summary!E639="","",Summary!E639)</f>
        <v/>
      </c>
      <c r="B639" s="59" t="str">
        <f>IF(Summary!J639="","",Summary!J639)</f>
        <v/>
      </c>
      <c r="C639" s="60" t="str">
        <f>Summary!H639</f>
        <v/>
      </c>
    </row>
    <row r="640" spans="1:3">
      <c r="A640" s="59" t="str">
        <f>IF(Summary!E640="","",Summary!E640)</f>
        <v/>
      </c>
      <c r="B640" s="59" t="str">
        <f>IF(Summary!J640="","",Summary!J640)</f>
        <v/>
      </c>
      <c r="C640" s="60" t="str">
        <f>Summary!H640</f>
        <v/>
      </c>
    </row>
    <row r="641" spans="1:3">
      <c r="A641" s="59" t="str">
        <f>IF(Summary!E641="","",Summary!E641)</f>
        <v/>
      </c>
      <c r="B641" s="59" t="str">
        <f>IF(Summary!J641="","",Summary!J641)</f>
        <v/>
      </c>
      <c r="C641" s="60" t="str">
        <f>Summary!H641</f>
        <v/>
      </c>
    </row>
    <row r="642" spans="1:3">
      <c r="A642" s="59" t="str">
        <f>IF(Summary!E642="","",Summary!E642)</f>
        <v/>
      </c>
      <c r="B642" s="59" t="str">
        <f>IF(Summary!J642="","",Summary!J642)</f>
        <v/>
      </c>
      <c r="C642" s="60" t="str">
        <f>Summary!H642</f>
        <v/>
      </c>
    </row>
    <row r="643" spans="1:3">
      <c r="A643" s="59" t="str">
        <f>IF(Summary!E643="","",Summary!E643)</f>
        <v/>
      </c>
      <c r="B643" s="59" t="str">
        <f>IF(Summary!J643="","",Summary!J643)</f>
        <v/>
      </c>
      <c r="C643" s="60" t="str">
        <f>Summary!H643</f>
        <v/>
      </c>
    </row>
    <row r="644" spans="1:3">
      <c r="A644" s="59" t="str">
        <f>IF(Summary!E644="","",Summary!E644)</f>
        <v/>
      </c>
      <c r="B644" s="59" t="str">
        <f>IF(Summary!J644="","",Summary!J644)</f>
        <v/>
      </c>
      <c r="C644" s="60" t="str">
        <f>Summary!H644</f>
        <v/>
      </c>
    </row>
    <row r="645" spans="1:3">
      <c r="A645" s="59" t="str">
        <f>IF(Summary!E645="","",Summary!E645)</f>
        <v/>
      </c>
      <c r="B645" s="59" t="str">
        <f>IF(Summary!J645="","",Summary!J645)</f>
        <v/>
      </c>
      <c r="C645" s="60" t="str">
        <f>Summary!H645</f>
        <v/>
      </c>
    </row>
    <row r="646" spans="1:3">
      <c r="A646" s="59" t="str">
        <f>IF(Summary!E646="","",Summary!E646)</f>
        <v/>
      </c>
      <c r="B646" s="59" t="str">
        <f>IF(Summary!J646="","",Summary!J646)</f>
        <v/>
      </c>
      <c r="C646" s="60" t="str">
        <f>Summary!H646</f>
        <v/>
      </c>
    </row>
    <row r="647" spans="1:3">
      <c r="A647" s="59" t="str">
        <f>IF(Summary!E647="","",Summary!E647)</f>
        <v/>
      </c>
      <c r="B647" s="59" t="str">
        <f>IF(Summary!J647="","",Summary!J647)</f>
        <v/>
      </c>
      <c r="C647" s="60" t="str">
        <f>Summary!H647</f>
        <v/>
      </c>
    </row>
    <row r="648" spans="1:3">
      <c r="A648" s="59" t="str">
        <f>IF(Summary!E648="","",Summary!E648)</f>
        <v/>
      </c>
      <c r="B648" s="59" t="str">
        <f>IF(Summary!J648="","",Summary!J648)</f>
        <v/>
      </c>
      <c r="C648" s="60" t="str">
        <f>Summary!H648</f>
        <v/>
      </c>
    </row>
    <row r="649" spans="1:3">
      <c r="A649" s="59" t="str">
        <f>IF(Summary!E649="","",Summary!E649)</f>
        <v/>
      </c>
      <c r="B649" s="59" t="str">
        <f>IF(Summary!J649="","",Summary!J649)</f>
        <v/>
      </c>
      <c r="C649" s="60" t="str">
        <f>Summary!H649</f>
        <v/>
      </c>
    </row>
    <row r="650" spans="1:3">
      <c r="A650" s="59" t="str">
        <f>IF(Summary!E650="","",Summary!E650)</f>
        <v/>
      </c>
      <c r="B650" s="59" t="str">
        <f>IF(Summary!J650="","",Summary!J650)</f>
        <v/>
      </c>
      <c r="C650" s="60" t="str">
        <f>Summary!H650</f>
        <v/>
      </c>
    </row>
    <row r="651" spans="1:3">
      <c r="A651" s="59" t="str">
        <f>IF(Summary!E651="","",Summary!E651)</f>
        <v/>
      </c>
      <c r="B651" s="59" t="str">
        <f>IF(Summary!J651="","",Summary!J651)</f>
        <v/>
      </c>
      <c r="C651" s="60" t="str">
        <f>Summary!H651</f>
        <v/>
      </c>
    </row>
    <row r="652" spans="1:3">
      <c r="A652" s="59" t="str">
        <f>IF(Summary!E652="","",Summary!E652)</f>
        <v/>
      </c>
      <c r="B652" s="59" t="str">
        <f>IF(Summary!J652="","",Summary!J652)</f>
        <v/>
      </c>
      <c r="C652" s="60" t="str">
        <f>Summary!H652</f>
        <v/>
      </c>
    </row>
    <row r="653" spans="1:3">
      <c r="A653" s="59" t="str">
        <f>IF(Summary!E653="","",Summary!E653)</f>
        <v/>
      </c>
      <c r="B653" s="59" t="str">
        <f>IF(Summary!J653="","",Summary!J653)</f>
        <v/>
      </c>
      <c r="C653" s="60" t="str">
        <f>Summary!H653</f>
        <v/>
      </c>
    </row>
    <row r="654" spans="1:3">
      <c r="A654" s="59" t="str">
        <f>IF(Summary!E654="","",Summary!E654)</f>
        <v/>
      </c>
      <c r="B654" s="59" t="str">
        <f>IF(Summary!J654="","",Summary!J654)</f>
        <v/>
      </c>
      <c r="C654" s="60" t="str">
        <f>Summary!H654</f>
        <v/>
      </c>
    </row>
    <row r="655" spans="1:3">
      <c r="A655" s="59" t="str">
        <f>IF(Summary!E655="","",Summary!E655)</f>
        <v/>
      </c>
      <c r="B655" s="59" t="str">
        <f>IF(Summary!J655="","",Summary!J655)</f>
        <v/>
      </c>
      <c r="C655" s="60" t="str">
        <f>Summary!H655</f>
        <v/>
      </c>
    </row>
    <row r="656" spans="1:3">
      <c r="A656" s="59" t="str">
        <f>IF(Summary!E656="","",Summary!E656)</f>
        <v/>
      </c>
      <c r="B656" s="59" t="str">
        <f>IF(Summary!J656="","",Summary!J656)</f>
        <v/>
      </c>
      <c r="C656" s="60" t="str">
        <f>Summary!H656</f>
        <v/>
      </c>
    </row>
    <row r="657" spans="1:3">
      <c r="A657" s="59" t="str">
        <f>IF(Summary!E657="","",Summary!E657)</f>
        <v/>
      </c>
      <c r="B657" s="59" t="str">
        <f>IF(Summary!J657="","",Summary!J657)</f>
        <v/>
      </c>
      <c r="C657" s="60" t="str">
        <f>Summary!H657</f>
        <v/>
      </c>
    </row>
    <row r="658" spans="1:3">
      <c r="A658" s="59" t="str">
        <f>IF(Summary!E658="","",Summary!E658)</f>
        <v/>
      </c>
      <c r="B658" s="59" t="str">
        <f>IF(Summary!J658="","",Summary!J658)</f>
        <v/>
      </c>
      <c r="C658" s="60" t="str">
        <f>Summary!H658</f>
        <v/>
      </c>
    </row>
    <row r="659" spans="1:3">
      <c r="A659" s="59" t="str">
        <f>IF(Summary!E659="","",Summary!E659)</f>
        <v/>
      </c>
      <c r="B659" s="59" t="str">
        <f>IF(Summary!J659="","",Summary!J659)</f>
        <v/>
      </c>
      <c r="C659" s="60" t="str">
        <f>Summary!H659</f>
        <v/>
      </c>
    </row>
    <row r="660" spans="1:3">
      <c r="A660" s="59" t="str">
        <f>IF(Summary!E660="","",Summary!E660)</f>
        <v/>
      </c>
      <c r="B660" s="59" t="str">
        <f>IF(Summary!J660="","",Summary!J660)</f>
        <v/>
      </c>
      <c r="C660" s="60" t="str">
        <f>Summary!H660</f>
        <v/>
      </c>
    </row>
    <row r="661" spans="1:3">
      <c r="A661" s="59" t="str">
        <f>IF(Summary!E661="","",Summary!E661)</f>
        <v/>
      </c>
      <c r="B661" s="59" t="str">
        <f>IF(Summary!J661="","",Summary!J661)</f>
        <v/>
      </c>
      <c r="C661" s="60" t="str">
        <f>Summary!H661</f>
        <v/>
      </c>
    </row>
    <row r="662" spans="1:3">
      <c r="A662" s="59" t="str">
        <f>IF(Summary!E662="","",Summary!E662)</f>
        <v/>
      </c>
      <c r="B662" s="59" t="str">
        <f>IF(Summary!J662="","",Summary!J662)</f>
        <v/>
      </c>
      <c r="C662" s="60" t="str">
        <f>Summary!H662</f>
        <v/>
      </c>
    </row>
    <row r="663" spans="1:3">
      <c r="A663" s="59" t="str">
        <f>IF(Summary!E663="","",Summary!E663)</f>
        <v/>
      </c>
      <c r="B663" s="59" t="str">
        <f>IF(Summary!J663="","",Summary!J663)</f>
        <v/>
      </c>
      <c r="C663" s="60" t="str">
        <f>Summary!H663</f>
        <v/>
      </c>
    </row>
    <row r="664" spans="1:3">
      <c r="A664" s="59" t="str">
        <f>IF(Summary!E664="","",Summary!E664)</f>
        <v/>
      </c>
      <c r="B664" s="59" t="str">
        <f>IF(Summary!J664="","",Summary!J664)</f>
        <v/>
      </c>
      <c r="C664" s="60" t="str">
        <f>Summary!H664</f>
        <v/>
      </c>
    </row>
    <row r="665" spans="1:3">
      <c r="A665" s="59" t="str">
        <f>IF(Summary!E665="","",Summary!E665)</f>
        <v/>
      </c>
      <c r="B665" s="59" t="str">
        <f>IF(Summary!J665="","",Summary!J665)</f>
        <v/>
      </c>
      <c r="C665" s="60" t="str">
        <f>Summary!H665</f>
        <v/>
      </c>
    </row>
    <row r="666" spans="1:3">
      <c r="A666" s="59" t="str">
        <f>IF(Summary!E666="","",Summary!E666)</f>
        <v/>
      </c>
      <c r="B666" s="59" t="str">
        <f>IF(Summary!J666="","",Summary!J666)</f>
        <v/>
      </c>
      <c r="C666" s="60" t="str">
        <f>Summary!H666</f>
        <v/>
      </c>
    </row>
    <row r="667" spans="1:3">
      <c r="A667" s="59" t="str">
        <f>IF(Summary!E667="","",Summary!E667)</f>
        <v/>
      </c>
      <c r="B667" s="59" t="str">
        <f>IF(Summary!J667="","",Summary!J667)</f>
        <v/>
      </c>
      <c r="C667" s="60" t="str">
        <f>Summary!H667</f>
        <v/>
      </c>
    </row>
    <row r="668" spans="1:3">
      <c r="A668" s="59" t="str">
        <f>IF(Summary!E668="","",Summary!E668)</f>
        <v/>
      </c>
      <c r="B668" s="59" t="str">
        <f>IF(Summary!J668="","",Summary!J668)</f>
        <v/>
      </c>
      <c r="C668" s="60" t="str">
        <f>Summary!H668</f>
        <v/>
      </c>
    </row>
    <row r="669" spans="1:3">
      <c r="A669" s="59" t="str">
        <f>IF(Summary!E669="","",Summary!E669)</f>
        <v/>
      </c>
      <c r="B669" s="59" t="str">
        <f>IF(Summary!J669="","",Summary!J669)</f>
        <v/>
      </c>
      <c r="C669" s="60" t="str">
        <f>Summary!H669</f>
        <v/>
      </c>
    </row>
    <row r="670" spans="1:3">
      <c r="A670" s="59" t="str">
        <f>IF(Summary!E670="","",Summary!E670)</f>
        <v/>
      </c>
      <c r="B670" s="59" t="str">
        <f>IF(Summary!J670="","",Summary!J670)</f>
        <v/>
      </c>
      <c r="C670" s="60" t="str">
        <f>Summary!H670</f>
        <v/>
      </c>
    </row>
    <row r="671" spans="1:3">
      <c r="A671" s="59" t="str">
        <f>IF(Summary!E671="","",Summary!E671)</f>
        <v/>
      </c>
      <c r="B671" s="59" t="str">
        <f>IF(Summary!J671="","",Summary!J671)</f>
        <v/>
      </c>
      <c r="C671" s="60" t="str">
        <f>Summary!H671</f>
        <v/>
      </c>
    </row>
    <row r="672" spans="1:3">
      <c r="A672" s="59" t="str">
        <f>IF(Summary!E672="","",Summary!E672)</f>
        <v/>
      </c>
      <c r="B672" s="59" t="str">
        <f>IF(Summary!J672="","",Summary!J672)</f>
        <v/>
      </c>
      <c r="C672" s="60" t="str">
        <f>Summary!H672</f>
        <v/>
      </c>
    </row>
    <row r="673" spans="1:3">
      <c r="A673" s="59" t="str">
        <f>IF(Summary!E673="","",Summary!E673)</f>
        <v/>
      </c>
      <c r="B673" s="59" t="str">
        <f>IF(Summary!J673="","",Summary!J673)</f>
        <v/>
      </c>
      <c r="C673" s="60" t="str">
        <f>Summary!H673</f>
        <v/>
      </c>
    </row>
    <row r="674" spans="1:3">
      <c r="A674" s="59" t="str">
        <f>IF(Summary!E674="","",Summary!E674)</f>
        <v/>
      </c>
      <c r="B674" s="59" t="str">
        <f>IF(Summary!J674="","",Summary!J674)</f>
        <v/>
      </c>
      <c r="C674" s="60" t="str">
        <f>Summary!H674</f>
        <v/>
      </c>
    </row>
    <row r="675" spans="1:3">
      <c r="A675" s="59" t="str">
        <f>IF(Summary!E675="","",Summary!E675)</f>
        <v/>
      </c>
      <c r="B675" s="59" t="str">
        <f>IF(Summary!J675="","",Summary!J675)</f>
        <v/>
      </c>
      <c r="C675" s="60" t="str">
        <f>Summary!H675</f>
        <v/>
      </c>
    </row>
    <row r="676" spans="1:3">
      <c r="A676" s="59" t="str">
        <f>IF(Summary!E676="","",Summary!E676)</f>
        <v/>
      </c>
      <c r="B676" s="59" t="str">
        <f>IF(Summary!J676="","",Summary!J676)</f>
        <v/>
      </c>
      <c r="C676" s="60" t="str">
        <f>Summary!H676</f>
        <v/>
      </c>
    </row>
    <row r="677" spans="1:3">
      <c r="A677" s="59" t="str">
        <f>IF(Summary!E677="","",Summary!E677)</f>
        <v/>
      </c>
      <c r="B677" s="59" t="str">
        <f>IF(Summary!J677="","",Summary!J677)</f>
        <v/>
      </c>
      <c r="C677" s="60" t="str">
        <f>Summary!H677</f>
        <v/>
      </c>
    </row>
    <row r="678" spans="1:3">
      <c r="A678" s="59" t="str">
        <f>IF(Summary!E678="","",Summary!E678)</f>
        <v/>
      </c>
      <c r="B678" s="59" t="str">
        <f>IF(Summary!J678="","",Summary!J678)</f>
        <v/>
      </c>
      <c r="C678" s="60" t="str">
        <f>Summary!H678</f>
        <v/>
      </c>
    </row>
    <row r="679" spans="1:3">
      <c r="A679" s="59" t="str">
        <f>IF(Summary!E679="","",Summary!E679)</f>
        <v/>
      </c>
      <c r="B679" s="59" t="str">
        <f>IF(Summary!J679="","",Summary!J679)</f>
        <v/>
      </c>
      <c r="C679" s="60" t="str">
        <f>Summary!H679</f>
        <v/>
      </c>
    </row>
    <row r="680" spans="1:3">
      <c r="A680" s="59" t="str">
        <f>IF(Summary!E680="","",Summary!E680)</f>
        <v/>
      </c>
      <c r="B680" s="59" t="str">
        <f>IF(Summary!J680="","",Summary!J680)</f>
        <v/>
      </c>
      <c r="C680" s="60" t="str">
        <f>Summary!H680</f>
        <v/>
      </c>
    </row>
    <row r="681" spans="1:3">
      <c r="A681" s="59" t="str">
        <f>IF(Summary!E681="","",Summary!E681)</f>
        <v/>
      </c>
      <c r="B681" s="59" t="str">
        <f>IF(Summary!J681="","",Summary!J681)</f>
        <v/>
      </c>
      <c r="C681" s="60" t="str">
        <f>Summary!H681</f>
        <v/>
      </c>
    </row>
    <row r="682" spans="1:3">
      <c r="A682" s="59" t="str">
        <f>IF(Summary!E682="","",Summary!E682)</f>
        <v/>
      </c>
      <c r="B682" s="59" t="str">
        <f>IF(Summary!J682="","",Summary!J682)</f>
        <v/>
      </c>
      <c r="C682" s="60" t="str">
        <f>Summary!H682</f>
        <v/>
      </c>
    </row>
    <row r="683" spans="1:3">
      <c r="A683" s="59" t="str">
        <f>IF(Summary!E683="","",Summary!E683)</f>
        <v/>
      </c>
      <c r="B683" s="59" t="str">
        <f>IF(Summary!J683="","",Summary!J683)</f>
        <v/>
      </c>
      <c r="C683" s="60" t="str">
        <f>Summary!H683</f>
        <v/>
      </c>
    </row>
    <row r="684" spans="1:3">
      <c r="A684" s="59" t="str">
        <f>IF(Summary!E684="","",Summary!E684)</f>
        <v/>
      </c>
      <c r="B684" s="59" t="str">
        <f>IF(Summary!J684="","",Summary!J684)</f>
        <v/>
      </c>
      <c r="C684" s="60" t="str">
        <f>Summary!H684</f>
        <v/>
      </c>
    </row>
    <row r="685" spans="1:3">
      <c r="A685" s="59" t="str">
        <f>IF(Summary!E685="","",Summary!E685)</f>
        <v/>
      </c>
      <c r="B685" s="59" t="str">
        <f>IF(Summary!J685="","",Summary!J685)</f>
        <v/>
      </c>
      <c r="C685" s="60" t="str">
        <f>Summary!H685</f>
        <v/>
      </c>
    </row>
    <row r="686" spans="1:3">
      <c r="A686" s="59" t="str">
        <f>IF(Summary!E686="","",Summary!E686)</f>
        <v/>
      </c>
      <c r="B686" s="59" t="str">
        <f>IF(Summary!J686="","",Summary!J686)</f>
        <v/>
      </c>
      <c r="C686" s="60" t="str">
        <f>Summary!H686</f>
        <v/>
      </c>
    </row>
    <row r="687" spans="1:3">
      <c r="A687" s="59" t="str">
        <f>IF(Summary!E687="","",Summary!E687)</f>
        <v/>
      </c>
      <c r="B687" s="59" t="str">
        <f>IF(Summary!J687="","",Summary!J687)</f>
        <v/>
      </c>
      <c r="C687" s="60" t="str">
        <f>Summary!H687</f>
        <v/>
      </c>
    </row>
    <row r="688" spans="1:3">
      <c r="A688" s="59" t="str">
        <f>IF(Summary!E688="","",Summary!E688)</f>
        <v/>
      </c>
      <c r="B688" s="59" t="str">
        <f>IF(Summary!J688="","",Summary!J688)</f>
        <v/>
      </c>
      <c r="C688" s="60" t="str">
        <f>Summary!H688</f>
        <v/>
      </c>
    </row>
    <row r="689" spans="1:3">
      <c r="A689" s="59" t="str">
        <f>IF(Summary!E689="","",Summary!E689)</f>
        <v/>
      </c>
      <c r="B689" s="59" t="str">
        <f>IF(Summary!J689="","",Summary!J689)</f>
        <v/>
      </c>
      <c r="C689" s="60" t="str">
        <f>Summary!H689</f>
        <v/>
      </c>
    </row>
    <row r="690" spans="1:3">
      <c r="A690" s="59" t="str">
        <f>IF(Summary!E690="","",Summary!E690)</f>
        <v/>
      </c>
      <c r="B690" s="59" t="str">
        <f>IF(Summary!J690="","",Summary!J690)</f>
        <v/>
      </c>
      <c r="C690" s="60" t="str">
        <f>Summary!H690</f>
        <v/>
      </c>
    </row>
    <row r="691" spans="1:3">
      <c r="A691" s="59" t="str">
        <f>IF(Summary!E691="","",Summary!E691)</f>
        <v/>
      </c>
      <c r="B691" s="59" t="str">
        <f>IF(Summary!J691="","",Summary!J691)</f>
        <v/>
      </c>
      <c r="C691" s="60" t="str">
        <f>Summary!H691</f>
        <v/>
      </c>
    </row>
    <row r="692" spans="1:3">
      <c r="A692" s="59" t="str">
        <f>IF(Summary!E692="","",Summary!E692)</f>
        <v/>
      </c>
      <c r="B692" s="59" t="str">
        <f>IF(Summary!J692="","",Summary!J692)</f>
        <v/>
      </c>
      <c r="C692" s="60" t="str">
        <f>Summary!H692</f>
        <v/>
      </c>
    </row>
    <row r="693" spans="1:3">
      <c r="A693" s="59" t="str">
        <f>IF(Summary!E693="","",Summary!E693)</f>
        <v/>
      </c>
      <c r="B693" s="59" t="str">
        <f>IF(Summary!J693="","",Summary!J693)</f>
        <v/>
      </c>
      <c r="C693" s="60" t="str">
        <f>Summary!H693</f>
        <v/>
      </c>
    </row>
    <row r="694" spans="1:3">
      <c r="A694" s="59" t="str">
        <f>IF(Summary!E694="","",Summary!E694)</f>
        <v/>
      </c>
      <c r="B694" s="59" t="str">
        <f>IF(Summary!J694="","",Summary!J694)</f>
        <v/>
      </c>
      <c r="C694" s="60" t="str">
        <f>Summary!H694</f>
        <v/>
      </c>
    </row>
    <row r="695" spans="1:3">
      <c r="A695" s="59" t="str">
        <f>IF(Summary!E695="","",Summary!E695)</f>
        <v/>
      </c>
      <c r="B695" s="59" t="str">
        <f>IF(Summary!J695="","",Summary!J695)</f>
        <v/>
      </c>
      <c r="C695" s="60" t="str">
        <f>Summary!H695</f>
        <v/>
      </c>
    </row>
    <row r="696" spans="1:3">
      <c r="A696" s="59" t="str">
        <f>IF(Summary!E696="","",Summary!E696)</f>
        <v/>
      </c>
      <c r="B696" s="59" t="str">
        <f>IF(Summary!J696="","",Summary!J696)</f>
        <v/>
      </c>
      <c r="C696" s="60" t="str">
        <f>Summary!H696</f>
        <v/>
      </c>
    </row>
    <row r="697" spans="1:3">
      <c r="A697" s="59" t="str">
        <f>IF(Summary!E697="","",Summary!E697)</f>
        <v/>
      </c>
      <c r="B697" s="59" t="str">
        <f>IF(Summary!J697="","",Summary!J697)</f>
        <v/>
      </c>
      <c r="C697" s="60" t="str">
        <f>Summary!H697</f>
        <v/>
      </c>
    </row>
    <row r="698" spans="1:3">
      <c r="A698" s="59" t="str">
        <f>IF(Summary!E698="","",Summary!E698)</f>
        <v/>
      </c>
      <c r="B698" s="59" t="str">
        <f>IF(Summary!J698="","",Summary!J698)</f>
        <v/>
      </c>
      <c r="C698" s="60" t="str">
        <f>Summary!H698</f>
        <v/>
      </c>
    </row>
    <row r="699" spans="1:3">
      <c r="A699" s="59" t="str">
        <f>IF(Summary!E699="","",Summary!E699)</f>
        <v/>
      </c>
      <c r="B699" s="59" t="str">
        <f>IF(Summary!J699="","",Summary!J699)</f>
        <v/>
      </c>
      <c r="C699" s="60" t="str">
        <f>Summary!H699</f>
        <v/>
      </c>
    </row>
    <row r="700" spans="1:3">
      <c r="A700" s="59" t="str">
        <f>IF(Summary!E700="","",Summary!E700)</f>
        <v/>
      </c>
      <c r="B700" s="59" t="str">
        <f>IF(Summary!J700="","",Summary!J700)</f>
        <v/>
      </c>
      <c r="C700" s="60" t="str">
        <f>Summary!H700</f>
        <v/>
      </c>
    </row>
    <row r="701" spans="1:3">
      <c r="A701" s="59" t="str">
        <f>IF(Summary!E701="","",Summary!E701)</f>
        <v/>
      </c>
      <c r="B701" s="59" t="str">
        <f>IF(Summary!J701="","",Summary!J701)</f>
        <v/>
      </c>
      <c r="C701" s="60" t="str">
        <f>Summary!H701</f>
        <v/>
      </c>
    </row>
    <row r="702" spans="1:3">
      <c r="A702" s="59" t="str">
        <f>IF(Summary!E702="","",Summary!E702)</f>
        <v/>
      </c>
      <c r="B702" s="59" t="str">
        <f>IF(Summary!J702="","",Summary!J702)</f>
        <v/>
      </c>
      <c r="C702" s="60" t="str">
        <f>Summary!H702</f>
        <v/>
      </c>
    </row>
    <row r="703" spans="1:3">
      <c r="A703" s="59" t="str">
        <f>IF(Summary!E703="","",Summary!E703)</f>
        <v/>
      </c>
      <c r="B703" s="59" t="str">
        <f>IF(Summary!J703="","",Summary!J703)</f>
        <v/>
      </c>
      <c r="C703" s="60" t="str">
        <f>Summary!H703</f>
        <v/>
      </c>
    </row>
    <row r="704" spans="1:3">
      <c r="A704" s="59" t="str">
        <f>IF(Summary!E704="","",Summary!E704)</f>
        <v/>
      </c>
      <c r="B704" s="59" t="str">
        <f>IF(Summary!J704="","",Summary!J704)</f>
        <v/>
      </c>
      <c r="C704" s="60" t="str">
        <f>Summary!H704</f>
        <v/>
      </c>
    </row>
    <row r="705" spans="1:3">
      <c r="A705" s="59" t="str">
        <f>IF(Summary!E705="","",Summary!E705)</f>
        <v/>
      </c>
      <c r="B705" s="59" t="str">
        <f>IF(Summary!J705="","",Summary!J705)</f>
        <v/>
      </c>
      <c r="C705" s="60" t="str">
        <f>Summary!H705</f>
        <v/>
      </c>
    </row>
    <row r="706" spans="1:3">
      <c r="A706" s="59" t="str">
        <f>IF(Summary!E706="","",Summary!E706)</f>
        <v/>
      </c>
      <c r="B706" s="59" t="str">
        <f>IF(Summary!J706="","",Summary!J706)</f>
        <v/>
      </c>
      <c r="C706" s="60" t="str">
        <f>Summary!H706</f>
        <v/>
      </c>
    </row>
    <row r="707" spans="1:3">
      <c r="A707" s="59" t="str">
        <f>IF(Summary!E707="","",Summary!E707)</f>
        <v/>
      </c>
      <c r="B707" s="59" t="str">
        <f>IF(Summary!J707="","",Summary!J707)</f>
        <v/>
      </c>
      <c r="C707" s="60" t="str">
        <f>Summary!H707</f>
        <v/>
      </c>
    </row>
    <row r="708" spans="1:3">
      <c r="A708" s="59" t="str">
        <f>IF(Summary!E708="","",Summary!E708)</f>
        <v/>
      </c>
      <c r="B708" s="59" t="str">
        <f>IF(Summary!J708="","",Summary!J708)</f>
        <v/>
      </c>
      <c r="C708" s="60" t="str">
        <f>Summary!H708</f>
        <v/>
      </c>
    </row>
    <row r="709" spans="1:3">
      <c r="A709" s="59" t="str">
        <f>IF(Summary!E709="","",Summary!E709)</f>
        <v/>
      </c>
      <c r="B709" s="59" t="str">
        <f>IF(Summary!J709="","",Summary!J709)</f>
        <v/>
      </c>
      <c r="C709" s="60" t="str">
        <f>Summary!H709</f>
        <v/>
      </c>
    </row>
    <row r="710" spans="1:3">
      <c r="A710" s="59" t="str">
        <f>IF(Summary!E710="","",Summary!E710)</f>
        <v/>
      </c>
      <c r="B710" s="59" t="str">
        <f>IF(Summary!J710="","",Summary!J710)</f>
        <v/>
      </c>
      <c r="C710" s="60" t="str">
        <f>Summary!H710</f>
        <v/>
      </c>
    </row>
    <row r="711" spans="1:3">
      <c r="A711" s="59" t="str">
        <f>IF(Summary!E711="","",Summary!E711)</f>
        <v/>
      </c>
      <c r="B711" s="59" t="str">
        <f>IF(Summary!J711="","",Summary!J711)</f>
        <v/>
      </c>
      <c r="C711" s="60" t="str">
        <f>Summary!H711</f>
        <v/>
      </c>
    </row>
    <row r="712" spans="1:3">
      <c r="A712" s="59" t="str">
        <f>IF(Summary!E712="","",Summary!E712)</f>
        <v/>
      </c>
      <c r="B712" s="59" t="str">
        <f>IF(Summary!J712="","",Summary!J712)</f>
        <v/>
      </c>
      <c r="C712" s="60" t="str">
        <f>Summary!H712</f>
        <v/>
      </c>
    </row>
    <row r="713" spans="1:3">
      <c r="A713" s="59" t="str">
        <f>IF(Summary!E713="","",Summary!E713)</f>
        <v/>
      </c>
      <c r="B713" s="59" t="str">
        <f>IF(Summary!J713="","",Summary!J713)</f>
        <v/>
      </c>
      <c r="C713" s="60" t="str">
        <f>Summary!H713</f>
        <v/>
      </c>
    </row>
    <row r="714" spans="1:3">
      <c r="A714" s="59" t="str">
        <f>IF(Summary!E714="","",Summary!E714)</f>
        <v/>
      </c>
      <c r="B714" s="59" t="str">
        <f>IF(Summary!J714="","",Summary!J714)</f>
        <v/>
      </c>
      <c r="C714" s="60" t="str">
        <f>Summary!H714</f>
        <v/>
      </c>
    </row>
    <row r="715" spans="1:3">
      <c r="A715" s="59" t="str">
        <f>IF(Summary!E715="","",Summary!E715)</f>
        <v/>
      </c>
      <c r="B715" s="59" t="str">
        <f>IF(Summary!J715="","",Summary!J715)</f>
        <v/>
      </c>
      <c r="C715" s="60" t="str">
        <f>Summary!H715</f>
        <v/>
      </c>
    </row>
    <row r="716" spans="1:3">
      <c r="A716" s="59" t="str">
        <f>IF(Summary!E716="","",Summary!E716)</f>
        <v/>
      </c>
      <c r="B716" s="59" t="str">
        <f>IF(Summary!J716="","",Summary!J716)</f>
        <v/>
      </c>
      <c r="C716" s="60" t="str">
        <f>Summary!H716</f>
        <v/>
      </c>
    </row>
    <row r="717" spans="1:3">
      <c r="A717" s="59" t="str">
        <f>IF(Summary!E717="","",Summary!E717)</f>
        <v/>
      </c>
      <c r="B717" s="59" t="str">
        <f>IF(Summary!J717="","",Summary!J717)</f>
        <v/>
      </c>
      <c r="C717" s="60" t="str">
        <f>Summary!H717</f>
        <v/>
      </c>
    </row>
    <row r="718" spans="1:3">
      <c r="A718" s="59" t="str">
        <f>IF(Summary!E718="","",Summary!E718)</f>
        <v/>
      </c>
      <c r="B718" s="59" t="str">
        <f>IF(Summary!J718="","",Summary!J718)</f>
        <v/>
      </c>
      <c r="C718" s="60" t="str">
        <f>Summary!H718</f>
        <v/>
      </c>
    </row>
    <row r="719" spans="1:3">
      <c r="A719" s="59" t="str">
        <f>IF(Summary!E719="","",Summary!E719)</f>
        <v/>
      </c>
      <c r="B719" s="59" t="str">
        <f>IF(Summary!J719="","",Summary!J719)</f>
        <v/>
      </c>
      <c r="C719" s="60" t="str">
        <f>Summary!H719</f>
        <v/>
      </c>
    </row>
    <row r="720" spans="1:3">
      <c r="A720" s="59" t="str">
        <f>IF(Summary!E720="","",Summary!E720)</f>
        <v/>
      </c>
      <c r="B720" s="59" t="str">
        <f>IF(Summary!J720="","",Summary!J720)</f>
        <v/>
      </c>
      <c r="C720" s="60" t="str">
        <f>Summary!H720</f>
        <v/>
      </c>
    </row>
    <row r="721" spans="1:3">
      <c r="A721" s="59" t="str">
        <f>IF(Summary!E721="","",Summary!E721)</f>
        <v/>
      </c>
      <c r="B721" s="59" t="str">
        <f>IF(Summary!J721="","",Summary!J721)</f>
        <v/>
      </c>
      <c r="C721" s="60" t="str">
        <f>Summary!H721</f>
        <v/>
      </c>
    </row>
    <row r="722" spans="1:3">
      <c r="A722" s="59" t="str">
        <f>IF(Summary!E722="","",Summary!E722)</f>
        <v/>
      </c>
      <c r="B722" s="59" t="str">
        <f>IF(Summary!J722="","",Summary!J722)</f>
        <v/>
      </c>
      <c r="C722" s="60" t="str">
        <f>Summary!H722</f>
        <v/>
      </c>
    </row>
    <row r="723" spans="1:3">
      <c r="A723" s="59" t="str">
        <f>IF(Summary!E723="","",Summary!E723)</f>
        <v/>
      </c>
      <c r="B723" s="59" t="str">
        <f>IF(Summary!J723="","",Summary!J723)</f>
        <v/>
      </c>
      <c r="C723" s="60" t="str">
        <f>Summary!H723</f>
        <v/>
      </c>
    </row>
    <row r="724" spans="1:3">
      <c r="A724" s="59" t="str">
        <f>IF(Summary!E724="","",Summary!E724)</f>
        <v/>
      </c>
      <c r="B724" s="59" t="str">
        <f>IF(Summary!J724="","",Summary!J724)</f>
        <v/>
      </c>
      <c r="C724" s="60" t="str">
        <f>Summary!H724</f>
        <v/>
      </c>
    </row>
    <row r="725" spans="1:3">
      <c r="A725" s="59" t="str">
        <f>IF(Summary!E725="","",Summary!E725)</f>
        <v/>
      </c>
      <c r="B725" s="59" t="str">
        <f>IF(Summary!J725="","",Summary!J725)</f>
        <v/>
      </c>
      <c r="C725" s="60" t="str">
        <f>Summary!H725</f>
        <v/>
      </c>
    </row>
    <row r="726" spans="1:3">
      <c r="A726" s="59" t="str">
        <f>IF(Summary!E726="","",Summary!E726)</f>
        <v/>
      </c>
      <c r="B726" s="59" t="str">
        <f>IF(Summary!J726="","",Summary!J726)</f>
        <v/>
      </c>
      <c r="C726" s="60" t="str">
        <f>Summary!H726</f>
        <v/>
      </c>
    </row>
    <row r="727" spans="1:3">
      <c r="A727" s="59" t="str">
        <f>IF(Summary!E727="","",Summary!E727)</f>
        <v/>
      </c>
      <c r="B727" s="59" t="str">
        <f>IF(Summary!J727="","",Summary!J727)</f>
        <v/>
      </c>
      <c r="C727" s="60" t="str">
        <f>Summary!H727</f>
        <v/>
      </c>
    </row>
    <row r="728" spans="1:3">
      <c r="A728" s="59" t="str">
        <f>IF(Summary!E728="","",Summary!E728)</f>
        <v/>
      </c>
      <c r="B728" s="59" t="str">
        <f>IF(Summary!J728="","",Summary!J728)</f>
        <v/>
      </c>
      <c r="C728" s="60" t="str">
        <f>Summary!H728</f>
        <v/>
      </c>
    </row>
    <row r="729" spans="1:3">
      <c r="A729" s="59" t="str">
        <f>IF(Summary!E729="","",Summary!E729)</f>
        <v/>
      </c>
      <c r="B729" s="59" t="str">
        <f>IF(Summary!J729="","",Summary!J729)</f>
        <v/>
      </c>
      <c r="C729" s="60" t="str">
        <f>Summary!H729</f>
        <v/>
      </c>
    </row>
    <row r="730" spans="1:3">
      <c r="A730" s="59" t="str">
        <f>IF(Summary!E730="","",Summary!E730)</f>
        <v/>
      </c>
      <c r="B730" s="59" t="str">
        <f>IF(Summary!J730="","",Summary!J730)</f>
        <v/>
      </c>
      <c r="C730" s="60" t="str">
        <f>Summary!H730</f>
        <v/>
      </c>
    </row>
    <row r="731" spans="1:3">
      <c r="A731" s="59" t="str">
        <f>IF(Summary!E731="","",Summary!E731)</f>
        <v/>
      </c>
      <c r="B731" s="59" t="str">
        <f>IF(Summary!J731="","",Summary!J731)</f>
        <v/>
      </c>
      <c r="C731" s="60" t="str">
        <f>Summary!H731</f>
        <v/>
      </c>
    </row>
    <row r="732" spans="1:3">
      <c r="A732" s="59" t="str">
        <f>IF(Summary!E732="","",Summary!E732)</f>
        <v/>
      </c>
      <c r="B732" s="59" t="str">
        <f>IF(Summary!J732="","",Summary!J732)</f>
        <v/>
      </c>
      <c r="C732" s="60" t="str">
        <f>Summary!H732</f>
        <v/>
      </c>
    </row>
    <row r="733" spans="1:3">
      <c r="A733" s="59" t="str">
        <f>IF(Summary!E733="","",Summary!E733)</f>
        <v/>
      </c>
      <c r="B733" s="59" t="str">
        <f>IF(Summary!J733="","",Summary!J733)</f>
        <v/>
      </c>
      <c r="C733" s="60" t="str">
        <f>Summary!H733</f>
        <v/>
      </c>
    </row>
    <row r="734" spans="1:3">
      <c r="A734" s="59" t="str">
        <f>IF(Summary!E734="","",Summary!E734)</f>
        <v/>
      </c>
      <c r="B734" s="59" t="str">
        <f>IF(Summary!J734="","",Summary!J734)</f>
        <v/>
      </c>
      <c r="C734" s="60" t="str">
        <f>Summary!H734</f>
        <v/>
      </c>
    </row>
    <row r="735" spans="1:3">
      <c r="A735" s="59" t="str">
        <f>IF(Summary!E735="","",Summary!E735)</f>
        <v/>
      </c>
      <c r="B735" s="59" t="str">
        <f>IF(Summary!J735="","",Summary!J735)</f>
        <v/>
      </c>
      <c r="C735" s="60" t="str">
        <f>Summary!H735</f>
        <v/>
      </c>
    </row>
    <row r="736" spans="1:3">
      <c r="A736" s="59" t="str">
        <f>IF(Summary!E736="","",Summary!E736)</f>
        <v/>
      </c>
      <c r="B736" s="59" t="str">
        <f>IF(Summary!J736="","",Summary!J736)</f>
        <v/>
      </c>
      <c r="C736" s="60" t="str">
        <f>Summary!H736</f>
        <v/>
      </c>
    </row>
    <row r="737" spans="1:3">
      <c r="A737" s="59" t="str">
        <f>IF(Summary!E737="","",Summary!E737)</f>
        <v/>
      </c>
      <c r="B737" s="59" t="str">
        <f>IF(Summary!J737="","",Summary!J737)</f>
        <v/>
      </c>
      <c r="C737" s="60" t="str">
        <f>Summary!H737</f>
        <v/>
      </c>
    </row>
    <row r="738" spans="1:3">
      <c r="A738" s="59" t="str">
        <f>IF(Summary!E738="","",Summary!E738)</f>
        <v/>
      </c>
      <c r="B738" s="59" t="str">
        <f>IF(Summary!J738="","",Summary!J738)</f>
        <v/>
      </c>
      <c r="C738" s="60" t="str">
        <f>Summary!H738</f>
        <v/>
      </c>
    </row>
    <row r="739" spans="1:3">
      <c r="A739" s="59" t="str">
        <f>IF(Summary!E739="","",Summary!E739)</f>
        <v/>
      </c>
      <c r="B739" s="59" t="str">
        <f>IF(Summary!J739="","",Summary!J739)</f>
        <v/>
      </c>
      <c r="C739" s="60" t="str">
        <f>Summary!H739</f>
        <v/>
      </c>
    </row>
    <row r="740" spans="1:3">
      <c r="A740" s="59" t="str">
        <f>IF(Summary!E740="","",Summary!E740)</f>
        <v/>
      </c>
      <c r="B740" s="59" t="str">
        <f>IF(Summary!J740="","",Summary!J740)</f>
        <v/>
      </c>
      <c r="C740" s="60" t="str">
        <f>Summary!H740</f>
        <v/>
      </c>
    </row>
    <row r="741" spans="1:3">
      <c r="A741" s="59" t="str">
        <f>IF(Summary!E741="","",Summary!E741)</f>
        <v/>
      </c>
      <c r="B741" s="59" t="str">
        <f>IF(Summary!J741="","",Summary!J741)</f>
        <v/>
      </c>
      <c r="C741" s="60" t="str">
        <f>Summary!H741</f>
        <v/>
      </c>
    </row>
    <row r="742" spans="1:3">
      <c r="A742" s="59" t="str">
        <f>IF(Summary!E742="","",Summary!E742)</f>
        <v/>
      </c>
      <c r="B742" s="59" t="str">
        <f>IF(Summary!J742="","",Summary!J742)</f>
        <v/>
      </c>
      <c r="C742" s="60" t="str">
        <f>Summary!H742</f>
        <v/>
      </c>
    </row>
    <row r="743" spans="1:3">
      <c r="A743" s="59" t="str">
        <f>IF(Summary!E743="","",Summary!E743)</f>
        <v/>
      </c>
      <c r="B743" s="59" t="str">
        <f>IF(Summary!J743="","",Summary!J743)</f>
        <v/>
      </c>
      <c r="C743" s="60" t="str">
        <f>Summary!H743</f>
        <v/>
      </c>
    </row>
    <row r="744" spans="1:3">
      <c r="A744" s="59" t="str">
        <f>IF(Summary!E744="","",Summary!E744)</f>
        <v/>
      </c>
      <c r="B744" s="59" t="str">
        <f>IF(Summary!J744="","",Summary!J744)</f>
        <v/>
      </c>
      <c r="C744" s="60" t="str">
        <f>Summary!H744</f>
        <v/>
      </c>
    </row>
    <row r="745" spans="1:3">
      <c r="A745" s="59" t="str">
        <f>IF(Summary!E745="","",Summary!E745)</f>
        <v/>
      </c>
      <c r="B745" s="59" t="str">
        <f>IF(Summary!J745="","",Summary!J745)</f>
        <v/>
      </c>
      <c r="C745" s="60" t="str">
        <f>Summary!H745</f>
        <v/>
      </c>
    </row>
    <row r="746" spans="1:3">
      <c r="A746" s="59" t="str">
        <f>IF(Summary!E746="","",Summary!E746)</f>
        <v/>
      </c>
      <c r="B746" s="59" t="str">
        <f>IF(Summary!J746="","",Summary!J746)</f>
        <v/>
      </c>
      <c r="C746" s="60" t="str">
        <f>Summary!H746</f>
        <v/>
      </c>
    </row>
    <row r="747" spans="1:3">
      <c r="A747" s="59" t="str">
        <f>IF(Summary!E747="","",Summary!E747)</f>
        <v/>
      </c>
      <c r="B747" s="59" t="str">
        <f>IF(Summary!J747="","",Summary!J747)</f>
        <v/>
      </c>
      <c r="C747" s="60" t="str">
        <f>Summary!H747</f>
        <v/>
      </c>
    </row>
    <row r="748" spans="1:3">
      <c r="A748" s="59" t="str">
        <f>IF(Summary!E748="","",Summary!E748)</f>
        <v/>
      </c>
      <c r="B748" s="59" t="str">
        <f>IF(Summary!J748="","",Summary!J748)</f>
        <v/>
      </c>
      <c r="C748" s="60" t="str">
        <f>Summary!H748</f>
        <v/>
      </c>
    </row>
    <row r="749" spans="1:3">
      <c r="A749" s="59" t="str">
        <f>IF(Summary!E749="","",Summary!E749)</f>
        <v/>
      </c>
      <c r="B749" s="59" t="str">
        <f>IF(Summary!J749="","",Summary!J749)</f>
        <v/>
      </c>
      <c r="C749" s="60" t="str">
        <f>Summary!H749</f>
        <v/>
      </c>
    </row>
    <row r="750" spans="1:3">
      <c r="A750" s="59" t="str">
        <f>IF(Summary!E750="","",Summary!E750)</f>
        <v/>
      </c>
      <c r="B750" s="59" t="str">
        <f>IF(Summary!J750="","",Summary!J750)</f>
        <v/>
      </c>
      <c r="C750" s="60" t="str">
        <f>Summary!H750</f>
        <v/>
      </c>
    </row>
    <row r="751" spans="1:3">
      <c r="A751" s="59" t="str">
        <f>IF(Summary!E751="","",Summary!E751)</f>
        <v/>
      </c>
      <c r="B751" s="59" t="str">
        <f>IF(Summary!J751="","",Summary!J751)</f>
        <v/>
      </c>
      <c r="C751" s="60" t="str">
        <f>Summary!H751</f>
        <v/>
      </c>
    </row>
    <row r="752" spans="1:3">
      <c r="A752" s="59" t="str">
        <f>IF(Summary!E752="","",Summary!E752)</f>
        <v/>
      </c>
      <c r="B752" s="59" t="str">
        <f>IF(Summary!J752="","",Summary!J752)</f>
        <v/>
      </c>
      <c r="C752" s="60" t="str">
        <f>Summary!H752</f>
        <v/>
      </c>
    </row>
    <row r="753" spans="1:3">
      <c r="A753" s="59" t="str">
        <f>IF(Summary!E753="","",Summary!E753)</f>
        <v/>
      </c>
      <c r="B753" s="59" t="str">
        <f>IF(Summary!J753="","",Summary!J753)</f>
        <v/>
      </c>
      <c r="C753" s="60" t="str">
        <f>Summary!H753</f>
        <v/>
      </c>
    </row>
    <row r="754" spans="1:3">
      <c r="A754" s="59" t="str">
        <f>IF(Summary!E754="","",Summary!E754)</f>
        <v/>
      </c>
      <c r="B754" s="59" t="str">
        <f>IF(Summary!J754="","",Summary!J754)</f>
        <v/>
      </c>
      <c r="C754" s="60" t="str">
        <f>Summary!H754</f>
        <v/>
      </c>
    </row>
    <row r="755" spans="1:3">
      <c r="A755" s="59" t="str">
        <f>IF(Summary!E755="","",Summary!E755)</f>
        <v/>
      </c>
      <c r="B755" s="59" t="str">
        <f>IF(Summary!J755="","",Summary!J755)</f>
        <v/>
      </c>
      <c r="C755" s="60" t="str">
        <f>Summary!H755</f>
        <v/>
      </c>
    </row>
    <row r="756" spans="1:3">
      <c r="A756" s="59" t="str">
        <f>IF(Summary!E756="","",Summary!E756)</f>
        <v/>
      </c>
      <c r="B756" s="59" t="str">
        <f>IF(Summary!J756="","",Summary!J756)</f>
        <v/>
      </c>
      <c r="C756" s="60" t="str">
        <f>Summary!H756</f>
        <v/>
      </c>
    </row>
    <row r="757" spans="1:3">
      <c r="A757" s="59" t="str">
        <f>IF(Summary!E757="","",Summary!E757)</f>
        <v/>
      </c>
      <c r="B757" s="59" t="str">
        <f>IF(Summary!J757="","",Summary!J757)</f>
        <v/>
      </c>
      <c r="C757" s="60" t="str">
        <f>Summary!H757</f>
        <v/>
      </c>
    </row>
    <row r="758" spans="1:3">
      <c r="A758" s="59" t="str">
        <f>IF(Summary!E758="","",Summary!E758)</f>
        <v/>
      </c>
      <c r="B758" s="59" t="str">
        <f>IF(Summary!J758="","",Summary!J758)</f>
        <v/>
      </c>
      <c r="C758" s="60" t="str">
        <f>Summary!H758</f>
        <v/>
      </c>
    </row>
    <row r="759" spans="1:3">
      <c r="A759" s="59" t="str">
        <f>IF(Summary!E759="","",Summary!E759)</f>
        <v/>
      </c>
      <c r="B759" s="59" t="str">
        <f>IF(Summary!J759="","",Summary!J759)</f>
        <v/>
      </c>
      <c r="C759" s="60" t="str">
        <f>Summary!H759</f>
        <v/>
      </c>
    </row>
    <row r="760" spans="1:3">
      <c r="A760" s="59" t="str">
        <f>IF(Summary!E760="","",Summary!E760)</f>
        <v/>
      </c>
      <c r="B760" s="59" t="str">
        <f>IF(Summary!J760="","",Summary!J760)</f>
        <v/>
      </c>
      <c r="C760" s="60" t="str">
        <f>Summary!H760</f>
        <v/>
      </c>
    </row>
    <row r="761" spans="1:3">
      <c r="A761" s="59" t="str">
        <f>IF(Summary!E761="","",Summary!E761)</f>
        <v/>
      </c>
      <c r="B761" s="59" t="str">
        <f>IF(Summary!J761="","",Summary!J761)</f>
        <v/>
      </c>
      <c r="C761" s="60" t="str">
        <f>Summary!H761</f>
        <v/>
      </c>
    </row>
    <row r="762" spans="1:3">
      <c r="A762" s="59" t="str">
        <f>IF(Summary!E762="","",Summary!E762)</f>
        <v/>
      </c>
      <c r="B762" s="59" t="str">
        <f>IF(Summary!J762="","",Summary!J762)</f>
        <v/>
      </c>
      <c r="C762" s="60" t="str">
        <f>Summary!H762</f>
        <v/>
      </c>
    </row>
    <row r="763" spans="1:3">
      <c r="A763" s="59" t="str">
        <f>IF(Summary!E763="","",Summary!E763)</f>
        <v/>
      </c>
      <c r="B763" s="59" t="str">
        <f>IF(Summary!J763="","",Summary!J763)</f>
        <v/>
      </c>
      <c r="C763" s="60" t="str">
        <f>Summary!H763</f>
        <v/>
      </c>
    </row>
    <row r="764" spans="1:3">
      <c r="A764" s="59" t="str">
        <f>IF(Summary!E764="","",Summary!E764)</f>
        <v/>
      </c>
      <c r="B764" s="59" t="str">
        <f>IF(Summary!J764="","",Summary!J764)</f>
        <v/>
      </c>
      <c r="C764" s="60" t="str">
        <f>Summary!H764</f>
        <v/>
      </c>
    </row>
    <row r="765" spans="1:3">
      <c r="A765" s="59" t="str">
        <f>IF(Summary!E765="","",Summary!E765)</f>
        <v/>
      </c>
      <c r="B765" s="59" t="str">
        <f>IF(Summary!J765="","",Summary!J765)</f>
        <v/>
      </c>
      <c r="C765" s="60" t="str">
        <f>Summary!H765</f>
        <v/>
      </c>
    </row>
    <row r="766" spans="1:3">
      <c r="A766" s="59" t="str">
        <f>IF(Summary!E766="","",Summary!E766)</f>
        <v/>
      </c>
      <c r="B766" s="59" t="str">
        <f>IF(Summary!J766="","",Summary!J766)</f>
        <v/>
      </c>
      <c r="C766" s="60" t="str">
        <f>Summary!H766</f>
        <v/>
      </c>
    </row>
    <row r="767" spans="1:3">
      <c r="A767" s="59" t="str">
        <f>IF(Summary!E767="","",Summary!E767)</f>
        <v/>
      </c>
      <c r="B767" s="59" t="str">
        <f>IF(Summary!J767="","",Summary!J767)</f>
        <v/>
      </c>
      <c r="C767" s="60" t="str">
        <f>Summary!H767</f>
        <v/>
      </c>
    </row>
    <row r="768" spans="1:3">
      <c r="A768" s="59" t="str">
        <f>IF(Summary!E768="","",Summary!E768)</f>
        <v/>
      </c>
      <c r="B768" s="59" t="str">
        <f>IF(Summary!J768="","",Summary!J768)</f>
        <v/>
      </c>
      <c r="C768" s="60" t="str">
        <f>Summary!H768</f>
        <v/>
      </c>
    </row>
    <row r="769" spans="1:3">
      <c r="A769" s="59" t="str">
        <f>IF(Summary!E769="","",Summary!E769)</f>
        <v/>
      </c>
      <c r="B769" s="59" t="str">
        <f>IF(Summary!J769="","",Summary!J769)</f>
        <v/>
      </c>
      <c r="C769" s="60" t="str">
        <f>Summary!H769</f>
        <v/>
      </c>
    </row>
    <row r="770" spans="1:3">
      <c r="A770" s="59" t="str">
        <f>IF(Summary!E770="","",Summary!E770)</f>
        <v/>
      </c>
      <c r="B770" s="59" t="str">
        <f>IF(Summary!J770="","",Summary!J770)</f>
        <v/>
      </c>
      <c r="C770" s="60" t="str">
        <f>Summary!H770</f>
        <v/>
      </c>
    </row>
    <row r="771" spans="1:3">
      <c r="A771" s="59" t="str">
        <f>IF(Summary!E771="","",Summary!E771)</f>
        <v/>
      </c>
      <c r="B771" s="59" t="str">
        <f>IF(Summary!J771="","",Summary!J771)</f>
        <v/>
      </c>
      <c r="C771" s="60" t="str">
        <f>Summary!H771</f>
        <v/>
      </c>
    </row>
    <row r="772" spans="1:3">
      <c r="A772" s="59" t="str">
        <f>IF(Summary!E772="","",Summary!E772)</f>
        <v/>
      </c>
      <c r="B772" s="59" t="str">
        <f>IF(Summary!J772="","",Summary!J772)</f>
        <v/>
      </c>
      <c r="C772" s="60" t="str">
        <f>Summary!H772</f>
        <v/>
      </c>
    </row>
    <row r="773" spans="1:3">
      <c r="A773" s="59" t="str">
        <f>IF(Summary!E773="","",Summary!E773)</f>
        <v/>
      </c>
      <c r="B773" s="59" t="str">
        <f>IF(Summary!J773="","",Summary!J773)</f>
        <v/>
      </c>
      <c r="C773" s="60" t="str">
        <f>Summary!H773</f>
        <v/>
      </c>
    </row>
    <row r="774" spans="1:3">
      <c r="A774" s="59" t="str">
        <f>IF(Summary!E774="","",Summary!E774)</f>
        <v/>
      </c>
      <c r="B774" s="59" t="str">
        <f>IF(Summary!J774="","",Summary!J774)</f>
        <v/>
      </c>
      <c r="C774" s="60" t="str">
        <f>Summary!H774</f>
        <v/>
      </c>
    </row>
    <row r="775" spans="1:3">
      <c r="A775" s="59" t="str">
        <f>IF(Summary!E775="","",Summary!E775)</f>
        <v/>
      </c>
      <c r="B775" s="59" t="str">
        <f>IF(Summary!J775="","",Summary!J775)</f>
        <v/>
      </c>
      <c r="C775" s="60" t="str">
        <f>Summary!H775</f>
        <v/>
      </c>
    </row>
    <row r="776" spans="1:3">
      <c r="A776" s="59" t="str">
        <f>IF(Summary!E776="","",Summary!E776)</f>
        <v/>
      </c>
      <c r="B776" s="59" t="str">
        <f>IF(Summary!J776="","",Summary!J776)</f>
        <v/>
      </c>
      <c r="C776" s="60" t="str">
        <f>Summary!H776</f>
        <v/>
      </c>
    </row>
    <row r="777" spans="1:3">
      <c r="A777" s="59" t="str">
        <f>IF(Summary!E777="","",Summary!E777)</f>
        <v/>
      </c>
      <c r="B777" s="59" t="str">
        <f>IF(Summary!J777="","",Summary!J777)</f>
        <v/>
      </c>
      <c r="C777" s="60" t="str">
        <f>Summary!H777</f>
        <v/>
      </c>
    </row>
    <row r="778" spans="1:3">
      <c r="A778" s="59" t="str">
        <f>IF(Summary!E778="","",Summary!E778)</f>
        <v/>
      </c>
      <c r="B778" s="59" t="str">
        <f>IF(Summary!J778="","",Summary!J778)</f>
        <v/>
      </c>
      <c r="C778" s="60" t="str">
        <f>Summary!H778</f>
        <v/>
      </c>
    </row>
    <row r="779" spans="1:3">
      <c r="A779" s="59" t="str">
        <f>IF(Summary!E779="","",Summary!E779)</f>
        <v/>
      </c>
      <c r="B779" s="59" t="str">
        <f>IF(Summary!J779="","",Summary!J779)</f>
        <v/>
      </c>
      <c r="C779" s="60" t="str">
        <f>Summary!H779</f>
        <v/>
      </c>
    </row>
    <row r="780" spans="1:3">
      <c r="A780" s="59" t="str">
        <f>IF(Summary!E780="","",Summary!E780)</f>
        <v/>
      </c>
      <c r="B780" s="59" t="str">
        <f>IF(Summary!J780="","",Summary!J780)</f>
        <v/>
      </c>
      <c r="C780" s="60" t="str">
        <f>Summary!H780</f>
        <v/>
      </c>
    </row>
    <row r="781" spans="1:3">
      <c r="A781" s="59" t="str">
        <f>IF(Summary!E781="","",Summary!E781)</f>
        <v/>
      </c>
      <c r="B781" s="59" t="str">
        <f>IF(Summary!J781="","",Summary!J781)</f>
        <v/>
      </c>
      <c r="C781" s="60" t="str">
        <f>Summary!H781</f>
        <v/>
      </c>
    </row>
    <row r="782" spans="1:3">
      <c r="A782" s="59" t="str">
        <f>IF(Summary!E782="","",Summary!E782)</f>
        <v/>
      </c>
      <c r="B782" s="59" t="str">
        <f>IF(Summary!J782="","",Summary!J782)</f>
        <v/>
      </c>
      <c r="C782" s="60" t="str">
        <f>Summary!H782</f>
        <v/>
      </c>
    </row>
    <row r="783" spans="1:3">
      <c r="A783" s="59" t="str">
        <f>IF(Summary!E783="","",Summary!E783)</f>
        <v/>
      </c>
      <c r="B783" s="59" t="str">
        <f>IF(Summary!J783="","",Summary!J783)</f>
        <v/>
      </c>
      <c r="C783" s="60" t="str">
        <f>Summary!H783</f>
        <v/>
      </c>
    </row>
    <row r="784" spans="1:3">
      <c r="A784" s="59" t="str">
        <f>IF(Summary!E784="","",Summary!E784)</f>
        <v/>
      </c>
      <c r="B784" s="59" t="str">
        <f>IF(Summary!J784="","",Summary!J784)</f>
        <v/>
      </c>
      <c r="C784" s="60" t="str">
        <f>Summary!H784</f>
        <v/>
      </c>
    </row>
    <row r="785" spans="1:3">
      <c r="A785" s="59" t="str">
        <f>IF(Summary!E785="","",Summary!E785)</f>
        <v/>
      </c>
      <c r="B785" s="59" t="str">
        <f>IF(Summary!J785="","",Summary!J785)</f>
        <v/>
      </c>
      <c r="C785" s="60" t="str">
        <f>Summary!H785</f>
        <v/>
      </c>
    </row>
    <row r="786" spans="1:3">
      <c r="A786" s="59" t="str">
        <f>IF(Summary!E786="","",Summary!E786)</f>
        <v/>
      </c>
      <c r="B786" s="59" t="str">
        <f>IF(Summary!J786="","",Summary!J786)</f>
        <v/>
      </c>
      <c r="C786" s="60" t="str">
        <f>Summary!H786</f>
        <v/>
      </c>
    </row>
    <row r="787" spans="1:3">
      <c r="A787" s="59" t="str">
        <f>IF(Summary!E787="","",Summary!E787)</f>
        <v/>
      </c>
      <c r="B787" s="59" t="str">
        <f>IF(Summary!J787="","",Summary!J787)</f>
        <v/>
      </c>
      <c r="C787" s="60" t="str">
        <f>Summary!H787</f>
        <v/>
      </c>
    </row>
    <row r="788" spans="1:3">
      <c r="A788" s="59" t="str">
        <f>IF(Summary!E788="","",Summary!E788)</f>
        <v/>
      </c>
      <c r="B788" s="59" t="str">
        <f>IF(Summary!J788="","",Summary!J788)</f>
        <v/>
      </c>
      <c r="C788" s="60" t="str">
        <f>Summary!H788</f>
        <v/>
      </c>
    </row>
    <row r="789" spans="1:3">
      <c r="A789" s="59" t="str">
        <f>IF(Summary!E789="","",Summary!E789)</f>
        <v/>
      </c>
      <c r="B789" s="59" t="str">
        <f>IF(Summary!J789="","",Summary!J789)</f>
        <v/>
      </c>
      <c r="C789" s="60" t="str">
        <f>Summary!H789</f>
        <v/>
      </c>
    </row>
    <row r="790" spans="1:3">
      <c r="A790" s="59" t="str">
        <f>IF(Summary!E790="","",Summary!E790)</f>
        <v/>
      </c>
      <c r="B790" s="59" t="str">
        <f>IF(Summary!J790="","",Summary!J790)</f>
        <v/>
      </c>
      <c r="C790" s="60" t="str">
        <f>Summary!H790</f>
        <v/>
      </c>
    </row>
    <row r="791" spans="1:3">
      <c r="A791" s="59" t="str">
        <f>IF(Summary!E791="","",Summary!E791)</f>
        <v/>
      </c>
      <c r="B791" s="59" t="str">
        <f>IF(Summary!J791="","",Summary!J791)</f>
        <v/>
      </c>
      <c r="C791" s="60" t="str">
        <f>Summary!H791</f>
        <v/>
      </c>
    </row>
    <row r="792" spans="1:3">
      <c r="A792" s="59" t="str">
        <f>IF(Summary!E792="","",Summary!E792)</f>
        <v/>
      </c>
      <c r="B792" s="59" t="str">
        <f>IF(Summary!J792="","",Summary!J792)</f>
        <v/>
      </c>
      <c r="C792" s="60" t="str">
        <f>Summary!H792</f>
        <v/>
      </c>
    </row>
    <row r="793" spans="1:3">
      <c r="A793" s="59" t="str">
        <f>IF(Summary!E793="","",Summary!E793)</f>
        <v/>
      </c>
      <c r="B793" s="59" t="str">
        <f>IF(Summary!J793="","",Summary!J793)</f>
        <v/>
      </c>
      <c r="C793" s="60" t="str">
        <f>Summary!H793</f>
        <v/>
      </c>
    </row>
    <row r="794" spans="1:3">
      <c r="A794" s="59" t="str">
        <f>IF(Summary!E794="","",Summary!E794)</f>
        <v/>
      </c>
      <c r="B794" s="59" t="str">
        <f>IF(Summary!J794="","",Summary!J794)</f>
        <v/>
      </c>
      <c r="C794" s="60" t="str">
        <f>Summary!H794</f>
        <v/>
      </c>
    </row>
    <row r="795" spans="1:3">
      <c r="A795" s="59" t="str">
        <f>IF(Summary!E795="","",Summary!E795)</f>
        <v/>
      </c>
      <c r="B795" s="59" t="str">
        <f>IF(Summary!J795="","",Summary!J795)</f>
        <v/>
      </c>
      <c r="C795" s="60" t="str">
        <f>Summary!H795</f>
        <v/>
      </c>
    </row>
    <row r="796" spans="1:3">
      <c r="A796" s="59" t="str">
        <f>IF(Summary!E796="","",Summary!E796)</f>
        <v/>
      </c>
      <c r="B796" s="59" t="str">
        <f>IF(Summary!J796="","",Summary!J796)</f>
        <v/>
      </c>
      <c r="C796" s="60" t="str">
        <f>Summary!H796</f>
        <v/>
      </c>
    </row>
    <row r="797" spans="1:3">
      <c r="A797" s="59" t="str">
        <f>IF(Summary!E797="","",Summary!E797)</f>
        <v/>
      </c>
      <c r="B797" s="59" t="str">
        <f>IF(Summary!J797="","",Summary!J797)</f>
        <v/>
      </c>
      <c r="C797" s="60" t="str">
        <f>Summary!H797</f>
        <v/>
      </c>
    </row>
    <row r="798" spans="1:3">
      <c r="A798" s="59" t="str">
        <f>IF(Summary!E798="","",Summary!E798)</f>
        <v/>
      </c>
      <c r="B798" s="59" t="str">
        <f>IF(Summary!J798="","",Summary!J798)</f>
        <v/>
      </c>
      <c r="C798" s="60" t="str">
        <f>Summary!H798</f>
        <v/>
      </c>
    </row>
    <row r="799" spans="1:3">
      <c r="A799" s="59" t="str">
        <f>IF(Summary!E799="","",Summary!E799)</f>
        <v/>
      </c>
      <c r="B799" s="59" t="str">
        <f>IF(Summary!J799="","",Summary!J799)</f>
        <v/>
      </c>
      <c r="C799" s="60" t="str">
        <f>Summary!H799</f>
        <v/>
      </c>
    </row>
    <row r="800" spans="1:3">
      <c r="A800" s="59" t="str">
        <f>IF(Summary!E800="","",Summary!E800)</f>
        <v/>
      </c>
      <c r="B800" s="59" t="str">
        <f>IF(Summary!J800="","",Summary!J800)</f>
        <v/>
      </c>
      <c r="C800" s="60" t="str">
        <f>Summary!H800</f>
        <v/>
      </c>
    </row>
    <row r="801" spans="1:3">
      <c r="A801" s="59" t="str">
        <f>IF(Summary!E801="","",Summary!E801)</f>
        <v/>
      </c>
      <c r="B801" s="59" t="str">
        <f>IF(Summary!J801="","",Summary!J801)</f>
        <v/>
      </c>
      <c r="C801" s="60" t="str">
        <f>Summary!H801</f>
        <v/>
      </c>
    </row>
    <row r="802" spans="1:3">
      <c r="A802" s="59" t="str">
        <f>IF(Summary!E802="","",Summary!E802)</f>
        <v/>
      </c>
      <c r="B802" s="59" t="str">
        <f>IF(Summary!J802="","",Summary!J802)</f>
        <v/>
      </c>
      <c r="C802" s="60" t="str">
        <f>Summary!H802</f>
        <v/>
      </c>
    </row>
    <row r="803" spans="1:3">
      <c r="A803" s="59" t="str">
        <f>IF(Summary!E803="","",Summary!E803)</f>
        <v/>
      </c>
      <c r="B803" s="59" t="str">
        <f>IF(Summary!J803="","",Summary!J803)</f>
        <v/>
      </c>
      <c r="C803" s="60" t="str">
        <f>Summary!H803</f>
        <v/>
      </c>
    </row>
    <row r="804" spans="1:3">
      <c r="A804" s="59" t="str">
        <f>IF(Summary!E804="","",Summary!E804)</f>
        <v/>
      </c>
      <c r="B804" s="59" t="str">
        <f>IF(Summary!J804="","",Summary!J804)</f>
        <v/>
      </c>
      <c r="C804" s="60" t="str">
        <f>Summary!H804</f>
        <v/>
      </c>
    </row>
    <row r="805" spans="1:3">
      <c r="A805" s="59" t="str">
        <f>IF(Summary!E805="","",Summary!E805)</f>
        <v/>
      </c>
      <c r="B805" s="59" t="str">
        <f>IF(Summary!J805="","",Summary!J805)</f>
        <v/>
      </c>
      <c r="C805" s="60" t="str">
        <f>Summary!H805</f>
        <v/>
      </c>
    </row>
    <row r="806" spans="1:3">
      <c r="A806" s="59" t="str">
        <f>IF(Summary!E806="","",Summary!E806)</f>
        <v/>
      </c>
      <c r="B806" s="59" t="str">
        <f>IF(Summary!J806="","",Summary!J806)</f>
        <v/>
      </c>
      <c r="C806" s="60" t="str">
        <f>Summary!H806</f>
        <v/>
      </c>
    </row>
    <row r="807" spans="1:3">
      <c r="A807" s="59" t="str">
        <f>IF(Summary!E807="","",Summary!E807)</f>
        <v/>
      </c>
      <c r="B807" s="59" t="str">
        <f>IF(Summary!J807="","",Summary!J807)</f>
        <v/>
      </c>
      <c r="C807" s="60" t="str">
        <f>Summary!H807</f>
        <v/>
      </c>
    </row>
    <row r="808" spans="1:3">
      <c r="A808" s="59" t="str">
        <f>IF(Summary!E808="","",Summary!E808)</f>
        <v/>
      </c>
      <c r="B808" s="59" t="str">
        <f>IF(Summary!J808="","",Summary!J808)</f>
        <v/>
      </c>
      <c r="C808" s="60" t="str">
        <f>Summary!H808</f>
        <v/>
      </c>
    </row>
    <row r="809" spans="1:3">
      <c r="A809" s="59" t="str">
        <f>IF(Summary!E809="","",Summary!E809)</f>
        <v/>
      </c>
      <c r="B809" s="59" t="str">
        <f>IF(Summary!J809="","",Summary!J809)</f>
        <v/>
      </c>
      <c r="C809" s="60" t="str">
        <f>Summary!H809</f>
        <v/>
      </c>
    </row>
    <row r="810" spans="1:3">
      <c r="A810" s="59" t="str">
        <f>IF(Summary!E810="","",Summary!E810)</f>
        <v/>
      </c>
      <c r="B810" s="59" t="str">
        <f>IF(Summary!J810="","",Summary!J810)</f>
        <v/>
      </c>
      <c r="C810" s="60" t="str">
        <f>Summary!H810</f>
        <v/>
      </c>
    </row>
    <row r="811" spans="1:3">
      <c r="A811" s="59" t="str">
        <f>IF(Summary!E811="","",Summary!E811)</f>
        <v/>
      </c>
      <c r="B811" s="59" t="str">
        <f>IF(Summary!J811="","",Summary!J811)</f>
        <v/>
      </c>
      <c r="C811" s="60" t="str">
        <f>Summary!H811</f>
        <v/>
      </c>
    </row>
    <row r="812" spans="1:3">
      <c r="A812" s="59" t="str">
        <f>IF(Summary!E812="","",Summary!E812)</f>
        <v/>
      </c>
      <c r="B812" s="59" t="str">
        <f>IF(Summary!J812="","",Summary!J812)</f>
        <v/>
      </c>
      <c r="C812" s="60" t="str">
        <f>Summary!H812</f>
        <v/>
      </c>
    </row>
    <row r="813" spans="1:3">
      <c r="A813" s="59" t="str">
        <f>IF(Summary!E813="","",Summary!E813)</f>
        <v/>
      </c>
      <c r="B813" s="59" t="str">
        <f>IF(Summary!J813="","",Summary!J813)</f>
        <v/>
      </c>
      <c r="C813" s="60" t="str">
        <f>Summary!H813</f>
        <v/>
      </c>
    </row>
    <row r="814" spans="1:3">
      <c r="A814" s="59" t="str">
        <f>IF(Summary!E814="","",Summary!E814)</f>
        <v/>
      </c>
      <c r="B814" s="59" t="str">
        <f>IF(Summary!J814="","",Summary!J814)</f>
        <v/>
      </c>
      <c r="C814" s="60" t="str">
        <f>Summary!H814</f>
        <v/>
      </c>
    </row>
    <row r="815" spans="1:3">
      <c r="A815" s="59" t="str">
        <f>IF(Summary!E815="","",Summary!E815)</f>
        <v/>
      </c>
      <c r="B815" s="59" t="str">
        <f>IF(Summary!J815="","",Summary!J815)</f>
        <v/>
      </c>
      <c r="C815" s="60" t="str">
        <f>Summary!H815</f>
        <v/>
      </c>
    </row>
    <row r="816" spans="1:3">
      <c r="A816" s="59" t="str">
        <f>IF(Summary!E816="","",Summary!E816)</f>
        <v/>
      </c>
      <c r="B816" s="59" t="str">
        <f>IF(Summary!J816="","",Summary!J816)</f>
        <v/>
      </c>
      <c r="C816" s="60" t="str">
        <f>Summary!H816</f>
        <v/>
      </c>
    </row>
    <row r="817" spans="1:3">
      <c r="A817" s="59" t="str">
        <f>IF(Summary!E817="","",Summary!E817)</f>
        <v/>
      </c>
      <c r="B817" s="59" t="str">
        <f>IF(Summary!J817="","",Summary!J817)</f>
        <v/>
      </c>
      <c r="C817" s="60" t="str">
        <f>Summary!H817</f>
        <v/>
      </c>
    </row>
    <row r="818" spans="1:3">
      <c r="A818" s="59" t="str">
        <f>IF(Summary!E818="","",Summary!E818)</f>
        <v/>
      </c>
      <c r="B818" s="59" t="str">
        <f>IF(Summary!J818="","",Summary!J818)</f>
        <v/>
      </c>
      <c r="C818" s="60" t="str">
        <f>Summary!H818</f>
        <v/>
      </c>
    </row>
    <row r="819" spans="1:3">
      <c r="A819" s="59" t="str">
        <f>IF(Summary!E819="","",Summary!E819)</f>
        <v/>
      </c>
      <c r="B819" s="59" t="str">
        <f>IF(Summary!J819="","",Summary!J819)</f>
        <v/>
      </c>
      <c r="C819" s="60" t="str">
        <f>Summary!H819</f>
        <v/>
      </c>
    </row>
    <row r="820" spans="1:3">
      <c r="A820" s="59" t="str">
        <f>IF(Summary!E820="","",Summary!E820)</f>
        <v/>
      </c>
      <c r="B820" s="59" t="str">
        <f>IF(Summary!J820="","",Summary!J820)</f>
        <v/>
      </c>
      <c r="C820" s="60" t="str">
        <f>Summary!H820</f>
        <v/>
      </c>
    </row>
    <row r="821" spans="1:3">
      <c r="A821" s="59" t="str">
        <f>IF(Summary!E821="","",Summary!E821)</f>
        <v/>
      </c>
      <c r="B821" s="59" t="str">
        <f>IF(Summary!J821="","",Summary!J821)</f>
        <v/>
      </c>
      <c r="C821" s="60" t="str">
        <f>Summary!H821</f>
        <v/>
      </c>
    </row>
    <row r="822" spans="1:3">
      <c r="A822" s="59" t="str">
        <f>IF(Summary!E822="","",Summary!E822)</f>
        <v/>
      </c>
      <c r="B822" s="59" t="str">
        <f>IF(Summary!J822="","",Summary!J822)</f>
        <v/>
      </c>
      <c r="C822" s="60" t="str">
        <f>Summary!H822</f>
        <v/>
      </c>
    </row>
    <row r="823" spans="1:3">
      <c r="A823" s="59" t="str">
        <f>IF(Summary!E823="","",Summary!E823)</f>
        <v/>
      </c>
      <c r="B823" s="59" t="str">
        <f>IF(Summary!J823="","",Summary!J823)</f>
        <v/>
      </c>
      <c r="C823" s="60" t="str">
        <f>Summary!H823</f>
        <v/>
      </c>
    </row>
    <row r="824" spans="1:3">
      <c r="A824" s="59" t="str">
        <f>IF(Summary!E824="","",Summary!E824)</f>
        <v/>
      </c>
      <c r="B824" s="59" t="str">
        <f>IF(Summary!J824="","",Summary!J824)</f>
        <v/>
      </c>
      <c r="C824" s="60" t="str">
        <f>Summary!H824</f>
        <v/>
      </c>
    </row>
    <row r="825" spans="1:3">
      <c r="A825" s="59" t="str">
        <f>IF(Summary!E825="","",Summary!E825)</f>
        <v/>
      </c>
      <c r="B825" s="59" t="str">
        <f>IF(Summary!J825="","",Summary!J825)</f>
        <v/>
      </c>
      <c r="C825" s="60" t="str">
        <f>Summary!H825</f>
        <v/>
      </c>
    </row>
    <row r="826" spans="1:3">
      <c r="A826" s="59" t="str">
        <f>IF(Summary!E826="","",Summary!E826)</f>
        <v/>
      </c>
      <c r="B826" s="59" t="str">
        <f>IF(Summary!J826="","",Summary!J826)</f>
        <v/>
      </c>
      <c r="C826" s="60" t="str">
        <f>Summary!H826</f>
        <v/>
      </c>
    </row>
    <row r="827" spans="1:3">
      <c r="A827" s="59" t="str">
        <f>IF(Summary!E827="","",Summary!E827)</f>
        <v/>
      </c>
      <c r="B827" s="59" t="str">
        <f>IF(Summary!J827="","",Summary!J827)</f>
        <v/>
      </c>
      <c r="C827" s="60" t="str">
        <f>Summary!H827</f>
        <v/>
      </c>
    </row>
    <row r="828" spans="1:3">
      <c r="A828" s="59" t="str">
        <f>IF(Summary!E828="","",Summary!E828)</f>
        <v/>
      </c>
      <c r="B828" s="59" t="str">
        <f>IF(Summary!J828="","",Summary!J828)</f>
        <v/>
      </c>
      <c r="C828" s="60" t="str">
        <f>Summary!H828</f>
        <v/>
      </c>
    </row>
    <row r="829" spans="1:3">
      <c r="A829" s="59" t="str">
        <f>IF(Summary!E829="","",Summary!E829)</f>
        <v/>
      </c>
      <c r="B829" s="59" t="str">
        <f>IF(Summary!J829="","",Summary!J829)</f>
        <v/>
      </c>
      <c r="C829" s="60" t="str">
        <f>Summary!H829</f>
        <v/>
      </c>
    </row>
    <row r="830" spans="1:3">
      <c r="A830" s="59" t="str">
        <f>IF(Summary!E830="","",Summary!E830)</f>
        <v/>
      </c>
      <c r="B830" s="59" t="str">
        <f>IF(Summary!J830="","",Summary!J830)</f>
        <v/>
      </c>
      <c r="C830" s="60" t="str">
        <f>Summary!H830</f>
        <v/>
      </c>
    </row>
    <row r="831" spans="1:3">
      <c r="A831" s="59" t="str">
        <f>IF(Summary!E831="","",Summary!E831)</f>
        <v/>
      </c>
      <c r="B831" s="59" t="str">
        <f>IF(Summary!J831="","",Summary!J831)</f>
        <v/>
      </c>
      <c r="C831" s="60" t="str">
        <f>Summary!H831</f>
        <v/>
      </c>
    </row>
    <row r="832" spans="1:3">
      <c r="A832" s="59" t="str">
        <f>IF(Summary!E832="","",Summary!E832)</f>
        <v/>
      </c>
      <c r="B832" s="59" t="str">
        <f>IF(Summary!J832="","",Summary!J832)</f>
        <v/>
      </c>
      <c r="C832" s="60" t="str">
        <f>Summary!H832</f>
        <v/>
      </c>
    </row>
    <row r="833" spans="1:3">
      <c r="A833" s="59" t="str">
        <f>IF(Summary!E833="","",Summary!E833)</f>
        <v/>
      </c>
      <c r="B833" s="59" t="str">
        <f>IF(Summary!J833="","",Summary!J833)</f>
        <v/>
      </c>
      <c r="C833" s="60" t="str">
        <f>Summary!H833</f>
        <v/>
      </c>
    </row>
    <row r="834" spans="1:3">
      <c r="A834" s="59" t="str">
        <f>IF(Summary!E834="","",Summary!E834)</f>
        <v/>
      </c>
      <c r="B834" s="59" t="str">
        <f>IF(Summary!J834="","",Summary!J834)</f>
        <v/>
      </c>
      <c r="C834" s="60" t="str">
        <f>Summary!H834</f>
        <v/>
      </c>
    </row>
    <row r="835" spans="1:3">
      <c r="A835" s="59" t="str">
        <f>IF(Summary!E835="","",Summary!E835)</f>
        <v/>
      </c>
      <c r="B835" s="59" t="str">
        <f>IF(Summary!J835="","",Summary!J835)</f>
        <v/>
      </c>
      <c r="C835" s="60" t="str">
        <f>Summary!H835</f>
        <v/>
      </c>
    </row>
    <row r="836" spans="1:3">
      <c r="A836" s="59" t="str">
        <f>IF(Summary!E836="","",Summary!E836)</f>
        <v/>
      </c>
      <c r="B836" s="59" t="str">
        <f>IF(Summary!J836="","",Summary!J836)</f>
        <v/>
      </c>
      <c r="C836" s="60" t="str">
        <f>Summary!H836</f>
        <v/>
      </c>
    </row>
    <row r="837" spans="1:3">
      <c r="A837" s="59" t="str">
        <f>IF(Summary!E837="","",Summary!E837)</f>
        <v/>
      </c>
      <c r="B837" s="59" t="str">
        <f>IF(Summary!J837="","",Summary!J837)</f>
        <v/>
      </c>
      <c r="C837" s="60" t="str">
        <f>Summary!H837</f>
        <v/>
      </c>
    </row>
    <row r="838" spans="1:3">
      <c r="A838" s="59" t="str">
        <f>IF(Summary!E838="","",Summary!E838)</f>
        <v/>
      </c>
      <c r="B838" s="59" t="str">
        <f>IF(Summary!J838="","",Summary!J838)</f>
        <v/>
      </c>
      <c r="C838" s="60" t="str">
        <f>Summary!H838</f>
        <v/>
      </c>
    </row>
    <row r="839" spans="1:3">
      <c r="A839" s="59" t="str">
        <f>IF(Summary!E839="","",Summary!E839)</f>
        <v/>
      </c>
      <c r="B839" s="59" t="str">
        <f>IF(Summary!J839="","",Summary!J839)</f>
        <v/>
      </c>
      <c r="C839" s="60" t="str">
        <f>Summary!H839</f>
        <v/>
      </c>
    </row>
    <row r="840" spans="1:3">
      <c r="A840" s="59" t="str">
        <f>IF(Summary!E840="","",Summary!E840)</f>
        <v/>
      </c>
      <c r="B840" s="59" t="str">
        <f>IF(Summary!J840="","",Summary!J840)</f>
        <v/>
      </c>
      <c r="C840" s="60" t="str">
        <f>Summary!H840</f>
        <v/>
      </c>
    </row>
    <row r="841" spans="1:3">
      <c r="A841" s="59" t="str">
        <f>IF(Summary!E841="","",Summary!E841)</f>
        <v/>
      </c>
      <c r="B841" s="59" t="str">
        <f>IF(Summary!J841="","",Summary!J841)</f>
        <v/>
      </c>
      <c r="C841" s="60" t="str">
        <f>Summary!H841</f>
        <v/>
      </c>
    </row>
    <row r="842" spans="1:3">
      <c r="A842" s="59" t="str">
        <f>IF(Summary!E842="","",Summary!E842)</f>
        <v/>
      </c>
      <c r="B842" s="59" t="str">
        <f>IF(Summary!J842="","",Summary!J842)</f>
        <v/>
      </c>
      <c r="C842" s="60" t="str">
        <f>Summary!H842</f>
        <v/>
      </c>
    </row>
    <row r="843" spans="1:3">
      <c r="A843" s="59" t="str">
        <f>IF(Summary!E843="","",Summary!E843)</f>
        <v/>
      </c>
      <c r="B843" s="59" t="str">
        <f>IF(Summary!J843="","",Summary!J843)</f>
        <v/>
      </c>
      <c r="C843" s="60" t="str">
        <f>Summary!H843</f>
        <v/>
      </c>
    </row>
    <row r="844" spans="1:3">
      <c r="A844" s="59" t="str">
        <f>IF(Summary!E844="","",Summary!E844)</f>
        <v/>
      </c>
      <c r="B844" s="59" t="str">
        <f>IF(Summary!J844="","",Summary!J844)</f>
        <v/>
      </c>
      <c r="C844" s="60" t="str">
        <f>Summary!H844</f>
        <v/>
      </c>
    </row>
    <row r="845" spans="1:3">
      <c r="A845" s="59" t="str">
        <f>IF(Summary!E845="","",Summary!E845)</f>
        <v/>
      </c>
      <c r="B845" s="59" t="str">
        <f>IF(Summary!J845="","",Summary!J845)</f>
        <v/>
      </c>
      <c r="C845" s="60" t="str">
        <f>Summary!H845</f>
        <v/>
      </c>
    </row>
    <row r="846" spans="1:3">
      <c r="A846" s="59" t="str">
        <f>IF(Summary!E846="","",Summary!E846)</f>
        <v/>
      </c>
      <c r="B846" s="59" t="str">
        <f>IF(Summary!J846="","",Summary!J846)</f>
        <v/>
      </c>
      <c r="C846" s="60" t="str">
        <f>Summary!H846</f>
        <v/>
      </c>
    </row>
    <row r="847" spans="1:3">
      <c r="A847" s="59" t="str">
        <f>IF(Summary!E847="","",Summary!E847)</f>
        <v/>
      </c>
      <c r="B847" s="59" t="str">
        <f>IF(Summary!J847="","",Summary!J847)</f>
        <v/>
      </c>
      <c r="C847" s="60" t="str">
        <f>Summary!H847</f>
        <v/>
      </c>
    </row>
    <row r="848" spans="1:3">
      <c r="A848" s="59" t="str">
        <f>IF(Summary!E848="","",Summary!E848)</f>
        <v/>
      </c>
      <c r="B848" s="59" t="str">
        <f>IF(Summary!J848="","",Summary!J848)</f>
        <v/>
      </c>
      <c r="C848" s="60" t="str">
        <f>Summary!H848</f>
        <v/>
      </c>
    </row>
    <row r="849" spans="1:3">
      <c r="A849" s="59" t="str">
        <f>IF(Summary!E849="","",Summary!E849)</f>
        <v/>
      </c>
      <c r="B849" s="59" t="str">
        <f>IF(Summary!J849="","",Summary!J849)</f>
        <v/>
      </c>
      <c r="C849" s="60" t="str">
        <f>Summary!H849</f>
        <v/>
      </c>
    </row>
    <row r="850" spans="1:3">
      <c r="A850" s="59" t="str">
        <f>IF(Summary!E850="","",Summary!E850)</f>
        <v/>
      </c>
      <c r="B850" s="59" t="str">
        <f>IF(Summary!J850="","",Summary!J850)</f>
        <v/>
      </c>
      <c r="C850" s="60" t="str">
        <f>Summary!H850</f>
        <v/>
      </c>
    </row>
    <row r="851" spans="1:3">
      <c r="A851" s="59" t="str">
        <f>IF(Summary!E851="","",Summary!E851)</f>
        <v/>
      </c>
      <c r="B851" s="59" t="str">
        <f>IF(Summary!J851="","",Summary!J851)</f>
        <v/>
      </c>
      <c r="C851" s="60" t="str">
        <f>Summary!H851</f>
        <v/>
      </c>
    </row>
    <row r="852" spans="1:3">
      <c r="A852" s="59" t="str">
        <f>IF(Summary!E852="","",Summary!E852)</f>
        <v/>
      </c>
      <c r="B852" s="59" t="str">
        <f>IF(Summary!J852="","",Summary!J852)</f>
        <v/>
      </c>
      <c r="C852" s="60" t="str">
        <f>Summary!H852</f>
        <v/>
      </c>
    </row>
    <row r="853" spans="1:3">
      <c r="A853" s="59" t="str">
        <f>IF(Summary!E853="","",Summary!E853)</f>
        <v/>
      </c>
      <c r="B853" s="59" t="str">
        <f>IF(Summary!J853="","",Summary!J853)</f>
        <v/>
      </c>
      <c r="C853" s="60" t="str">
        <f>Summary!H853</f>
        <v/>
      </c>
    </row>
    <row r="854" spans="1:3">
      <c r="A854" s="59" t="str">
        <f>IF(Summary!E854="","",Summary!E854)</f>
        <v/>
      </c>
      <c r="B854" s="59" t="str">
        <f>IF(Summary!J854="","",Summary!J854)</f>
        <v/>
      </c>
      <c r="C854" s="60" t="str">
        <f>Summary!H854</f>
        <v/>
      </c>
    </row>
    <row r="855" spans="1:3">
      <c r="A855" s="59" t="str">
        <f>IF(Summary!E855="","",Summary!E855)</f>
        <v/>
      </c>
      <c r="B855" s="59" t="str">
        <f>IF(Summary!J855="","",Summary!J855)</f>
        <v/>
      </c>
      <c r="C855" s="60" t="str">
        <f>Summary!H855</f>
        <v/>
      </c>
    </row>
    <row r="856" spans="1:3">
      <c r="A856" s="59" t="str">
        <f>IF(Summary!E856="","",Summary!E856)</f>
        <v/>
      </c>
      <c r="B856" s="59" t="str">
        <f>IF(Summary!J856="","",Summary!J856)</f>
        <v/>
      </c>
      <c r="C856" s="60" t="str">
        <f>Summary!H856</f>
        <v/>
      </c>
    </row>
    <row r="857" spans="1:3">
      <c r="A857" s="59" t="str">
        <f>IF(Summary!E857="","",Summary!E857)</f>
        <v/>
      </c>
      <c r="B857" s="59" t="str">
        <f>IF(Summary!J857="","",Summary!J857)</f>
        <v/>
      </c>
      <c r="C857" s="60" t="str">
        <f>Summary!H857</f>
        <v/>
      </c>
    </row>
    <row r="858" spans="1:3">
      <c r="A858" s="59" t="str">
        <f>IF(Summary!E858="","",Summary!E858)</f>
        <v/>
      </c>
      <c r="B858" s="59" t="str">
        <f>IF(Summary!J858="","",Summary!J858)</f>
        <v/>
      </c>
      <c r="C858" s="60" t="str">
        <f>Summary!H858</f>
        <v/>
      </c>
    </row>
    <row r="859" spans="1:3">
      <c r="A859" s="59" t="str">
        <f>IF(Summary!E859="","",Summary!E859)</f>
        <v/>
      </c>
      <c r="B859" s="59" t="str">
        <f>IF(Summary!J859="","",Summary!J859)</f>
        <v/>
      </c>
      <c r="C859" s="60" t="str">
        <f>Summary!H859</f>
        <v/>
      </c>
    </row>
    <row r="860" spans="1:3">
      <c r="A860" s="59" t="str">
        <f>IF(Summary!E860="","",Summary!E860)</f>
        <v/>
      </c>
      <c r="B860" s="59" t="str">
        <f>IF(Summary!J860="","",Summary!J860)</f>
        <v/>
      </c>
      <c r="C860" s="60" t="str">
        <f>Summary!H860</f>
        <v/>
      </c>
    </row>
    <row r="861" spans="1:3">
      <c r="A861" s="59" t="str">
        <f>IF(Summary!E861="","",Summary!E861)</f>
        <v/>
      </c>
      <c r="B861" s="59" t="str">
        <f>IF(Summary!J861="","",Summary!J861)</f>
        <v/>
      </c>
      <c r="C861" s="60" t="str">
        <f>Summary!H861</f>
        <v/>
      </c>
    </row>
    <row r="862" spans="1:3">
      <c r="A862" s="59" t="str">
        <f>IF(Summary!E862="","",Summary!E862)</f>
        <v/>
      </c>
      <c r="B862" s="59" t="str">
        <f>IF(Summary!J862="","",Summary!J862)</f>
        <v/>
      </c>
      <c r="C862" s="60" t="str">
        <f>Summary!H862</f>
        <v/>
      </c>
    </row>
    <row r="863" spans="1:3">
      <c r="A863" s="59" t="str">
        <f>IF(Summary!E863="","",Summary!E863)</f>
        <v/>
      </c>
      <c r="B863" s="59" t="str">
        <f>IF(Summary!J863="","",Summary!J863)</f>
        <v/>
      </c>
      <c r="C863" s="60" t="str">
        <f>Summary!H863</f>
        <v/>
      </c>
    </row>
    <row r="864" spans="1:3">
      <c r="A864" s="59" t="str">
        <f>IF(Summary!E864="","",Summary!E864)</f>
        <v/>
      </c>
      <c r="B864" s="59" t="str">
        <f>IF(Summary!J864="","",Summary!J864)</f>
        <v/>
      </c>
      <c r="C864" s="60" t="str">
        <f>Summary!H864</f>
        <v/>
      </c>
    </row>
    <row r="865" spans="1:3">
      <c r="A865" s="59" t="str">
        <f>IF(Summary!E865="","",Summary!E865)</f>
        <v/>
      </c>
      <c r="B865" s="59" t="str">
        <f>IF(Summary!J865="","",Summary!J865)</f>
        <v/>
      </c>
      <c r="C865" s="60" t="str">
        <f>Summary!H865</f>
        <v/>
      </c>
    </row>
    <row r="866" spans="1:3">
      <c r="A866" s="59" t="str">
        <f>IF(Summary!E866="","",Summary!E866)</f>
        <v/>
      </c>
      <c r="B866" s="59" t="str">
        <f>IF(Summary!J866="","",Summary!J866)</f>
        <v/>
      </c>
      <c r="C866" s="60" t="str">
        <f>Summary!H866</f>
        <v/>
      </c>
    </row>
    <row r="867" spans="1:3">
      <c r="A867" s="59" t="str">
        <f>IF(Summary!E867="","",Summary!E867)</f>
        <v/>
      </c>
      <c r="B867" s="59" t="str">
        <f>IF(Summary!J867="","",Summary!J867)</f>
        <v/>
      </c>
      <c r="C867" s="60" t="str">
        <f>Summary!H867</f>
        <v/>
      </c>
    </row>
    <row r="868" spans="1:3">
      <c r="A868" s="59" t="str">
        <f>IF(Summary!E868="","",Summary!E868)</f>
        <v/>
      </c>
      <c r="B868" s="59" t="str">
        <f>IF(Summary!J868="","",Summary!J868)</f>
        <v/>
      </c>
      <c r="C868" s="60" t="str">
        <f>Summary!H868</f>
        <v/>
      </c>
    </row>
    <row r="869" spans="1:3">
      <c r="A869" s="59" t="str">
        <f>IF(Summary!E869="","",Summary!E869)</f>
        <v/>
      </c>
      <c r="B869" s="59" t="str">
        <f>IF(Summary!J869="","",Summary!J869)</f>
        <v/>
      </c>
      <c r="C869" s="60" t="str">
        <f>Summary!H869</f>
        <v/>
      </c>
    </row>
    <row r="870" spans="1:3">
      <c r="A870" s="59" t="str">
        <f>IF(Summary!E870="","",Summary!E870)</f>
        <v/>
      </c>
      <c r="B870" s="59" t="str">
        <f>IF(Summary!J870="","",Summary!J870)</f>
        <v/>
      </c>
      <c r="C870" s="60" t="str">
        <f>Summary!H870</f>
        <v/>
      </c>
    </row>
    <row r="871" spans="1:3">
      <c r="A871" s="59" t="str">
        <f>IF(Summary!E871="","",Summary!E871)</f>
        <v/>
      </c>
      <c r="B871" s="59" t="str">
        <f>IF(Summary!J871="","",Summary!J871)</f>
        <v/>
      </c>
      <c r="C871" s="60" t="str">
        <f>Summary!H871</f>
        <v/>
      </c>
    </row>
    <row r="872" spans="1:3">
      <c r="A872" s="59" t="str">
        <f>IF(Summary!E872="","",Summary!E872)</f>
        <v/>
      </c>
      <c r="B872" s="59" t="str">
        <f>IF(Summary!J872="","",Summary!J872)</f>
        <v/>
      </c>
      <c r="C872" s="60" t="str">
        <f>Summary!H872</f>
        <v/>
      </c>
    </row>
    <row r="873" spans="1:3">
      <c r="A873" s="59" t="str">
        <f>IF(Summary!E873="","",Summary!E873)</f>
        <v/>
      </c>
      <c r="B873" s="59" t="str">
        <f>IF(Summary!J873="","",Summary!J873)</f>
        <v/>
      </c>
      <c r="C873" s="60" t="str">
        <f>Summary!H873</f>
        <v/>
      </c>
    </row>
    <row r="874" spans="1:3">
      <c r="A874" s="59" t="str">
        <f>IF(Summary!E874="","",Summary!E874)</f>
        <v/>
      </c>
      <c r="B874" s="59" t="str">
        <f>IF(Summary!J874="","",Summary!J874)</f>
        <v/>
      </c>
      <c r="C874" s="60" t="str">
        <f>Summary!H874</f>
        <v/>
      </c>
    </row>
    <row r="875" spans="1:3">
      <c r="A875" s="59" t="str">
        <f>IF(Summary!E875="","",Summary!E875)</f>
        <v/>
      </c>
      <c r="B875" s="59" t="str">
        <f>IF(Summary!J875="","",Summary!J875)</f>
        <v/>
      </c>
      <c r="C875" s="60" t="str">
        <f>Summary!H875</f>
        <v/>
      </c>
    </row>
    <row r="876" spans="1:3">
      <c r="A876" s="59" t="str">
        <f>IF(Summary!E876="","",Summary!E876)</f>
        <v/>
      </c>
      <c r="B876" s="59" t="str">
        <f>IF(Summary!J876="","",Summary!J876)</f>
        <v/>
      </c>
      <c r="C876" s="60" t="str">
        <f>Summary!H876</f>
        <v/>
      </c>
    </row>
    <row r="877" spans="1:3">
      <c r="A877" s="59" t="str">
        <f>IF(Summary!E877="","",Summary!E877)</f>
        <v/>
      </c>
      <c r="B877" s="59" t="str">
        <f>IF(Summary!J877="","",Summary!J877)</f>
        <v/>
      </c>
      <c r="C877" s="60" t="str">
        <f>Summary!H877</f>
        <v/>
      </c>
    </row>
    <row r="878" spans="1:3">
      <c r="A878" s="59" t="str">
        <f>IF(Summary!E878="","",Summary!E878)</f>
        <v/>
      </c>
      <c r="B878" s="59" t="str">
        <f>IF(Summary!J878="","",Summary!J878)</f>
        <v/>
      </c>
      <c r="C878" s="60" t="str">
        <f>Summary!H878</f>
        <v/>
      </c>
    </row>
    <row r="879" spans="1:3">
      <c r="A879" s="59" t="str">
        <f>IF(Summary!E879="","",Summary!E879)</f>
        <v/>
      </c>
      <c r="B879" s="59" t="str">
        <f>IF(Summary!J879="","",Summary!J879)</f>
        <v/>
      </c>
      <c r="C879" s="60" t="str">
        <f>Summary!H879</f>
        <v/>
      </c>
    </row>
    <row r="880" spans="1:3">
      <c r="A880" s="59" t="str">
        <f>IF(Summary!E880="","",Summary!E880)</f>
        <v/>
      </c>
      <c r="B880" s="59" t="str">
        <f>IF(Summary!J880="","",Summary!J880)</f>
        <v/>
      </c>
      <c r="C880" s="60" t="str">
        <f>Summary!H880</f>
        <v/>
      </c>
    </row>
    <row r="881" spans="1:3">
      <c r="A881" s="59" t="str">
        <f>IF(Summary!E881="","",Summary!E881)</f>
        <v/>
      </c>
      <c r="B881" s="59" t="str">
        <f>IF(Summary!J881="","",Summary!J881)</f>
        <v/>
      </c>
      <c r="C881" s="60" t="str">
        <f>Summary!H881</f>
        <v/>
      </c>
    </row>
    <row r="882" spans="1:3">
      <c r="A882" s="59" t="str">
        <f>IF(Summary!E882="","",Summary!E882)</f>
        <v/>
      </c>
      <c r="B882" s="59" t="str">
        <f>IF(Summary!J882="","",Summary!J882)</f>
        <v/>
      </c>
      <c r="C882" s="60" t="str">
        <f>Summary!H882</f>
        <v/>
      </c>
    </row>
    <row r="883" spans="1:3">
      <c r="A883" s="59" t="str">
        <f>IF(Summary!E883="","",Summary!E883)</f>
        <v/>
      </c>
      <c r="B883" s="59" t="str">
        <f>IF(Summary!J883="","",Summary!J883)</f>
        <v/>
      </c>
      <c r="C883" s="60" t="str">
        <f>Summary!H883</f>
        <v/>
      </c>
    </row>
    <row r="884" spans="1:3">
      <c r="A884" s="59" t="str">
        <f>IF(Summary!E884="","",Summary!E884)</f>
        <v/>
      </c>
      <c r="B884" s="59" t="str">
        <f>IF(Summary!J884="","",Summary!J884)</f>
        <v/>
      </c>
      <c r="C884" s="60" t="str">
        <f>Summary!H884</f>
        <v/>
      </c>
    </row>
    <row r="885" spans="1:3">
      <c r="A885" s="59" t="str">
        <f>IF(Summary!E885="","",Summary!E885)</f>
        <v/>
      </c>
      <c r="B885" s="59" t="str">
        <f>IF(Summary!J885="","",Summary!J885)</f>
        <v/>
      </c>
      <c r="C885" s="60" t="str">
        <f>Summary!H885</f>
        <v/>
      </c>
    </row>
    <row r="886" spans="1:3">
      <c r="A886" s="59" t="str">
        <f>IF(Summary!E886="","",Summary!E886)</f>
        <v/>
      </c>
      <c r="B886" s="59" t="str">
        <f>IF(Summary!J886="","",Summary!J886)</f>
        <v/>
      </c>
      <c r="C886" s="60" t="str">
        <f>Summary!H886</f>
        <v/>
      </c>
    </row>
    <row r="887" spans="1:3">
      <c r="A887" s="59" t="str">
        <f>IF(Summary!E887="","",Summary!E887)</f>
        <v/>
      </c>
      <c r="B887" s="59" t="str">
        <f>IF(Summary!J887="","",Summary!J887)</f>
        <v/>
      </c>
      <c r="C887" s="60" t="str">
        <f>Summary!H887</f>
        <v/>
      </c>
    </row>
    <row r="888" spans="1:3">
      <c r="A888" s="59" t="str">
        <f>IF(Summary!E888="","",Summary!E888)</f>
        <v/>
      </c>
      <c r="B888" s="59" t="str">
        <f>IF(Summary!J888="","",Summary!J888)</f>
        <v/>
      </c>
      <c r="C888" s="60" t="str">
        <f>Summary!H888</f>
        <v/>
      </c>
    </row>
    <row r="889" spans="1:3">
      <c r="A889" s="59" t="str">
        <f>IF(Summary!E889="","",Summary!E889)</f>
        <v/>
      </c>
      <c r="B889" s="59" t="str">
        <f>IF(Summary!J889="","",Summary!J889)</f>
        <v/>
      </c>
      <c r="C889" s="60" t="str">
        <f>Summary!H889</f>
        <v/>
      </c>
    </row>
    <row r="890" spans="1:3">
      <c r="A890" s="59" t="str">
        <f>IF(Summary!E890="","",Summary!E890)</f>
        <v/>
      </c>
      <c r="B890" s="59" t="str">
        <f>IF(Summary!J890="","",Summary!J890)</f>
        <v/>
      </c>
      <c r="C890" s="60" t="str">
        <f>Summary!H890</f>
        <v/>
      </c>
    </row>
    <row r="891" spans="1:3">
      <c r="A891" s="59" t="str">
        <f>IF(Summary!E891="","",Summary!E891)</f>
        <v/>
      </c>
      <c r="B891" s="59" t="str">
        <f>IF(Summary!J891="","",Summary!J891)</f>
        <v/>
      </c>
      <c r="C891" s="60" t="str">
        <f>Summary!H891</f>
        <v/>
      </c>
    </row>
    <row r="892" spans="1:3">
      <c r="A892" s="59" t="str">
        <f>IF(Summary!E892="","",Summary!E892)</f>
        <v/>
      </c>
      <c r="B892" s="59" t="str">
        <f>IF(Summary!J892="","",Summary!J892)</f>
        <v/>
      </c>
      <c r="C892" s="60" t="str">
        <f>Summary!H892</f>
        <v/>
      </c>
    </row>
    <row r="893" spans="1:3">
      <c r="A893" s="59" t="str">
        <f>IF(Summary!E893="","",Summary!E893)</f>
        <v/>
      </c>
      <c r="B893" s="59" t="str">
        <f>IF(Summary!J893="","",Summary!J893)</f>
        <v/>
      </c>
      <c r="C893" s="60" t="str">
        <f>Summary!H893</f>
        <v/>
      </c>
    </row>
    <row r="894" spans="1:3">
      <c r="A894" s="59" t="str">
        <f>IF(Summary!E894="","",Summary!E894)</f>
        <v/>
      </c>
      <c r="B894" s="59" t="str">
        <f>IF(Summary!J894="","",Summary!J894)</f>
        <v/>
      </c>
      <c r="C894" s="60" t="str">
        <f>Summary!H894</f>
        <v/>
      </c>
    </row>
    <row r="895" spans="1:3">
      <c r="A895" s="59" t="str">
        <f>IF(Summary!E895="","",Summary!E895)</f>
        <v/>
      </c>
      <c r="B895" s="59" t="str">
        <f>IF(Summary!J895="","",Summary!J895)</f>
        <v/>
      </c>
      <c r="C895" s="60" t="str">
        <f>Summary!H895</f>
        <v/>
      </c>
    </row>
    <row r="896" spans="1:3">
      <c r="A896" s="59" t="str">
        <f>IF(Summary!E896="","",Summary!E896)</f>
        <v/>
      </c>
      <c r="B896" s="59" t="str">
        <f>IF(Summary!J896="","",Summary!J896)</f>
        <v/>
      </c>
      <c r="C896" s="60" t="str">
        <f>Summary!H896</f>
        <v/>
      </c>
    </row>
    <row r="897" spans="1:3">
      <c r="A897" s="59" t="str">
        <f>IF(Summary!E897="","",Summary!E897)</f>
        <v/>
      </c>
      <c r="B897" s="59" t="str">
        <f>IF(Summary!J897="","",Summary!J897)</f>
        <v/>
      </c>
      <c r="C897" s="60" t="str">
        <f>Summary!H897</f>
        <v/>
      </c>
    </row>
    <row r="898" spans="1:3">
      <c r="A898" s="59" t="str">
        <f>IF(Summary!E898="","",Summary!E898)</f>
        <v/>
      </c>
      <c r="B898" s="59" t="str">
        <f>IF(Summary!J898="","",Summary!J898)</f>
        <v/>
      </c>
      <c r="C898" s="60" t="str">
        <f>Summary!H898</f>
        <v/>
      </c>
    </row>
    <row r="899" spans="1:3">
      <c r="A899" s="59" t="str">
        <f>IF(Summary!E899="","",Summary!E899)</f>
        <v/>
      </c>
      <c r="B899" s="59" t="str">
        <f>IF(Summary!J899="","",Summary!J899)</f>
        <v/>
      </c>
      <c r="C899" s="60" t="str">
        <f>Summary!H899</f>
        <v/>
      </c>
    </row>
    <row r="900" spans="1:3">
      <c r="A900" s="59" t="str">
        <f>IF(Summary!E900="","",Summary!E900)</f>
        <v/>
      </c>
      <c r="B900" s="59" t="str">
        <f>IF(Summary!J900="","",Summary!J900)</f>
        <v/>
      </c>
      <c r="C900" s="60" t="str">
        <f>Summary!H900</f>
        <v/>
      </c>
    </row>
    <row r="901" spans="1:3">
      <c r="A901" s="59" t="str">
        <f>IF(Summary!E901="","",Summary!E901)</f>
        <v/>
      </c>
      <c r="B901" s="59" t="str">
        <f>IF(Summary!J901="","",Summary!J901)</f>
        <v/>
      </c>
      <c r="C901" s="60" t="str">
        <f>Summary!H901</f>
        <v/>
      </c>
    </row>
    <row r="902" spans="1:3">
      <c r="A902" s="59" t="str">
        <f>IF(Summary!E902="","",Summary!E902)</f>
        <v/>
      </c>
      <c r="B902" s="59" t="str">
        <f>IF(Summary!J902="","",Summary!J902)</f>
        <v/>
      </c>
      <c r="C902" s="60" t="str">
        <f>Summary!H902</f>
        <v/>
      </c>
    </row>
    <row r="903" spans="1:3">
      <c r="A903" s="59" t="str">
        <f>IF(Summary!E903="","",Summary!E903)</f>
        <v/>
      </c>
      <c r="B903" s="59" t="str">
        <f>IF(Summary!J903="","",Summary!J903)</f>
        <v/>
      </c>
      <c r="C903" s="60" t="str">
        <f>Summary!H903</f>
        <v/>
      </c>
    </row>
    <row r="904" spans="1:3">
      <c r="A904" s="59" t="str">
        <f>IF(Summary!E904="","",Summary!E904)</f>
        <v/>
      </c>
      <c r="B904" s="59" t="str">
        <f>IF(Summary!J904="","",Summary!J904)</f>
        <v/>
      </c>
      <c r="C904" s="60" t="str">
        <f>Summary!H904</f>
        <v/>
      </c>
    </row>
    <row r="905" spans="1:3">
      <c r="A905" s="59" t="str">
        <f>IF(Summary!E905="","",Summary!E905)</f>
        <v/>
      </c>
      <c r="B905" s="59" t="str">
        <f>IF(Summary!J905="","",Summary!J905)</f>
        <v/>
      </c>
      <c r="C905" s="60" t="str">
        <f>Summary!H905</f>
        <v/>
      </c>
    </row>
    <row r="906" spans="1:3">
      <c r="A906" s="59" t="str">
        <f>IF(Summary!E906="","",Summary!E906)</f>
        <v/>
      </c>
      <c r="B906" s="59" t="str">
        <f>IF(Summary!J906="","",Summary!J906)</f>
        <v/>
      </c>
      <c r="C906" s="60" t="str">
        <f>Summary!H906</f>
        <v/>
      </c>
    </row>
    <row r="907" spans="1:3">
      <c r="A907" s="59" t="str">
        <f>IF(Summary!E907="","",Summary!E907)</f>
        <v/>
      </c>
      <c r="B907" s="59" t="str">
        <f>IF(Summary!J907="","",Summary!J907)</f>
        <v/>
      </c>
      <c r="C907" s="60" t="str">
        <f>Summary!H907</f>
        <v/>
      </c>
    </row>
    <row r="908" spans="1:3">
      <c r="A908" s="59" t="str">
        <f>IF(Summary!E908="","",Summary!E908)</f>
        <v/>
      </c>
      <c r="B908" s="59" t="str">
        <f>IF(Summary!J908="","",Summary!J908)</f>
        <v/>
      </c>
      <c r="C908" s="60" t="str">
        <f>Summary!H908</f>
        <v/>
      </c>
    </row>
    <row r="909" spans="1:3">
      <c r="A909" s="59" t="str">
        <f>IF(Summary!E909="","",Summary!E909)</f>
        <v/>
      </c>
      <c r="B909" s="59" t="str">
        <f>IF(Summary!J909="","",Summary!J909)</f>
        <v/>
      </c>
      <c r="C909" s="60" t="str">
        <f>Summary!H909</f>
        <v/>
      </c>
    </row>
    <row r="910" spans="1:3">
      <c r="A910" s="59" t="str">
        <f>IF(Summary!E910="","",Summary!E910)</f>
        <v/>
      </c>
      <c r="B910" s="59" t="str">
        <f>IF(Summary!J910="","",Summary!J910)</f>
        <v/>
      </c>
      <c r="C910" s="60" t="str">
        <f>Summary!H910</f>
        <v/>
      </c>
    </row>
    <row r="911" spans="1:3">
      <c r="A911" s="59" t="str">
        <f>IF(Summary!E911="","",Summary!E911)</f>
        <v/>
      </c>
      <c r="B911" s="59" t="str">
        <f>IF(Summary!J911="","",Summary!J911)</f>
        <v/>
      </c>
      <c r="C911" s="60" t="str">
        <f>Summary!H911</f>
        <v/>
      </c>
    </row>
    <row r="912" spans="1:3">
      <c r="A912" s="59" t="str">
        <f>IF(Summary!E912="","",Summary!E912)</f>
        <v/>
      </c>
      <c r="B912" s="59" t="str">
        <f>IF(Summary!J912="","",Summary!J912)</f>
        <v/>
      </c>
      <c r="C912" s="60" t="str">
        <f>Summary!H912</f>
        <v/>
      </c>
    </row>
    <row r="913" spans="1:3">
      <c r="A913" s="59" t="str">
        <f>IF(Summary!E913="","",Summary!E913)</f>
        <v/>
      </c>
      <c r="B913" s="59" t="str">
        <f>IF(Summary!J913="","",Summary!J913)</f>
        <v/>
      </c>
      <c r="C913" s="60" t="str">
        <f>Summary!H913</f>
        <v/>
      </c>
    </row>
    <row r="914" spans="1:3">
      <c r="A914" s="59" t="str">
        <f>IF(Summary!E914="","",Summary!E914)</f>
        <v/>
      </c>
      <c r="B914" s="59" t="str">
        <f>IF(Summary!J914="","",Summary!J914)</f>
        <v/>
      </c>
      <c r="C914" s="60" t="str">
        <f>Summary!H914</f>
        <v/>
      </c>
    </row>
    <row r="915" spans="1:3">
      <c r="A915" s="59" t="str">
        <f>IF(Summary!E915="","",Summary!E915)</f>
        <v/>
      </c>
      <c r="B915" s="59" t="str">
        <f>IF(Summary!J915="","",Summary!J915)</f>
        <v/>
      </c>
      <c r="C915" s="60" t="str">
        <f>Summary!H915</f>
        <v/>
      </c>
    </row>
    <row r="916" spans="1:3">
      <c r="A916" s="59" t="str">
        <f>IF(Summary!E916="","",Summary!E916)</f>
        <v/>
      </c>
      <c r="B916" s="59" t="str">
        <f>IF(Summary!J916="","",Summary!J916)</f>
        <v/>
      </c>
      <c r="C916" s="60" t="str">
        <f>Summary!H916</f>
        <v/>
      </c>
    </row>
    <row r="917" spans="1:3">
      <c r="A917" s="59" t="str">
        <f>IF(Summary!E917="","",Summary!E917)</f>
        <v/>
      </c>
      <c r="B917" s="59" t="str">
        <f>IF(Summary!J917="","",Summary!J917)</f>
        <v/>
      </c>
      <c r="C917" s="60" t="str">
        <f>Summary!H917</f>
        <v/>
      </c>
    </row>
    <row r="918" spans="1:3">
      <c r="A918" s="59" t="str">
        <f>IF(Summary!E918="","",Summary!E918)</f>
        <v/>
      </c>
      <c r="B918" s="59" t="str">
        <f>IF(Summary!J918="","",Summary!J918)</f>
        <v/>
      </c>
      <c r="C918" s="60" t="str">
        <f>Summary!H918</f>
        <v/>
      </c>
    </row>
    <row r="919" spans="1:3">
      <c r="A919" s="59" t="str">
        <f>IF(Summary!E919="","",Summary!E919)</f>
        <v/>
      </c>
      <c r="B919" s="59" t="str">
        <f>IF(Summary!J919="","",Summary!J919)</f>
        <v/>
      </c>
      <c r="C919" s="60" t="str">
        <f>Summary!H919</f>
        <v/>
      </c>
    </row>
    <row r="920" spans="1:3">
      <c r="A920" s="59" t="str">
        <f>IF(Summary!E920="","",Summary!E920)</f>
        <v/>
      </c>
      <c r="B920" s="59" t="str">
        <f>IF(Summary!J920="","",Summary!J920)</f>
        <v/>
      </c>
      <c r="C920" s="60" t="str">
        <f>Summary!H920</f>
        <v/>
      </c>
    </row>
    <row r="921" spans="1:3">
      <c r="A921" s="59" t="str">
        <f>IF(Summary!E921="","",Summary!E921)</f>
        <v/>
      </c>
      <c r="B921" s="59" t="str">
        <f>IF(Summary!J921="","",Summary!J921)</f>
        <v/>
      </c>
      <c r="C921" s="60" t="str">
        <f>Summary!H921</f>
        <v/>
      </c>
    </row>
    <row r="922" spans="1:3">
      <c r="A922" s="59" t="str">
        <f>IF(Summary!E922="","",Summary!E922)</f>
        <v/>
      </c>
      <c r="B922" s="59" t="str">
        <f>IF(Summary!J922="","",Summary!J922)</f>
        <v/>
      </c>
      <c r="C922" s="60" t="str">
        <f>Summary!H922</f>
        <v/>
      </c>
    </row>
    <row r="923" spans="1:3">
      <c r="A923" s="59" t="str">
        <f>IF(Summary!E923="","",Summary!E923)</f>
        <v/>
      </c>
      <c r="B923" s="59" t="str">
        <f>IF(Summary!J923="","",Summary!J923)</f>
        <v/>
      </c>
      <c r="C923" s="60" t="str">
        <f>Summary!H923</f>
        <v/>
      </c>
    </row>
    <row r="924" spans="1:3">
      <c r="A924" s="59" t="str">
        <f>IF(Summary!E924="","",Summary!E924)</f>
        <v/>
      </c>
      <c r="B924" s="59" t="str">
        <f>IF(Summary!J924="","",Summary!J924)</f>
        <v/>
      </c>
      <c r="C924" s="60" t="str">
        <f>Summary!H924</f>
        <v/>
      </c>
    </row>
    <row r="925" spans="1:3">
      <c r="A925" s="59" t="str">
        <f>IF(Summary!E925="","",Summary!E925)</f>
        <v/>
      </c>
      <c r="B925" s="59" t="str">
        <f>IF(Summary!J925="","",Summary!J925)</f>
        <v/>
      </c>
      <c r="C925" s="60" t="str">
        <f>Summary!H925</f>
        <v/>
      </c>
    </row>
    <row r="926" spans="1:3">
      <c r="A926" s="59" t="str">
        <f>IF(Summary!E926="","",Summary!E926)</f>
        <v/>
      </c>
      <c r="B926" s="59" t="str">
        <f>IF(Summary!J926="","",Summary!J926)</f>
        <v/>
      </c>
      <c r="C926" s="60" t="str">
        <f>Summary!H926</f>
        <v/>
      </c>
    </row>
    <row r="927" spans="1:3">
      <c r="A927" s="59" t="str">
        <f>IF(Summary!E927="","",Summary!E927)</f>
        <v/>
      </c>
      <c r="B927" s="59" t="str">
        <f>IF(Summary!J927="","",Summary!J927)</f>
        <v/>
      </c>
      <c r="C927" s="60" t="str">
        <f>Summary!H927</f>
        <v/>
      </c>
    </row>
    <row r="928" spans="1:3">
      <c r="A928" s="59" t="str">
        <f>IF(Summary!E928="","",Summary!E928)</f>
        <v/>
      </c>
      <c r="B928" s="59" t="str">
        <f>IF(Summary!J928="","",Summary!J928)</f>
        <v/>
      </c>
      <c r="C928" s="60" t="str">
        <f>Summary!H928</f>
        <v/>
      </c>
    </row>
    <row r="929" spans="1:3">
      <c r="A929" s="59" t="str">
        <f>IF(Summary!E929="","",Summary!E929)</f>
        <v/>
      </c>
      <c r="B929" s="59" t="str">
        <f>IF(Summary!J929="","",Summary!J929)</f>
        <v/>
      </c>
      <c r="C929" s="60" t="str">
        <f>Summary!H929</f>
        <v/>
      </c>
    </row>
    <row r="930" spans="1:3">
      <c r="A930" s="59" t="str">
        <f>IF(Summary!E930="","",Summary!E930)</f>
        <v/>
      </c>
      <c r="B930" s="59" t="str">
        <f>IF(Summary!J930="","",Summary!J930)</f>
        <v/>
      </c>
      <c r="C930" s="60" t="str">
        <f>Summary!H930</f>
        <v/>
      </c>
    </row>
    <row r="931" spans="1:3">
      <c r="A931" s="59" t="str">
        <f>IF(Summary!E931="","",Summary!E931)</f>
        <v/>
      </c>
      <c r="B931" s="59" t="str">
        <f>IF(Summary!J931="","",Summary!J931)</f>
        <v/>
      </c>
      <c r="C931" s="60" t="str">
        <f>Summary!H931</f>
        <v/>
      </c>
    </row>
    <row r="932" spans="1:3">
      <c r="A932" s="59" t="str">
        <f>IF(Summary!E932="","",Summary!E932)</f>
        <v/>
      </c>
      <c r="B932" s="59" t="str">
        <f>IF(Summary!J932="","",Summary!J932)</f>
        <v/>
      </c>
      <c r="C932" s="60" t="str">
        <f>Summary!H932</f>
        <v/>
      </c>
    </row>
    <row r="933" spans="1:3">
      <c r="A933" s="59" t="str">
        <f>IF(Summary!E933="","",Summary!E933)</f>
        <v/>
      </c>
      <c r="B933" s="59" t="str">
        <f>IF(Summary!J933="","",Summary!J933)</f>
        <v/>
      </c>
      <c r="C933" s="60" t="str">
        <f>Summary!H933</f>
        <v/>
      </c>
    </row>
    <row r="934" spans="1:3">
      <c r="A934" s="59" t="str">
        <f>IF(Summary!E934="","",Summary!E934)</f>
        <v/>
      </c>
      <c r="B934" s="59" t="str">
        <f>IF(Summary!J934="","",Summary!J934)</f>
        <v/>
      </c>
      <c r="C934" s="60" t="str">
        <f>Summary!H934</f>
        <v/>
      </c>
    </row>
    <row r="935" spans="1:3">
      <c r="A935" s="59" t="str">
        <f>IF(Summary!E935="","",Summary!E935)</f>
        <v/>
      </c>
      <c r="B935" s="59" t="str">
        <f>IF(Summary!J935="","",Summary!J935)</f>
        <v/>
      </c>
      <c r="C935" s="60" t="str">
        <f>Summary!H935</f>
        <v/>
      </c>
    </row>
    <row r="936" spans="1:3">
      <c r="A936" s="59" t="str">
        <f>IF(Summary!E936="","",Summary!E936)</f>
        <v/>
      </c>
      <c r="B936" s="59" t="str">
        <f>IF(Summary!J936="","",Summary!J936)</f>
        <v/>
      </c>
      <c r="C936" s="60" t="str">
        <f>Summary!H936</f>
        <v/>
      </c>
    </row>
    <row r="937" spans="1:3">
      <c r="A937" s="59" t="str">
        <f>IF(Summary!E937="","",Summary!E937)</f>
        <v/>
      </c>
      <c r="B937" s="59" t="str">
        <f>IF(Summary!J937="","",Summary!J937)</f>
        <v/>
      </c>
      <c r="C937" s="60" t="str">
        <f>Summary!H937</f>
        <v/>
      </c>
    </row>
    <row r="938" spans="1:3">
      <c r="A938" s="59" t="str">
        <f>IF(Summary!E938="","",Summary!E938)</f>
        <v/>
      </c>
      <c r="B938" s="59" t="str">
        <f>IF(Summary!J938="","",Summary!J938)</f>
        <v/>
      </c>
      <c r="C938" s="60" t="str">
        <f>Summary!H938</f>
        <v/>
      </c>
    </row>
    <row r="939" spans="1:3">
      <c r="A939" s="59" t="str">
        <f>IF(Summary!E939="","",Summary!E939)</f>
        <v/>
      </c>
      <c r="B939" s="59" t="str">
        <f>IF(Summary!J939="","",Summary!J939)</f>
        <v/>
      </c>
      <c r="C939" s="60" t="str">
        <f>Summary!H939</f>
        <v/>
      </c>
    </row>
    <row r="940" spans="1:3">
      <c r="A940" s="59" t="str">
        <f>IF(Summary!E940="","",Summary!E940)</f>
        <v/>
      </c>
      <c r="B940" s="59" t="str">
        <f>IF(Summary!J940="","",Summary!J940)</f>
        <v/>
      </c>
      <c r="C940" s="60" t="str">
        <f>Summary!H940</f>
        <v/>
      </c>
    </row>
    <row r="941" spans="1:3">
      <c r="A941" s="59" t="str">
        <f>IF(Summary!E941="","",Summary!E941)</f>
        <v/>
      </c>
      <c r="B941" s="59" t="str">
        <f>IF(Summary!J941="","",Summary!J941)</f>
        <v/>
      </c>
      <c r="C941" s="60" t="str">
        <f>Summary!H941</f>
        <v/>
      </c>
    </row>
    <row r="942" spans="1:3">
      <c r="A942" s="59" t="str">
        <f>IF(Summary!E942="","",Summary!E942)</f>
        <v/>
      </c>
      <c r="B942" s="59" t="str">
        <f>IF(Summary!J942="","",Summary!J942)</f>
        <v/>
      </c>
      <c r="C942" s="60" t="str">
        <f>Summary!H942</f>
        <v/>
      </c>
    </row>
    <row r="943" spans="1:3">
      <c r="A943" s="59" t="str">
        <f>IF(Summary!E943="","",Summary!E943)</f>
        <v/>
      </c>
      <c r="B943" s="59" t="str">
        <f>IF(Summary!J943="","",Summary!J943)</f>
        <v/>
      </c>
      <c r="C943" s="60" t="str">
        <f>Summary!H943</f>
        <v/>
      </c>
    </row>
    <row r="944" spans="1:3">
      <c r="A944" s="59" t="str">
        <f>IF(Summary!E944="","",Summary!E944)</f>
        <v/>
      </c>
      <c r="B944" s="59" t="str">
        <f>IF(Summary!J944="","",Summary!J944)</f>
        <v/>
      </c>
      <c r="C944" s="60" t="str">
        <f>Summary!H944</f>
        <v/>
      </c>
    </row>
    <row r="945" spans="1:3">
      <c r="A945" s="59" t="str">
        <f>IF(Summary!E945="","",Summary!E945)</f>
        <v/>
      </c>
      <c r="B945" s="59" t="str">
        <f>IF(Summary!J945="","",Summary!J945)</f>
        <v/>
      </c>
      <c r="C945" s="60" t="str">
        <f>Summary!H945</f>
        <v/>
      </c>
    </row>
    <row r="946" spans="1:3">
      <c r="A946" s="59" t="str">
        <f>IF(Summary!E946="","",Summary!E946)</f>
        <v/>
      </c>
      <c r="B946" s="59" t="str">
        <f>IF(Summary!J946="","",Summary!J946)</f>
        <v/>
      </c>
      <c r="C946" s="60" t="str">
        <f>Summary!H946</f>
        <v/>
      </c>
    </row>
    <row r="947" spans="1:3">
      <c r="A947" s="59" t="str">
        <f>IF(Summary!E947="","",Summary!E947)</f>
        <v/>
      </c>
      <c r="B947" s="59" t="str">
        <f>IF(Summary!J947="","",Summary!J947)</f>
        <v/>
      </c>
      <c r="C947" s="60" t="str">
        <f>Summary!H947</f>
        <v/>
      </c>
    </row>
    <row r="948" spans="1:3">
      <c r="A948" s="59" t="str">
        <f>IF(Summary!E948="","",Summary!E948)</f>
        <v/>
      </c>
      <c r="B948" s="59" t="str">
        <f>IF(Summary!J948="","",Summary!J948)</f>
        <v/>
      </c>
      <c r="C948" s="60" t="str">
        <f>Summary!H948</f>
        <v/>
      </c>
    </row>
    <row r="949" spans="1:3">
      <c r="A949" s="59" t="str">
        <f>IF(Summary!E949="","",Summary!E949)</f>
        <v/>
      </c>
      <c r="B949" s="59" t="str">
        <f>IF(Summary!J949="","",Summary!J949)</f>
        <v/>
      </c>
      <c r="C949" s="60" t="str">
        <f>Summary!H949</f>
        <v/>
      </c>
    </row>
    <row r="950" spans="1:3">
      <c r="A950" s="59" t="str">
        <f>IF(Summary!E950="","",Summary!E950)</f>
        <v/>
      </c>
      <c r="B950" s="59" t="str">
        <f>IF(Summary!J950="","",Summary!J950)</f>
        <v/>
      </c>
      <c r="C950" s="60" t="str">
        <f>Summary!H950</f>
        <v/>
      </c>
    </row>
    <row r="951" spans="1:3">
      <c r="A951" s="59" t="str">
        <f>IF(Summary!E951="","",Summary!E951)</f>
        <v/>
      </c>
      <c r="B951" s="59" t="str">
        <f>IF(Summary!J951="","",Summary!J951)</f>
        <v/>
      </c>
      <c r="C951" s="60" t="str">
        <f>Summary!H951</f>
        <v/>
      </c>
    </row>
    <row r="952" spans="1:3">
      <c r="A952" s="59" t="str">
        <f>IF(Summary!E952="","",Summary!E952)</f>
        <v/>
      </c>
      <c r="B952" s="59" t="str">
        <f>IF(Summary!J952="","",Summary!J952)</f>
        <v/>
      </c>
      <c r="C952" s="60" t="str">
        <f>Summary!H952</f>
        <v/>
      </c>
    </row>
    <row r="953" spans="1:3">
      <c r="A953" s="59" t="str">
        <f>IF(Summary!E953="","",Summary!E953)</f>
        <v/>
      </c>
      <c r="B953" s="59" t="str">
        <f>IF(Summary!J953="","",Summary!J953)</f>
        <v/>
      </c>
      <c r="C953" s="60" t="str">
        <f>Summary!H953</f>
        <v/>
      </c>
    </row>
    <row r="954" spans="1:3">
      <c r="A954" s="59" t="str">
        <f>IF(Summary!E954="","",Summary!E954)</f>
        <v/>
      </c>
      <c r="B954" s="59" t="str">
        <f>IF(Summary!J954="","",Summary!J954)</f>
        <v/>
      </c>
      <c r="C954" s="60" t="str">
        <f>Summary!H954</f>
        <v/>
      </c>
    </row>
    <row r="955" spans="1:3">
      <c r="A955" s="59" t="str">
        <f>IF(Summary!E955="","",Summary!E955)</f>
        <v/>
      </c>
      <c r="B955" s="59" t="str">
        <f>IF(Summary!J955="","",Summary!J955)</f>
        <v/>
      </c>
      <c r="C955" s="60" t="str">
        <f>Summary!H955</f>
        <v/>
      </c>
    </row>
    <row r="956" spans="1:3">
      <c r="A956" s="59" t="str">
        <f>IF(Summary!E956="","",Summary!E956)</f>
        <v/>
      </c>
      <c r="B956" s="59" t="str">
        <f>IF(Summary!J956="","",Summary!J956)</f>
        <v/>
      </c>
      <c r="C956" s="60" t="str">
        <f>Summary!H956</f>
        <v/>
      </c>
    </row>
    <row r="957" spans="1:3">
      <c r="A957" s="59" t="str">
        <f>IF(Summary!E957="","",Summary!E957)</f>
        <v/>
      </c>
      <c r="B957" s="59" t="str">
        <f>IF(Summary!J957="","",Summary!J957)</f>
        <v/>
      </c>
      <c r="C957" s="60" t="str">
        <f>Summary!H957</f>
        <v/>
      </c>
    </row>
    <row r="958" spans="1:3">
      <c r="A958" s="59" t="str">
        <f>IF(Summary!E958="","",Summary!E958)</f>
        <v/>
      </c>
      <c r="B958" s="59" t="str">
        <f>IF(Summary!J958="","",Summary!J958)</f>
        <v/>
      </c>
      <c r="C958" s="60" t="str">
        <f>Summary!H958</f>
        <v/>
      </c>
    </row>
    <row r="959" spans="1:3">
      <c r="A959" s="59" t="str">
        <f>IF(Summary!E959="","",Summary!E959)</f>
        <v/>
      </c>
      <c r="B959" s="59" t="str">
        <f>IF(Summary!J959="","",Summary!J959)</f>
        <v/>
      </c>
      <c r="C959" s="60" t="str">
        <f>Summary!H959</f>
        <v/>
      </c>
    </row>
    <row r="960" spans="1:3">
      <c r="A960" s="59" t="str">
        <f>IF(Summary!E960="","",Summary!E960)</f>
        <v/>
      </c>
      <c r="B960" s="59" t="str">
        <f>IF(Summary!J960="","",Summary!J960)</f>
        <v/>
      </c>
      <c r="C960" s="60" t="str">
        <f>Summary!H960</f>
        <v/>
      </c>
    </row>
    <row r="961" spans="1:3">
      <c r="A961" s="59" t="str">
        <f>IF(Summary!E961="","",Summary!E961)</f>
        <v/>
      </c>
      <c r="B961" s="59" t="str">
        <f>IF(Summary!J961="","",Summary!J961)</f>
        <v/>
      </c>
      <c r="C961" s="60" t="str">
        <f>Summary!H961</f>
        <v/>
      </c>
    </row>
    <row r="962" spans="1:3">
      <c r="A962" s="59" t="str">
        <f>IF(Summary!E962="","",Summary!E962)</f>
        <v/>
      </c>
      <c r="B962" s="59" t="str">
        <f>IF(Summary!J962="","",Summary!J962)</f>
        <v/>
      </c>
      <c r="C962" s="60" t="str">
        <f>Summary!H962</f>
        <v/>
      </c>
    </row>
    <row r="963" spans="1:3">
      <c r="A963" s="59" t="str">
        <f>IF(Summary!E963="","",Summary!E963)</f>
        <v/>
      </c>
      <c r="B963" s="59" t="str">
        <f>IF(Summary!J963="","",Summary!J963)</f>
        <v/>
      </c>
      <c r="C963" s="60" t="str">
        <f>Summary!H963</f>
        <v/>
      </c>
    </row>
    <row r="964" spans="1:3">
      <c r="A964" s="59" t="str">
        <f>IF(Summary!E964="","",Summary!E964)</f>
        <v/>
      </c>
      <c r="B964" s="59" t="str">
        <f>IF(Summary!J964="","",Summary!J964)</f>
        <v/>
      </c>
      <c r="C964" s="60" t="str">
        <f>Summary!H964</f>
        <v/>
      </c>
    </row>
    <row r="965" spans="1:3">
      <c r="A965" s="59" t="str">
        <f>IF(Summary!E965="","",Summary!E965)</f>
        <v/>
      </c>
      <c r="B965" s="59" t="str">
        <f>IF(Summary!J965="","",Summary!J965)</f>
        <v/>
      </c>
      <c r="C965" s="60" t="str">
        <f>Summary!H965</f>
        <v/>
      </c>
    </row>
    <row r="966" spans="1:3">
      <c r="A966" s="59" t="str">
        <f>IF(Summary!E966="","",Summary!E966)</f>
        <v/>
      </c>
      <c r="B966" s="59" t="str">
        <f>IF(Summary!J966="","",Summary!J966)</f>
        <v/>
      </c>
      <c r="C966" s="60" t="str">
        <f>Summary!H966</f>
        <v/>
      </c>
    </row>
    <row r="967" spans="1:3">
      <c r="A967" s="59" t="str">
        <f>IF(Summary!E967="","",Summary!E967)</f>
        <v/>
      </c>
      <c r="B967" s="59" t="str">
        <f>IF(Summary!J967="","",Summary!J967)</f>
        <v/>
      </c>
      <c r="C967" s="60" t="str">
        <f>Summary!H967</f>
        <v/>
      </c>
    </row>
    <row r="968" spans="1:3">
      <c r="A968" s="59" t="str">
        <f>IF(Summary!E968="","",Summary!E968)</f>
        <v/>
      </c>
      <c r="B968" s="59" t="str">
        <f>IF(Summary!J968="","",Summary!J968)</f>
        <v/>
      </c>
      <c r="C968" s="60" t="str">
        <f>Summary!H968</f>
        <v/>
      </c>
    </row>
    <row r="969" spans="1:3">
      <c r="A969" s="59" t="str">
        <f>IF(Summary!E969="","",Summary!E969)</f>
        <v/>
      </c>
      <c r="B969" s="59" t="str">
        <f>IF(Summary!J969="","",Summary!J969)</f>
        <v/>
      </c>
      <c r="C969" s="60" t="str">
        <f>Summary!H969</f>
        <v/>
      </c>
    </row>
    <row r="970" spans="1:3">
      <c r="A970" s="59" t="str">
        <f>IF(Summary!E970="","",Summary!E970)</f>
        <v/>
      </c>
      <c r="B970" s="59" t="str">
        <f>IF(Summary!J970="","",Summary!J970)</f>
        <v/>
      </c>
      <c r="C970" s="60" t="str">
        <f>Summary!H970</f>
        <v/>
      </c>
    </row>
    <row r="971" spans="1:3">
      <c r="A971" s="59" t="str">
        <f>IF(Summary!E971="","",Summary!E971)</f>
        <v/>
      </c>
      <c r="B971" s="59" t="str">
        <f>IF(Summary!J971="","",Summary!J971)</f>
        <v/>
      </c>
      <c r="C971" s="60" t="str">
        <f>Summary!H971</f>
        <v/>
      </c>
    </row>
    <row r="972" spans="1:3">
      <c r="A972" s="59" t="str">
        <f>IF(Summary!E972="","",Summary!E972)</f>
        <v/>
      </c>
      <c r="B972" s="59" t="str">
        <f>IF(Summary!J972="","",Summary!J972)</f>
        <v/>
      </c>
      <c r="C972" s="60" t="str">
        <f>Summary!H972</f>
        <v/>
      </c>
    </row>
    <row r="973" spans="1:3">
      <c r="A973" s="59" t="str">
        <f>IF(Summary!E973="","",Summary!E973)</f>
        <v/>
      </c>
      <c r="B973" s="59" t="str">
        <f>IF(Summary!J973="","",Summary!J973)</f>
        <v/>
      </c>
      <c r="C973" s="60" t="str">
        <f>Summary!H973</f>
        <v/>
      </c>
    </row>
    <row r="974" spans="1:3">
      <c r="A974" s="59" t="str">
        <f>IF(Summary!E974="","",Summary!E974)</f>
        <v/>
      </c>
      <c r="B974" s="59" t="str">
        <f>IF(Summary!J974="","",Summary!J974)</f>
        <v/>
      </c>
      <c r="C974" s="60" t="str">
        <f>Summary!H974</f>
        <v/>
      </c>
    </row>
    <row r="975" spans="1:3">
      <c r="A975" s="59" t="str">
        <f>IF(Summary!E975="","",Summary!E975)</f>
        <v/>
      </c>
      <c r="B975" s="59" t="str">
        <f>IF(Summary!J975="","",Summary!J975)</f>
        <v/>
      </c>
      <c r="C975" s="60" t="str">
        <f>Summary!H975</f>
        <v/>
      </c>
    </row>
    <row r="976" spans="1:3">
      <c r="A976" s="59" t="str">
        <f>IF(Summary!E976="","",Summary!E976)</f>
        <v/>
      </c>
      <c r="B976" s="59" t="str">
        <f>IF(Summary!J976="","",Summary!J976)</f>
        <v/>
      </c>
      <c r="C976" s="60" t="str">
        <f>Summary!H976</f>
        <v/>
      </c>
    </row>
    <row r="977" spans="1:3">
      <c r="A977" s="59" t="str">
        <f>IF(Summary!E977="","",Summary!E977)</f>
        <v/>
      </c>
      <c r="B977" s="59" t="str">
        <f>IF(Summary!J977="","",Summary!J977)</f>
        <v/>
      </c>
      <c r="C977" s="60" t="str">
        <f>Summary!H977</f>
        <v/>
      </c>
    </row>
    <row r="978" spans="1:3">
      <c r="A978" s="59" t="str">
        <f>IF(Summary!E978="","",Summary!E978)</f>
        <v/>
      </c>
      <c r="B978" s="59" t="str">
        <f>IF(Summary!J978="","",Summary!J978)</f>
        <v/>
      </c>
      <c r="C978" s="60" t="str">
        <f>Summary!H978</f>
        <v/>
      </c>
    </row>
    <row r="979" spans="1:3">
      <c r="A979" s="59" t="str">
        <f>IF(Summary!E979="","",Summary!E979)</f>
        <v/>
      </c>
      <c r="B979" s="59" t="str">
        <f>IF(Summary!J979="","",Summary!J979)</f>
        <v/>
      </c>
      <c r="C979" s="60" t="str">
        <f>Summary!H979</f>
        <v/>
      </c>
    </row>
    <row r="980" spans="1:3">
      <c r="A980" s="59" t="str">
        <f>IF(Summary!E980="","",Summary!E980)</f>
        <v/>
      </c>
      <c r="B980" s="59" t="str">
        <f>IF(Summary!J980="","",Summary!J980)</f>
        <v/>
      </c>
      <c r="C980" s="60" t="str">
        <f>Summary!H980</f>
        <v/>
      </c>
    </row>
    <row r="981" spans="1:3">
      <c r="A981" s="59" t="str">
        <f>IF(Summary!E981="","",Summary!E981)</f>
        <v/>
      </c>
      <c r="B981" s="59" t="str">
        <f>IF(Summary!J981="","",Summary!J981)</f>
        <v/>
      </c>
      <c r="C981" s="60" t="str">
        <f>Summary!H981</f>
        <v/>
      </c>
    </row>
    <row r="982" spans="1:3">
      <c r="A982" s="59" t="str">
        <f>IF(Summary!E982="","",Summary!E982)</f>
        <v/>
      </c>
      <c r="B982" s="59" t="str">
        <f>IF(Summary!J982="","",Summary!J982)</f>
        <v/>
      </c>
      <c r="C982" s="60" t="str">
        <f>Summary!H982</f>
        <v/>
      </c>
    </row>
    <row r="983" spans="1:3">
      <c r="A983" s="59" t="str">
        <f>IF(Summary!E983="","",Summary!E983)</f>
        <v/>
      </c>
      <c r="B983" s="59" t="str">
        <f>IF(Summary!J983="","",Summary!J983)</f>
        <v/>
      </c>
      <c r="C983" s="60" t="str">
        <f>Summary!H983</f>
        <v/>
      </c>
    </row>
    <row r="984" spans="1:3">
      <c r="A984" s="59" t="str">
        <f>IF(Summary!E984="","",Summary!E984)</f>
        <v/>
      </c>
      <c r="B984" s="59" t="str">
        <f>IF(Summary!J984="","",Summary!J984)</f>
        <v/>
      </c>
      <c r="C984" s="60" t="str">
        <f>Summary!H984</f>
        <v/>
      </c>
    </row>
    <row r="985" spans="1:3">
      <c r="A985" s="59" t="str">
        <f>IF(Summary!E985="","",Summary!E985)</f>
        <v/>
      </c>
      <c r="B985" s="59" t="str">
        <f>IF(Summary!J985="","",Summary!J985)</f>
        <v/>
      </c>
      <c r="C985" s="60" t="str">
        <f>Summary!H985</f>
        <v/>
      </c>
    </row>
    <row r="986" spans="1:3">
      <c r="A986" s="59" t="str">
        <f>IF(Summary!E986="","",Summary!E986)</f>
        <v/>
      </c>
      <c r="B986" s="59" t="str">
        <f>IF(Summary!J986="","",Summary!J986)</f>
        <v/>
      </c>
      <c r="C986" s="60" t="str">
        <f>Summary!H986</f>
        <v/>
      </c>
    </row>
    <row r="987" spans="1:3">
      <c r="A987" s="59" t="str">
        <f>IF(Summary!E987="","",Summary!E987)</f>
        <v/>
      </c>
      <c r="B987" s="59" t="str">
        <f>IF(Summary!J987="","",Summary!J987)</f>
        <v/>
      </c>
      <c r="C987" s="60" t="str">
        <f>Summary!H987</f>
        <v/>
      </c>
    </row>
    <row r="988" spans="1:3">
      <c r="A988" s="59" t="str">
        <f>IF(Summary!E988="","",Summary!E988)</f>
        <v/>
      </c>
      <c r="B988" s="59" t="str">
        <f>IF(Summary!J988="","",Summary!J988)</f>
        <v/>
      </c>
      <c r="C988" s="60" t="str">
        <f>Summary!H988</f>
        <v/>
      </c>
    </row>
    <row r="989" spans="1:3">
      <c r="A989" s="59" t="str">
        <f>IF(Summary!E989="","",Summary!E989)</f>
        <v/>
      </c>
      <c r="B989" s="59" t="str">
        <f>IF(Summary!J989="","",Summary!J989)</f>
        <v/>
      </c>
      <c r="C989" s="60" t="str">
        <f>Summary!H989</f>
        <v/>
      </c>
    </row>
    <row r="990" spans="1:3">
      <c r="A990" s="59" t="str">
        <f>IF(Summary!E990="","",Summary!E990)</f>
        <v/>
      </c>
      <c r="B990" s="59" t="str">
        <f>IF(Summary!J990="","",Summary!J990)</f>
        <v/>
      </c>
      <c r="C990" s="60" t="str">
        <f>Summary!H990</f>
        <v/>
      </c>
    </row>
    <row r="991" spans="1:3">
      <c r="A991" s="59" t="str">
        <f>IF(Summary!E991="","",Summary!E991)</f>
        <v/>
      </c>
      <c r="B991" s="59" t="str">
        <f>IF(Summary!J991="","",Summary!J991)</f>
        <v/>
      </c>
      <c r="C991" s="60" t="str">
        <f>Summary!H991</f>
        <v/>
      </c>
    </row>
    <row r="992" spans="1:3">
      <c r="A992" s="59" t="str">
        <f>IF(Summary!E992="","",Summary!E992)</f>
        <v/>
      </c>
      <c r="B992" s="59" t="str">
        <f>IF(Summary!J992="","",Summary!J992)</f>
        <v/>
      </c>
      <c r="C992" s="60" t="str">
        <f>Summary!H992</f>
        <v/>
      </c>
    </row>
    <row r="993" spans="1:3">
      <c r="A993" s="59" t="str">
        <f>IF(Summary!E993="","",Summary!E993)</f>
        <v/>
      </c>
      <c r="B993" s="59" t="str">
        <f>IF(Summary!J993="","",Summary!J993)</f>
        <v/>
      </c>
      <c r="C993" s="60" t="str">
        <f>Summary!H993</f>
        <v/>
      </c>
    </row>
    <row r="994" spans="1:3">
      <c r="A994" s="59" t="str">
        <f>IF(Summary!E994="","",Summary!E994)</f>
        <v/>
      </c>
      <c r="B994" s="59" t="str">
        <f>IF(Summary!J994="","",Summary!J994)</f>
        <v/>
      </c>
      <c r="C994" s="60" t="str">
        <f>Summary!H994</f>
        <v/>
      </c>
    </row>
    <row r="995" spans="1:3">
      <c r="A995" s="59" t="str">
        <f>IF(Summary!E995="","",Summary!E995)</f>
        <v/>
      </c>
      <c r="B995" s="59" t="str">
        <f>IF(Summary!J995="","",Summary!J995)</f>
        <v/>
      </c>
      <c r="C995" s="60" t="str">
        <f>Summary!H995</f>
        <v/>
      </c>
    </row>
    <row r="996" spans="1:3">
      <c r="A996" s="59" t="str">
        <f>IF(Summary!E996="","",Summary!E996)</f>
        <v/>
      </c>
      <c r="B996" s="59" t="str">
        <f>IF(Summary!J996="","",Summary!J996)</f>
        <v/>
      </c>
      <c r="C996" s="60" t="str">
        <f>Summary!H996</f>
        <v/>
      </c>
    </row>
    <row r="997" spans="1:3">
      <c r="A997" s="59" t="str">
        <f>IF(Summary!E997="","",Summary!E997)</f>
        <v/>
      </c>
      <c r="B997" s="59" t="str">
        <f>IF(Summary!J997="","",Summary!J997)</f>
        <v/>
      </c>
      <c r="C997" s="60" t="str">
        <f>Summary!H997</f>
        <v/>
      </c>
    </row>
    <row r="998" spans="1:3">
      <c r="A998" s="59" t="str">
        <f>IF(Summary!E998="","",Summary!E998)</f>
        <v/>
      </c>
      <c r="B998" s="59" t="str">
        <f>IF(Summary!J998="","",Summary!J998)</f>
        <v/>
      </c>
      <c r="C998" s="60" t="str">
        <f>Summary!H998</f>
        <v/>
      </c>
    </row>
    <row r="999" spans="1:3">
      <c r="A999" s="59" t="str">
        <f>IF(Summary!E999="","",Summary!E999)</f>
        <v/>
      </c>
      <c r="B999" s="59" t="str">
        <f>IF(Summary!J999="","",Summary!J999)</f>
        <v/>
      </c>
      <c r="C999" s="60" t="str">
        <f>Summary!H999</f>
        <v/>
      </c>
    </row>
    <row r="1000" spans="1:3">
      <c r="A1000" s="59" t="str">
        <f>IF(Summary!E1000="","",Summary!E1000)</f>
        <v/>
      </c>
      <c r="B1000" s="59" t="str">
        <f>IF(Summary!J1000="","",Summary!J1000)</f>
        <v/>
      </c>
      <c r="C1000" s="60" t="str">
        <f>Summary!H1000</f>
        <v/>
      </c>
    </row>
  </sheetData>
  <mergeCells count="4">
    <mergeCell ref="A1:C1"/>
    <mergeCell ref="D1:P1"/>
    <mergeCell ref="D2:P2"/>
    <mergeCell ref="D3:P3"/>
  </mergeCells>
  <phoneticPr fontId="15" type="noConversion"/>
  <conditionalFormatting sqref="A3:B1000">
    <cfRule type="notContainsBlanks" dxfId="11" priority="1">
      <formula>LEN(TRIM(A3))&gt;0</formula>
    </cfRule>
  </conditionalFormatting>
  <conditionalFormatting sqref="C3:C1000">
    <cfRule type="notContainsBlanks" dxfId="10" priority="2">
      <formula>LEN(TRIM(C3))&gt;0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selection activeCell="G40" sqref="G40:G1000"/>
    </sheetView>
  </sheetViews>
  <sheetFormatPr defaultColWidth="9.109375" defaultRowHeight="14.4"/>
  <cols>
    <col min="1" max="1" width="27" style="22" customWidth="1"/>
    <col min="2" max="5" width="9.109375" style="22" customWidth="1"/>
    <col min="6" max="6" width="27" style="22" customWidth="1"/>
    <col min="7" max="7" width="23.88671875" style="22" customWidth="1"/>
    <col min="8" max="8" width="9.109375" style="22" customWidth="1"/>
    <col min="9" max="16384" width="9.109375" style="22"/>
  </cols>
  <sheetData>
    <row r="1" spans="1:10" ht="20.05" customHeight="1">
      <c r="A1" s="53" t="s">
        <v>49</v>
      </c>
      <c r="F1" s="54"/>
      <c r="G1" s="54"/>
    </row>
    <row r="2" spans="1:10" ht="28.05" customHeight="1">
      <c r="A2" s="55" t="s">
        <v>51</v>
      </c>
      <c r="B2" s="22" t="s">
        <v>56</v>
      </c>
      <c r="C2" s="22" t="s">
        <v>57</v>
      </c>
      <c r="F2" s="55" t="s">
        <v>52</v>
      </c>
      <c r="G2" s="55" t="s">
        <v>53</v>
      </c>
    </row>
    <row r="3" spans="1:10">
      <c r="A3" s="56" t="str">
        <f>IF(AMS!H23="","",AMS!H23)</f>
        <v/>
      </c>
      <c r="B3" s="22" t="str">
        <f t="shared" ref="B3:B66" si="0">IF(A3&lt;&gt;"",IFERROR(IF(SEARCH(".",A3),LEFT(SUBSTITUTE(A3,".",""),6)),LEFT(SUBSTITUTE(SUBSTITUTE(TRIM(A3)," ","")," ",""),6)),"")</f>
        <v/>
      </c>
      <c r="C3" s="22" t="str">
        <f t="array" ref="C3">IFERROR(INDEX(Summary!$I$3:$I$1000,SMALL((Summary!$I$3:$I$1000="")/0.1%+ROW($3:$1000),ROW()-2)-2)&amp;"","")</f>
        <v/>
      </c>
      <c r="D3" s="22" t="str">
        <f t="array" ref="D3:D1000">IFERROR(INDEX(Summary!$C$3:$C$1000,SMALL(IF(MATCH(Summary!C3:C1000,Summary!C3:C1000,0)=ROW(Summary!C3:C1000)-2,ROW(Summary!C3:C1000)-2,7200),ROW(Summary!C3:C1000)-2)),"")</f>
        <v/>
      </c>
      <c r="E3" s="22" t="str">
        <f t="shared" ref="E3:E66" si="1">LEFT(D3,6)</f>
        <v/>
      </c>
      <c r="F3" s="56" t="str">
        <f>IF(AMS!I23="","",AMS!I23)</f>
        <v/>
      </c>
      <c r="G3" s="56" t="str">
        <f>IF(AMS!J23="","",AMS!J23)</f>
        <v/>
      </c>
      <c r="H3" s="22" t="str">
        <f t="array" ref="H3">IF(A3&lt;&gt;" ",IFERROR(INDEX(Summary!$G$3:$G$1000,SMALL((Summary!$G$3:$G$1000="")/0.1%+ROW($3:$1000),ROW()-2)-2)&amp;"",""),"")</f>
        <v/>
      </c>
      <c r="I3" s="22" t="str">
        <f t="shared" ref="I3:I66" si="2">B3&amp;F3</f>
        <v/>
      </c>
      <c r="J3" s="22" t="str">
        <f t="shared" ref="J3:J66" si="3">IF(D3="","",RIGHT(D3,LEN(D3)-6))</f>
        <v/>
      </c>
    </row>
    <row r="4" spans="1:10">
      <c r="A4" s="56" t="str">
        <f>IF(AMS!H24="","",AMS!H24)</f>
        <v/>
      </c>
      <c r="B4" s="22" t="str">
        <f t="shared" si="0"/>
        <v/>
      </c>
      <c r="C4" s="22" t="str">
        <f t="array" ref="C4">IFERROR(INDEX(Summary!$I$3:$I$1000,SMALL((Summary!$I$3:$I$1000="")/0.1%+ROW($3:$1000),ROW()-2)-2)&amp;"","")</f>
        <v/>
      </c>
      <c r="D4" s="22" t="str">
        <v/>
      </c>
      <c r="E4" s="22" t="str">
        <f t="shared" si="1"/>
        <v/>
      </c>
      <c r="F4" s="56" t="str">
        <f>IF(AMS!I24="","",AMS!I24)</f>
        <v/>
      </c>
      <c r="G4" s="56" t="str">
        <f>IF(AMS!J24="","",AMS!J24)</f>
        <v/>
      </c>
      <c r="H4" s="22" t="str">
        <f t="array" ref="H4">IF(A4&lt;&gt;" ",IFERROR(INDEX(Summary!$G$3:$G$1000,SMALL((Summary!$G$3:$G$1000="")/0.1%+ROW($3:$1000),ROW()-2)-2)&amp;"",""),"")</f>
        <v/>
      </c>
      <c r="I4" s="22" t="str">
        <f t="shared" si="2"/>
        <v/>
      </c>
      <c r="J4" s="22" t="str">
        <f t="shared" si="3"/>
        <v/>
      </c>
    </row>
    <row r="5" spans="1:10">
      <c r="A5" s="56" t="str">
        <f>IF(AMS!H25="","",AMS!H25)</f>
        <v/>
      </c>
      <c r="B5" s="22" t="str">
        <f t="shared" si="0"/>
        <v/>
      </c>
      <c r="C5" s="22" t="str">
        <f t="array" ref="C5">IFERROR(INDEX(Summary!$I$3:$I$1000,SMALL((Summary!$I$3:$I$1000="")/0.1%+ROW($3:$1000),ROW()-2)-2)&amp;"","")</f>
        <v/>
      </c>
      <c r="D5" s="22" t="str">
        <v/>
      </c>
      <c r="E5" s="22" t="str">
        <f t="shared" si="1"/>
        <v/>
      </c>
      <c r="F5" s="56" t="str">
        <f>IF(AMS!I25="","",AMS!I25)</f>
        <v/>
      </c>
      <c r="G5" s="56" t="str">
        <f>IF(AMS!J25="","",AMS!J25)</f>
        <v/>
      </c>
      <c r="H5" s="22" t="str">
        <f t="array" ref="H5">IF(A5&lt;&gt;" ",IFERROR(INDEX(Summary!$G$3:$G$1000,SMALL((Summary!$G$3:$G$1000="")/0.1%+ROW($3:$1000),ROW()-2)-2)&amp;"",""),"")</f>
        <v/>
      </c>
      <c r="I5" s="22" t="str">
        <f t="shared" si="2"/>
        <v/>
      </c>
      <c r="J5" s="22" t="str">
        <f t="shared" si="3"/>
        <v/>
      </c>
    </row>
    <row r="6" spans="1:10">
      <c r="A6" s="56" t="str">
        <f>IF(AMS!H26="","",AMS!H26)</f>
        <v/>
      </c>
      <c r="B6" s="22" t="str">
        <f t="shared" si="0"/>
        <v/>
      </c>
      <c r="C6" s="22" t="str">
        <f t="array" ref="C6">IFERROR(INDEX(Summary!$I$3:$I$1000,SMALL((Summary!$I$3:$I$1000="")/0.1%+ROW($3:$1000),ROW()-2)-2)&amp;"","")</f>
        <v/>
      </c>
      <c r="D6" s="22" t="str">
        <v/>
      </c>
      <c r="E6" s="22" t="str">
        <f t="shared" si="1"/>
        <v/>
      </c>
      <c r="F6" s="56" t="str">
        <f>IF(AMS!I26="","",AMS!I26)</f>
        <v/>
      </c>
      <c r="G6" s="56" t="str">
        <f>IF(AMS!J26="","",AMS!J26)</f>
        <v/>
      </c>
      <c r="H6" s="22" t="str">
        <f t="array" ref="H6">IF(A6&lt;&gt;" ",IFERROR(INDEX(Summary!$G$3:$G$1000,SMALL((Summary!$G$3:$G$1000="")/0.1%+ROW($3:$1000),ROW()-2)-2)&amp;"",""),"")</f>
        <v/>
      </c>
      <c r="I6" s="22" t="str">
        <f t="shared" si="2"/>
        <v/>
      </c>
      <c r="J6" s="22" t="str">
        <f t="shared" si="3"/>
        <v/>
      </c>
    </row>
    <row r="7" spans="1:10">
      <c r="A7" s="56" t="str">
        <f>IF(AMS!H27="","",AMS!H27)</f>
        <v/>
      </c>
      <c r="B7" s="22" t="str">
        <f t="shared" si="0"/>
        <v/>
      </c>
      <c r="C7" s="22" t="str">
        <f t="array" ref="C7">IFERROR(INDEX(Summary!$I$3:$I$1000,SMALL((Summary!$I$3:$I$1000="")/0.1%+ROW($3:$1000),ROW()-2)-2)&amp;"","")</f>
        <v/>
      </c>
      <c r="D7" s="22" t="str">
        <v/>
      </c>
      <c r="E7" s="22" t="str">
        <f t="shared" si="1"/>
        <v/>
      </c>
      <c r="F7" s="56" t="str">
        <f>IF(AMS!I27="","",AMS!I27)</f>
        <v/>
      </c>
      <c r="G7" s="56" t="str">
        <f>IF(AMS!J27="","",AMS!J27)</f>
        <v/>
      </c>
      <c r="H7" s="22" t="str">
        <f t="array" ref="H7">IF(A7&lt;&gt;" ",IFERROR(INDEX(Summary!$G$3:$G$1000,SMALL((Summary!$G$3:$G$1000="")/0.1%+ROW($3:$1000),ROW()-2)-2)&amp;"",""),"")</f>
        <v/>
      </c>
      <c r="I7" s="22" t="str">
        <f t="shared" si="2"/>
        <v/>
      </c>
      <c r="J7" s="22" t="str">
        <f t="shared" si="3"/>
        <v/>
      </c>
    </row>
    <row r="8" spans="1:10">
      <c r="A8" s="56" t="str">
        <f>IF(AMS!H28="","",AMS!H28)</f>
        <v/>
      </c>
      <c r="B8" s="22" t="str">
        <f t="shared" si="0"/>
        <v/>
      </c>
      <c r="C8" s="22" t="str">
        <f t="array" ref="C8">IFERROR(INDEX(Summary!$I$3:$I$1000,SMALL((Summary!$I$3:$I$1000="")/0.1%+ROW($3:$1000),ROW()-2)-2)&amp;"","")</f>
        <v/>
      </c>
      <c r="D8" s="22" t="str">
        <v/>
      </c>
      <c r="E8" s="22" t="str">
        <f t="shared" si="1"/>
        <v/>
      </c>
      <c r="F8" s="56" t="str">
        <f>IF(AMS!I28="","",AMS!I28)</f>
        <v/>
      </c>
      <c r="G8" s="56" t="str">
        <f>IF(AMS!J28="","",AMS!J28)</f>
        <v/>
      </c>
      <c r="H8" s="22" t="str">
        <f t="array" ref="H8">IF(A8&lt;&gt;" ",IFERROR(INDEX(Summary!$G$3:$G$1000,SMALL((Summary!$G$3:$G$1000="")/0.1%+ROW($3:$1000),ROW()-2)-2)&amp;"",""),"")</f>
        <v/>
      </c>
      <c r="I8" s="22" t="str">
        <f t="shared" si="2"/>
        <v/>
      </c>
      <c r="J8" s="22" t="str">
        <f t="shared" si="3"/>
        <v/>
      </c>
    </row>
    <row r="9" spans="1:10">
      <c r="A9" s="56" t="str">
        <f>IF(AMS!H29="","",AMS!H29)</f>
        <v/>
      </c>
      <c r="B9" s="22" t="str">
        <f t="shared" si="0"/>
        <v/>
      </c>
      <c r="C9" s="22" t="str">
        <f t="array" ref="C9">IFERROR(INDEX(Summary!$I$3:$I$1000,SMALL((Summary!$I$3:$I$1000="")/0.1%+ROW($3:$1000),ROW()-2)-2)&amp;"","")</f>
        <v/>
      </c>
      <c r="D9" s="22" t="str">
        <v/>
      </c>
      <c r="E9" s="22" t="str">
        <f t="shared" si="1"/>
        <v/>
      </c>
      <c r="F9" s="56" t="str">
        <f>IF(AMS!I29="","",AMS!I29)</f>
        <v/>
      </c>
      <c r="G9" s="56" t="str">
        <f>IF(AMS!J29="","",AMS!J29)</f>
        <v/>
      </c>
      <c r="H9" s="22" t="str">
        <f t="array" ref="H9">IF(A9&lt;&gt;" ",IFERROR(INDEX(Summary!$G$3:$G$1000,SMALL((Summary!$G$3:$G$1000="")/0.1%+ROW($3:$1000),ROW()-2)-2)&amp;"",""),"")</f>
        <v/>
      </c>
      <c r="I9" s="22" t="str">
        <f t="shared" si="2"/>
        <v/>
      </c>
      <c r="J9" s="22" t="str">
        <f t="shared" si="3"/>
        <v/>
      </c>
    </row>
    <row r="10" spans="1:10">
      <c r="A10" s="56" t="str">
        <f>IF(AMS!H30="","",AMS!H30)</f>
        <v/>
      </c>
      <c r="B10" s="22" t="str">
        <f t="shared" si="0"/>
        <v/>
      </c>
      <c r="C10" s="22" t="str">
        <f t="array" ref="C10">IFERROR(INDEX(Summary!$I$3:$I$1000,SMALL((Summary!$I$3:$I$1000="")/0.1%+ROW($3:$1000),ROW()-2)-2)&amp;"","")</f>
        <v/>
      </c>
      <c r="D10" s="22" t="str">
        <v/>
      </c>
      <c r="E10" s="22" t="str">
        <f t="shared" si="1"/>
        <v/>
      </c>
      <c r="F10" s="56" t="str">
        <f>IF(AMS!I30="","",AMS!I30)</f>
        <v/>
      </c>
      <c r="G10" s="56" t="str">
        <f>IF(AMS!J30="","",AMS!J30)</f>
        <v/>
      </c>
      <c r="H10" s="22" t="str">
        <f t="array" ref="H10">IF(A10&lt;&gt;" ",IFERROR(INDEX(Summary!$G$3:$G$1000,SMALL((Summary!$G$3:$G$1000="")/0.1%+ROW($3:$1000),ROW()-2)-2)&amp;"",""),"")</f>
        <v/>
      </c>
      <c r="I10" s="22" t="str">
        <f t="shared" si="2"/>
        <v/>
      </c>
      <c r="J10" s="22" t="str">
        <f t="shared" si="3"/>
        <v/>
      </c>
    </row>
    <row r="11" spans="1:10">
      <c r="A11" s="56" t="str">
        <f>IF(AMS!H31="","",AMS!H31)</f>
        <v/>
      </c>
      <c r="B11" s="22" t="str">
        <f t="shared" si="0"/>
        <v/>
      </c>
      <c r="C11" s="22" t="str">
        <f t="array" ref="C11">IFERROR(INDEX(Summary!$I$3:$I$1000,SMALL((Summary!$I$3:$I$1000="")/0.1%+ROW($3:$1000),ROW()-2)-2)&amp;"","")</f>
        <v/>
      </c>
      <c r="D11" s="22" t="str">
        <v/>
      </c>
      <c r="E11" s="22" t="str">
        <f t="shared" si="1"/>
        <v/>
      </c>
      <c r="F11" s="56" t="str">
        <f>IF(AMS!I31="","",AMS!I31)</f>
        <v/>
      </c>
      <c r="G11" s="56" t="str">
        <f>IF(AMS!J31="","",AMS!J31)</f>
        <v/>
      </c>
      <c r="H11" s="22" t="str">
        <f t="array" ref="H11">IF(A11&lt;&gt;" ",IFERROR(INDEX(Summary!$G$3:$G$1000,SMALL((Summary!$G$3:$G$1000="")/0.1%+ROW($3:$1000),ROW()-2)-2)&amp;"",""),"")</f>
        <v/>
      </c>
      <c r="I11" s="22" t="str">
        <f t="shared" si="2"/>
        <v/>
      </c>
      <c r="J11" s="22" t="str">
        <f t="shared" si="3"/>
        <v/>
      </c>
    </row>
    <row r="12" spans="1:10">
      <c r="A12" s="56" t="str">
        <f>IF(AMS!H32="","",AMS!H32)</f>
        <v/>
      </c>
      <c r="B12" s="22" t="str">
        <f t="shared" si="0"/>
        <v/>
      </c>
      <c r="C12" s="22" t="str">
        <f t="array" ref="C12">IFERROR(INDEX(Summary!$I$3:$I$1000,SMALL((Summary!$I$3:$I$1000="")/0.1%+ROW($3:$1000),ROW()-2)-2)&amp;"","")</f>
        <v/>
      </c>
      <c r="D12" s="22" t="str">
        <v/>
      </c>
      <c r="E12" s="22" t="str">
        <f t="shared" si="1"/>
        <v/>
      </c>
      <c r="F12" s="56" t="str">
        <f>IF(AMS!I32="","",AMS!I32)</f>
        <v/>
      </c>
      <c r="G12" s="56" t="str">
        <f>IF(AMS!J32="","",AMS!J32)</f>
        <v/>
      </c>
      <c r="H12" s="22" t="str">
        <f t="array" ref="H12">IF(A12&lt;&gt;" ",IFERROR(INDEX(Summary!$G$3:$G$1000,SMALL((Summary!$G$3:$G$1000="")/0.1%+ROW($3:$1000),ROW()-2)-2)&amp;"",""),"")</f>
        <v/>
      </c>
      <c r="I12" s="22" t="str">
        <f t="shared" si="2"/>
        <v/>
      </c>
      <c r="J12" s="22" t="str">
        <f t="shared" si="3"/>
        <v/>
      </c>
    </row>
    <row r="13" spans="1:10">
      <c r="A13" s="56" t="str">
        <f>IF(AMS!H33="","",AMS!H33)</f>
        <v/>
      </c>
      <c r="B13" s="22" t="str">
        <f t="shared" si="0"/>
        <v/>
      </c>
      <c r="C13" s="22" t="str">
        <f t="array" ref="C13">IFERROR(INDEX(Summary!$I$3:$I$1000,SMALL((Summary!$I$3:$I$1000="")/0.1%+ROW($3:$1000),ROW()-2)-2)&amp;"","")</f>
        <v/>
      </c>
      <c r="D13" s="22" t="str">
        <v/>
      </c>
      <c r="E13" s="22" t="str">
        <f t="shared" si="1"/>
        <v/>
      </c>
      <c r="F13" s="56" t="str">
        <f>IF(AMS!I33="","",AMS!I33)</f>
        <v/>
      </c>
      <c r="G13" s="56" t="str">
        <f>IF(AMS!J33="","",AMS!J33)</f>
        <v/>
      </c>
      <c r="H13" s="22" t="str">
        <f t="array" ref="H13">IF(A13&lt;&gt;" ",IFERROR(INDEX(Summary!$G$3:$G$1000,SMALL((Summary!$G$3:$G$1000="")/0.1%+ROW($3:$1000),ROW()-2)-2)&amp;"",""),"")</f>
        <v/>
      </c>
      <c r="I13" s="22" t="str">
        <f t="shared" si="2"/>
        <v/>
      </c>
      <c r="J13" s="22" t="str">
        <f t="shared" si="3"/>
        <v/>
      </c>
    </row>
    <row r="14" spans="1:10">
      <c r="A14" s="56" t="str">
        <f>IF(AMS!H34="","",AMS!H34)</f>
        <v/>
      </c>
      <c r="B14" s="22" t="str">
        <f t="shared" si="0"/>
        <v/>
      </c>
      <c r="C14" s="22" t="str">
        <f t="array" ref="C14">IFERROR(INDEX(Summary!$I$3:$I$1000,SMALL((Summary!$I$3:$I$1000="")/0.1%+ROW($3:$1000),ROW()-2)-2)&amp;"","")</f>
        <v/>
      </c>
      <c r="D14" s="22" t="str">
        <v/>
      </c>
      <c r="E14" s="22" t="str">
        <f t="shared" si="1"/>
        <v/>
      </c>
      <c r="F14" s="56" t="str">
        <f>IF(AMS!I34="","",AMS!I34)</f>
        <v/>
      </c>
      <c r="G14" s="56" t="str">
        <f>IF(AMS!J34="","",AMS!J34)</f>
        <v/>
      </c>
      <c r="H14" s="22" t="str">
        <f t="array" ref="H14">IF(A14&lt;&gt;" ",IFERROR(INDEX(Summary!$G$3:$G$1000,SMALL((Summary!$G$3:$G$1000="")/0.1%+ROW($3:$1000),ROW()-2)-2)&amp;"",""),"")</f>
        <v/>
      </c>
      <c r="I14" s="22" t="str">
        <f t="shared" si="2"/>
        <v/>
      </c>
      <c r="J14" s="22" t="str">
        <f t="shared" si="3"/>
        <v/>
      </c>
    </row>
    <row r="15" spans="1:10">
      <c r="A15" s="56" t="str">
        <f>IF(AMS!H35="","",AMS!H35)</f>
        <v/>
      </c>
      <c r="B15" s="22" t="str">
        <f t="shared" si="0"/>
        <v/>
      </c>
      <c r="C15" s="22" t="str">
        <f t="array" ref="C15">IFERROR(INDEX(Summary!$I$3:$I$1000,SMALL((Summary!$I$3:$I$1000="")/0.1%+ROW($3:$1000),ROW()-2)-2)&amp;"","")</f>
        <v/>
      </c>
      <c r="D15" s="22" t="str">
        <v/>
      </c>
      <c r="E15" s="22" t="str">
        <f t="shared" si="1"/>
        <v/>
      </c>
      <c r="F15" s="56" t="str">
        <f>IF(AMS!I35="","",AMS!I35)</f>
        <v/>
      </c>
      <c r="G15" s="56" t="str">
        <f>IF(AMS!J35="","",AMS!J35)</f>
        <v/>
      </c>
      <c r="H15" s="22" t="str">
        <f t="array" ref="H15">IF(A15&lt;&gt;" ",IFERROR(INDEX(Summary!$G$3:$G$1000,SMALL((Summary!$G$3:$G$1000="")/0.1%+ROW($3:$1000),ROW()-2)-2)&amp;"",""),"")</f>
        <v/>
      </c>
      <c r="I15" s="22" t="str">
        <f t="shared" si="2"/>
        <v/>
      </c>
      <c r="J15" s="22" t="str">
        <f t="shared" si="3"/>
        <v/>
      </c>
    </row>
    <row r="16" spans="1:10">
      <c r="A16" s="56" t="str">
        <f>IF(AMS!H36="","",AMS!H36)</f>
        <v/>
      </c>
      <c r="B16" s="22" t="str">
        <f t="shared" si="0"/>
        <v/>
      </c>
      <c r="C16" s="22" t="str">
        <f t="array" ref="C16">IFERROR(INDEX(Summary!$I$3:$I$1000,SMALL((Summary!$I$3:$I$1000="")/0.1%+ROW($3:$1000),ROW()-2)-2)&amp;"","")</f>
        <v/>
      </c>
      <c r="D16" s="22" t="str">
        <v/>
      </c>
      <c r="E16" s="22" t="str">
        <f t="shared" si="1"/>
        <v/>
      </c>
      <c r="F16" s="56" t="str">
        <f>IF(AMS!I36="","",AMS!I36)</f>
        <v/>
      </c>
      <c r="G16" s="56" t="str">
        <f>IF(AMS!J36="","",AMS!J36)</f>
        <v/>
      </c>
      <c r="H16" s="22" t="str">
        <f t="array" ref="H16">IF(A16&lt;&gt;" ",IFERROR(INDEX(Summary!$G$3:$G$1000,SMALL((Summary!$G$3:$G$1000="")/0.1%+ROW($3:$1000),ROW()-2)-2)&amp;"",""),"")</f>
        <v/>
      </c>
      <c r="I16" s="22" t="str">
        <f t="shared" si="2"/>
        <v/>
      </c>
      <c r="J16" s="22" t="str">
        <f t="shared" si="3"/>
        <v/>
      </c>
    </row>
    <row r="17" spans="1:10">
      <c r="A17" s="56" t="str">
        <f>IF(AMS!H37="","",AMS!H37)</f>
        <v/>
      </c>
      <c r="B17" s="22" t="str">
        <f t="shared" si="0"/>
        <v/>
      </c>
      <c r="C17" s="22" t="str">
        <f t="array" ref="C17">IFERROR(INDEX(Summary!$I$3:$I$1000,SMALL((Summary!$I$3:$I$1000="")/0.1%+ROW($3:$1000),ROW()-2)-2)&amp;"","")</f>
        <v/>
      </c>
      <c r="D17" s="22" t="str">
        <v/>
      </c>
      <c r="E17" s="22" t="str">
        <f t="shared" si="1"/>
        <v/>
      </c>
      <c r="F17" s="56" t="str">
        <f>IF(AMS!I37="","",AMS!I37)</f>
        <v/>
      </c>
      <c r="G17" s="56" t="str">
        <f>IF(AMS!J37="","",AMS!J37)</f>
        <v/>
      </c>
      <c r="H17" s="22" t="str">
        <f t="array" ref="H17">IF(A17&lt;&gt;" ",IFERROR(INDEX(Summary!$G$3:$G$1000,SMALL((Summary!$G$3:$G$1000="")/0.1%+ROW($3:$1000),ROW()-2)-2)&amp;"",""),"")</f>
        <v/>
      </c>
      <c r="I17" s="22" t="str">
        <f t="shared" si="2"/>
        <v/>
      </c>
      <c r="J17" s="22" t="str">
        <f t="shared" si="3"/>
        <v/>
      </c>
    </row>
    <row r="18" spans="1:10">
      <c r="A18" s="56" t="str">
        <f>IF(AMS!H38="","",AMS!H38)</f>
        <v/>
      </c>
      <c r="B18" s="22" t="str">
        <f t="shared" si="0"/>
        <v/>
      </c>
      <c r="C18" s="22" t="str">
        <f t="array" ref="C18">IFERROR(INDEX(Summary!$I$3:$I$1000,SMALL((Summary!$I$3:$I$1000="")/0.1%+ROW($3:$1000),ROW()-2)-2)&amp;"","")</f>
        <v/>
      </c>
      <c r="D18" s="22" t="str">
        <v/>
      </c>
      <c r="E18" s="22" t="str">
        <f t="shared" si="1"/>
        <v/>
      </c>
      <c r="F18" s="56" t="str">
        <f>IF(AMS!I38="","",AMS!I38)</f>
        <v/>
      </c>
      <c r="G18" s="56" t="str">
        <f>IF(AMS!J38="","",AMS!J38)</f>
        <v/>
      </c>
      <c r="H18" s="22" t="str">
        <f t="array" ref="H18">IF(A18&lt;&gt;" ",IFERROR(INDEX(Summary!$G$3:$G$1000,SMALL((Summary!$G$3:$G$1000="")/0.1%+ROW($3:$1000),ROW()-2)-2)&amp;"",""),"")</f>
        <v/>
      </c>
      <c r="I18" s="22" t="str">
        <f t="shared" si="2"/>
        <v/>
      </c>
      <c r="J18" s="22" t="str">
        <f t="shared" si="3"/>
        <v/>
      </c>
    </row>
    <row r="19" spans="1:10">
      <c r="A19" s="56" t="str">
        <f>IF(AMS!H39="","",AMS!H39)</f>
        <v/>
      </c>
      <c r="B19" s="22" t="str">
        <f t="shared" si="0"/>
        <v/>
      </c>
      <c r="C19" s="22" t="str">
        <f t="array" ref="C19">IFERROR(INDEX(Summary!$I$3:$I$1000,SMALL((Summary!$I$3:$I$1000="")/0.1%+ROW($3:$1000),ROW()-2)-2)&amp;"","")</f>
        <v/>
      </c>
      <c r="D19" s="22" t="str">
        <v/>
      </c>
      <c r="E19" s="22" t="str">
        <f t="shared" si="1"/>
        <v/>
      </c>
      <c r="F19" s="56" t="str">
        <f>IF(AMS!I39="","",AMS!I39)</f>
        <v/>
      </c>
      <c r="G19" s="56" t="str">
        <f>IF(AMS!J39="","",AMS!J39)</f>
        <v/>
      </c>
      <c r="H19" s="22" t="str">
        <f t="array" ref="H19">IF(A19&lt;&gt;" ",IFERROR(INDEX(Summary!$G$3:$G$1000,SMALL((Summary!$G$3:$G$1000="")/0.1%+ROW($3:$1000),ROW()-2)-2)&amp;"",""),"")</f>
        <v/>
      </c>
      <c r="I19" s="22" t="str">
        <f t="shared" si="2"/>
        <v/>
      </c>
      <c r="J19" s="22" t="str">
        <f t="shared" si="3"/>
        <v/>
      </c>
    </row>
    <row r="20" spans="1:10">
      <c r="A20" s="56" t="str">
        <f>IF(AMS!H40="","",AMS!H40)</f>
        <v/>
      </c>
      <c r="B20" s="22" t="str">
        <f t="shared" si="0"/>
        <v/>
      </c>
      <c r="C20" s="22" t="str">
        <f t="array" ref="C20">IFERROR(INDEX(Summary!$I$3:$I$1000,SMALL((Summary!$I$3:$I$1000="")/0.1%+ROW($3:$1000),ROW()-2)-2)&amp;"","")</f>
        <v/>
      </c>
      <c r="D20" s="22" t="str">
        <v/>
      </c>
      <c r="E20" s="22" t="str">
        <f t="shared" si="1"/>
        <v/>
      </c>
      <c r="F20" s="56" t="str">
        <f>IF(AMS!I40="","",AMS!I40)</f>
        <v/>
      </c>
      <c r="G20" s="56" t="str">
        <f>IF(AMS!J40="","",AMS!J40)</f>
        <v/>
      </c>
      <c r="H20" s="22" t="str">
        <f t="array" ref="H20">IF(A20&lt;&gt;" ",IFERROR(INDEX(Summary!$G$3:$G$1000,SMALL((Summary!$G$3:$G$1000="")/0.1%+ROW($3:$1000),ROW()-2)-2)&amp;"",""),"")</f>
        <v/>
      </c>
      <c r="I20" s="22" t="str">
        <f t="shared" si="2"/>
        <v/>
      </c>
      <c r="J20" s="22" t="str">
        <f t="shared" si="3"/>
        <v/>
      </c>
    </row>
    <row r="21" spans="1:10">
      <c r="A21" s="56" t="str">
        <f>IF(AMS!H41="","",AMS!H41)</f>
        <v/>
      </c>
      <c r="B21" s="22" t="str">
        <f t="shared" si="0"/>
        <v/>
      </c>
      <c r="C21" s="22" t="str">
        <f t="array" ref="C21">IFERROR(INDEX(Summary!$I$3:$I$1000,SMALL((Summary!$I$3:$I$1000="")/0.1%+ROW($3:$1000),ROW()-2)-2)&amp;"","")</f>
        <v/>
      </c>
      <c r="D21" s="22" t="str">
        <v/>
      </c>
      <c r="E21" s="22" t="str">
        <f t="shared" si="1"/>
        <v/>
      </c>
      <c r="F21" s="56" t="str">
        <f>IF(AMS!I41="","",AMS!I41)</f>
        <v/>
      </c>
      <c r="G21" s="56" t="str">
        <f>IF(AMS!J41="","",AMS!J41)</f>
        <v/>
      </c>
      <c r="H21" s="22" t="str">
        <f t="array" ref="H21">IF(A21&lt;&gt;" ",IFERROR(INDEX(Summary!$G$3:$G$1000,SMALL((Summary!$G$3:$G$1000="")/0.1%+ROW($3:$1000),ROW()-2)-2)&amp;"",""),"")</f>
        <v/>
      </c>
      <c r="I21" s="22" t="str">
        <f t="shared" si="2"/>
        <v/>
      </c>
      <c r="J21" s="22" t="str">
        <f t="shared" si="3"/>
        <v/>
      </c>
    </row>
    <row r="22" spans="1:10">
      <c r="A22" s="56" t="str">
        <f>IF(AMS!H42="","",AMS!H42)</f>
        <v/>
      </c>
      <c r="B22" s="22" t="str">
        <f t="shared" si="0"/>
        <v/>
      </c>
      <c r="C22" s="22" t="str">
        <f t="array" ref="C22">IFERROR(INDEX(Summary!$I$3:$I$1000,SMALL((Summary!$I$3:$I$1000="")/0.1%+ROW($3:$1000),ROW()-2)-2)&amp;"","")</f>
        <v/>
      </c>
      <c r="D22" s="22" t="str">
        <v/>
      </c>
      <c r="E22" s="22" t="str">
        <f t="shared" si="1"/>
        <v/>
      </c>
      <c r="F22" s="56" t="str">
        <f>IF(AMS!I42="","",AMS!I42)</f>
        <v/>
      </c>
      <c r="G22" s="56" t="str">
        <f>IF(AMS!J42="","",AMS!J42)</f>
        <v/>
      </c>
      <c r="H22" s="22" t="str">
        <f t="array" ref="H22">IF(A22&lt;&gt;" ",IFERROR(INDEX(Summary!$G$3:$G$1000,SMALL((Summary!$G$3:$G$1000="")/0.1%+ROW($3:$1000),ROW()-2)-2)&amp;"",""),"")</f>
        <v/>
      </c>
      <c r="I22" s="22" t="str">
        <f t="shared" si="2"/>
        <v/>
      </c>
      <c r="J22" s="22" t="str">
        <f t="shared" si="3"/>
        <v/>
      </c>
    </row>
    <row r="23" spans="1:10">
      <c r="A23" s="56" t="str">
        <f>IF(AMS!H43="","",AMS!H43)</f>
        <v/>
      </c>
      <c r="B23" s="22" t="str">
        <f t="shared" si="0"/>
        <v/>
      </c>
      <c r="C23" s="22" t="str">
        <f t="array" ref="C23">IFERROR(INDEX(Summary!$I$3:$I$1000,SMALL((Summary!$I$3:$I$1000="")/0.1%+ROW($3:$1000),ROW()-2)-2)&amp;"","")</f>
        <v/>
      </c>
      <c r="D23" s="22" t="str">
        <v/>
      </c>
      <c r="E23" s="22" t="str">
        <f t="shared" si="1"/>
        <v/>
      </c>
      <c r="F23" s="56" t="str">
        <f>IF(AMS!I43="","",AMS!I43)</f>
        <v/>
      </c>
      <c r="G23" s="56" t="str">
        <f>IF(AMS!J43="","",AMS!J43)</f>
        <v/>
      </c>
      <c r="H23" s="22" t="str">
        <f t="array" ref="H23">IF(A23&lt;&gt;" ",IFERROR(INDEX(Summary!$G$3:$G$1000,SMALL((Summary!$G$3:$G$1000="")/0.1%+ROW($3:$1000),ROW()-2)-2)&amp;"",""),"")</f>
        <v/>
      </c>
      <c r="I23" s="22" t="str">
        <f t="shared" si="2"/>
        <v/>
      </c>
      <c r="J23" s="22" t="str">
        <f t="shared" si="3"/>
        <v/>
      </c>
    </row>
    <row r="24" spans="1:10">
      <c r="A24" s="56" t="str">
        <f>IF(AMS!H44="","",AMS!H44)</f>
        <v/>
      </c>
      <c r="B24" s="22" t="str">
        <f t="shared" si="0"/>
        <v/>
      </c>
      <c r="C24" s="22" t="str">
        <f t="array" ref="C24">IFERROR(INDEX(Summary!$I$3:$I$1000,SMALL((Summary!$I$3:$I$1000="")/0.1%+ROW($3:$1000),ROW()-2)-2)&amp;"","")</f>
        <v/>
      </c>
      <c r="D24" s="22" t="str">
        <v/>
      </c>
      <c r="E24" s="22" t="str">
        <f t="shared" si="1"/>
        <v/>
      </c>
      <c r="F24" s="56" t="str">
        <f>IF(AMS!I44="","",AMS!I44)</f>
        <v/>
      </c>
      <c r="G24" s="56" t="str">
        <f>IF(AMS!J44="","",AMS!J44)</f>
        <v/>
      </c>
      <c r="H24" s="22" t="str">
        <f t="array" ref="H24">IF(A24&lt;&gt;" ",IFERROR(INDEX(Summary!$G$3:$G$1000,SMALL((Summary!$G$3:$G$1000="")/0.1%+ROW($3:$1000),ROW()-2)-2)&amp;"",""),"")</f>
        <v/>
      </c>
      <c r="I24" s="22" t="str">
        <f t="shared" si="2"/>
        <v/>
      </c>
      <c r="J24" s="22" t="str">
        <f t="shared" si="3"/>
        <v/>
      </c>
    </row>
    <row r="25" spans="1:10">
      <c r="A25" s="56" t="str">
        <f>IF(AMS!H45="","",AMS!H45)</f>
        <v/>
      </c>
      <c r="B25" s="22" t="str">
        <f t="shared" si="0"/>
        <v/>
      </c>
      <c r="C25" s="22" t="str">
        <f t="array" ref="C25">IFERROR(INDEX(Summary!$I$3:$I$1000,SMALL((Summary!$I$3:$I$1000="")/0.1%+ROW($3:$1000),ROW()-2)-2)&amp;"","")</f>
        <v/>
      </c>
      <c r="D25" s="22" t="str">
        <v/>
      </c>
      <c r="E25" s="22" t="str">
        <f t="shared" si="1"/>
        <v/>
      </c>
      <c r="F25" s="56" t="str">
        <f>IF(AMS!I45="","",AMS!I45)</f>
        <v/>
      </c>
      <c r="G25" s="56" t="str">
        <f>IF(AMS!J45="","",AMS!J45)</f>
        <v/>
      </c>
      <c r="H25" s="22" t="str">
        <f t="array" ref="H25">IF(A25&lt;&gt;" ",IFERROR(INDEX(Summary!$G$3:$G$1000,SMALL((Summary!$G$3:$G$1000="")/0.1%+ROW($3:$1000),ROW()-2)-2)&amp;"",""),"")</f>
        <v/>
      </c>
      <c r="I25" s="22" t="str">
        <f t="shared" si="2"/>
        <v/>
      </c>
      <c r="J25" s="22" t="str">
        <f t="shared" si="3"/>
        <v/>
      </c>
    </row>
    <row r="26" spans="1:10">
      <c r="A26" s="56" t="str">
        <f>IF(AMS!H46="","",AMS!H46)</f>
        <v/>
      </c>
      <c r="B26" s="22" t="str">
        <f t="shared" si="0"/>
        <v/>
      </c>
      <c r="C26" s="22" t="str">
        <f t="array" ref="C26">IFERROR(INDEX(Summary!$I$3:$I$1000,SMALL((Summary!$I$3:$I$1000="")/0.1%+ROW($3:$1000),ROW()-2)-2)&amp;"","")</f>
        <v/>
      </c>
      <c r="D26" s="22" t="str">
        <v/>
      </c>
      <c r="E26" s="22" t="str">
        <f t="shared" si="1"/>
        <v/>
      </c>
      <c r="F26" s="56" t="str">
        <f>IF(AMS!I46="","",AMS!I46)</f>
        <v/>
      </c>
      <c r="G26" s="56" t="str">
        <f>IF(AMS!J46="","",AMS!J46)</f>
        <v/>
      </c>
      <c r="H26" s="22" t="str">
        <f t="array" ref="H26">IF(A26&lt;&gt;" ",IFERROR(INDEX(Summary!$G$3:$G$1000,SMALL((Summary!$G$3:$G$1000="")/0.1%+ROW($3:$1000),ROW()-2)-2)&amp;"",""),"")</f>
        <v/>
      </c>
      <c r="I26" s="22" t="str">
        <f t="shared" si="2"/>
        <v/>
      </c>
      <c r="J26" s="22" t="str">
        <f t="shared" si="3"/>
        <v/>
      </c>
    </row>
    <row r="27" spans="1:10">
      <c r="A27" s="56" t="str">
        <f>IF(AMS!H47="","",AMS!H47)</f>
        <v/>
      </c>
      <c r="B27" s="22" t="str">
        <f t="shared" si="0"/>
        <v/>
      </c>
      <c r="C27" s="22" t="str">
        <f t="array" ref="C27">IFERROR(INDEX(Summary!$I$3:$I$1000,SMALL((Summary!$I$3:$I$1000="")/0.1%+ROW($3:$1000),ROW()-2)-2)&amp;"","")</f>
        <v/>
      </c>
      <c r="D27" s="22" t="str">
        <v/>
      </c>
      <c r="E27" s="22" t="str">
        <f t="shared" si="1"/>
        <v/>
      </c>
      <c r="F27" s="56" t="str">
        <f>IF(AMS!I47="","",AMS!I47)</f>
        <v/>
      </c>
      <c r="G27" s="56" t="str">
        <f>IF(AMS!J47="","",AMS!J47)</f>
        <v/>
      </c>
      <c r="H27" s="22" t="str">
        <f t="array" ref="H27">IF(A27&lt;&gt;" ",IFERROR(INDEX(Summary!$G$3:$G$1000,SMALL((Summary!$G$3:$G$1000="")/0.1%+ROW($3:$1000),ROW()-2)-2)&amp;"",""),"")</f>
        <v/>
      </c>
      <c r="I27" s="22" t="str">
        <f t="shared" si="2"/>
        <v/>
      </c>
      <c r="J27" s="22" t="str">
        <f t="shared" si="3"/>
        <v/>
      </c>
    </row>
    <row r="28" spans="1:10">
      <c r="A28" s="56" t="str">
        <f>IF(AMS!H48="","",AMS!H48)</f>
        <v/>
      </c>
      <c r="B28" s="22" t="str">
        <f t="shared" si="0"/>
        <v/>
      </c>
      <c r="C28" s="22" t="str">
        <f t="array" ref="C28">IFERROR(INDEX(Summary!$I$3:$I$1000,SMALL((Summary!$I$3:$I$1000="")/0.1%+ROW($3:$1000),ROW()-2)-2)&amp;"","")</f>
        <v/>
      </c>
      <c r="D28" s="22" t="str">
        <v/>
      </c>
      <c r="E28" s="22" t="str">
        <f t="shared" si="1"/>
        <v/>
      </c>
      <c r="F28" s="56" t="str">
        <f>IF(AMS!I48="","",AMS!I48)</f>
        <v/>
      </c>
      <c r="G28" s="56" t="str">
        <f>IF(AMS!J48="","",AMS!J48)</f>
        <v/>
      </c>
      <c r="H28" s="22" t="str">
        <f t="array" ref="H28">IF(A28&lt;&gt;" ",IFERROR(INDEX(Summary!$G$3:$G$1000,SMALL((Summary!$G$3:$G$1000="")/0.1%+ROW($3:$1000),ROW()-2)-2)&amp;"",""),"")</f>
        <v/>
      </c>
      <c r="I28" s="22" t="str">
        <f t="shared" si="2"/>
        <v/>
      </c>
      <c r="J28" s="22" t="str">
        <f t="shared" si="3"/>
        <v/>
      </c>
    </row>
    <row r="29" spans="1:10">
      <c r="A29" s="56" t="str">
        <f>IF(AMS!H49="","",AMS!H49)</f>
        <v/>
      </c>
      <c r="B29" s="22" t="str">
        <f t="shared" si="0"/>
        <v/>
      </c>
      <c r="C29" s="22" t="str">
        <f t="array" ref="C29">IFERROR(INDEX(Summary!$I$3:$I$1000,SMALL((Summary!$I$3:$I$1000="")/0.1%+ROW($3:$1000),ROW()-2)-2)&amp;"","")</f>
        <v/>
      </c>
      <c r="D29" s="22" t="str">
        <v/>
      </c>
      <c r="E29" s="22" t="str">
        <f t="shared" si="1"/>
        <v/>
      </c>
      <c r="F29" s="56" t="str">
        <f>IF(AMS!I49="","",AMS!I49)</f>
        <v/>
      </c>
      <c r="G29" s="56" t="str">
        <f>IF(AMS!J49="","",AMS!J49)</f>
        <v/>
      </c>
      <c r="H29" s="22" t="str">
        <f t="array" ref="H29">IF(A29&lt;&gt;" ",IFERROR(INDEX(Summary!$G$3:$G$1000,SMALL((Summary!$G$3:$G$1000="")/0.1%+ROW($3:$1000),ROW()-2)-2)&amp;"",""),"")</f>
        <v/>
      </c>
      <c r="I29" s="22" t="str">
        <f t="shared" si="2"/>
        <v/>
      </c>
      <c r="J29" s="22" t="str">
        <f t="shared" si="3"/>
        <v/>
      </c>
    </row>
    <row r="30" spans="1:10">
      <c r="A30" s="56" t="str">
        <f>IF(AMS!H50="","",AMS!H50)</f>
        <v/>
      </c>
      <c r="B30" s="22" t="str">
        <f t="shared" si="0"/>
        <v/>
      </c>
      <c r="C30" s="22" t="str">
        <f t="array" ref="C30">IFERROR(INDEX(Summary!$I$3:$I$1000,SMALL((Summary!$I$3:$I$1000="")/0.1%+ROW($3:$1000),ROW()-2)-2)&amp;"","")</f>
        <v/>
      </c>
      <c r="D30" s="22" t="str">
        <v/>
      </c>
      <c r="E30" s="22" t="str">
        <f t="shared" si="1"/>
        <v/>
      </c>
      <c r="F30" s="56" t="str">
        <f>IF(AMS!I50="","",AMS!I50)</f>
        <v/>
      </c>
      <c r="G30" s="56" t="str">
        <f>IF(AMS!J50="","",AMS!J50)</f>
        <v/>
      </c>
      <c r="H30" s="22" t="str">
        <f t="array" ref="H30">IF(A30&lt;&gt;" ",IFERROR(INDEX(Summary!$G$3:$G$1000,SMALL((Summary!$G$3:$G$1000="")/0.1%+ROW($3:$1000),ROW()-2)-2)&amp;"",""),"")</f>
        <v/>
      </c>
      <c r="I30" s="22" t="str">
        <f t="shared" si="2"/>
        <v/>
      </c>
      <c r="J30" s="22" t="str">
        <f t="shared" si="3"/>
        <v/>
      </c>
    </row>
    <row r="31" spans="1:10">
      <c r="A31" s="56" t="str">
        <f>IF(AMS!H51="","",AMS!H51)</f>
        <v/>
      </c>
      <c r="B31" s="22" t="str">
        <f t="shared" si="0"/>
        <v/>
      </c>
      <c r="C31" s="22" t="str">
        <f t="array" ref="C31">IFERROR(INDEX(Summary!$I$3:$I$1000,SMALL((Summary!$I$3:$I$1000="")/0.1%+ROW($3:$1000),ROW()-2)-2)&amp;"","")</f>
        <v/>
      </c>
      <c r="D31" s="22" t="str">
        <v/>
      </c>
      <c r="E31" s="22" t="str">
        <f t="shared" si="1"/>
        <v/>
      </c>
      <c r="F31" s="56" t="str">
        <f>IF(AMS!I51="","",AMS!I51)</f>
        <v/>
      </c>
      <c r="G31" s="56" t="str">
        <f>IF(AMS!J51="","",AMS!J51)</f>
        <v/>
      </c>
      <c r="H31" s="22" t="str">
        <f t="array" ref="H31">IF(A31&lt;&gt;" ",IFERROR(INDEX(Summary!$G$3:$G$1000,SMALL((Summary!$G$3:$G$1000="")/0.1%+ROW($3:$1000),ROW()-2)-2)&amp;"",""),"")</f>
        <v/>
      </c>
      <c r="I31" s="22" t="str">
        <f t="shared" si="2"/>
        <v/>
      </c>
      <c r="J31" s="22" t="str">
        <f t="shared" si="3"/>
        <v/>
      </c>
    </row>
    <row r="32" spans="1:10">
      <c r="A32" s="56" t="str">
        <f>IF(AMS!H52="","",AMS!H52)</f>
        <v/>
      </c>
      <c r="B32" s="22" t="str">
        <f t="shared" si="0"/>
        <v/>
      </c>
      <c r="C32" s="22" t="str">
        <f t="array" ref="C32">IFERROR(INDEX(Summary!$I$3:$I$1000,SMALL((Summary!$I$3:$I$1000="")/0.1%+ROW($3:$1000),ROW()-2)-2)&amp;"","")</f>
        <v/>
      </c>
      <c r="D32" s="22" t="str">
        <v/>
      </c>
      <c r="E32" s="22" t="str">
        <f t="shared" si="1"/>
        <v/>
      </c>
      <c r="F32" s="56" t="str">
        <f>IF(AMS!I52="","",AMS!I52)</f>
        <v/>
      </c>
      <c r="G32" s="56" t="str">
        <f>IF(AMS!J52="","",AMS!J52)</f>
        <v/>
      </c>
      <c r="H32" s="22" t="str">
        <f t="array" ref="H32">IF(A32&lt;&gt;" ",IFERROR(INDEX(Summary!$G$3:$G$1000,SMALL((Summary!$G$3:$G$1000="")/0.1%+ROW($3:$1000),ROW()-2)-2)&amp;"",""),"")</f>
        <v/>
      </c>
      <c r="I32" s="22" t="str">
        <f t="shared" si="2"/>
        <v/>
      </c>
      <c r="J32" s="22" t="str">
        <f t="shared" si="3"/>
        <v/>
      </c>
    </row>
    <row r="33" spans="1:10">
      <c r="A33" s="56" t="str">
        <f>IF(AMS!H53="","",AMS!H53)</f>
        <v/>
      </c>
      <c r="B33" s="22" t="str">
        <f t="shared" si="0"/>
        <v/>
      </c>
      <c r="C33" s="22" t="str">
        <f t="array" ref="C33">IFERROR(INDEX(Summary!$I$3:$I$1000,SMALL((Summary!$I$3:$I$1000="")/0.1%+ROW($3:$1000),ROW()-2)-2)&amp;"","")</f>
        <v/>
      </c>
      <c r="D33" s="22" t="str">
        <v/>
      </c>
      <c r="E33" s="22" t="str">
        <f t="shared" si="1"/>
        <v/>
      </c>
      <c r="F33" s="56" t="str">
        <f>IF(AMS!I53="","",AMS!I53)</f>
        <v/>
      </c>
      <c r="G33" s="56" t="str">
        <f>IF(AMS!J53="","",AMS!J53)</f>
        <v/>
      </c>
      <c r="H33" s="22" t="str">
        <f t="array" ref="H33">IF(A33&lt;&gt;" ",IFERROR(INDEX(Summary!$G$3:$G$1000,SMALL((Summary!$G$3:$G$1000="")/0.1%+ROW($3:$1000),ROW()-2)-2)&amp;"",""),"")</f>
        <v/>
      </c>
      <c r="I33" s="22" t="str">
        <f t="shared" si="2"/>
        <v/>
      </c>
      <c r="J33" s="22" t="str">
        <f t="shared" si="3"/>
        <v/>
      </c>
    </row>
    <row r="34" spans="1:10">
      <c r="A34" s="56" t="str">
        <f>IF(AMS!H54="","",AMS!H54)</f>
        <v/>
      </c>
      <c r="B34" s="22" t="str">
        <f t="shared" si="0"/>
        <v/>
      </c>
      <c r="C34" s="22" t="str">
        <f t="array" ref="C34">IFERROR(INDEX(Summary!$I$3:$I$1000,SMALL((Summary!$I$3:$I$1000="")/0.1%+ROW($3:$1000),ROW()-2)-2)&amp;"","")</f>
        <v/>
      </c>
      <c r="D34" s="22" t="str">
        <v/>
      </c>
      <c r="E34" s="22" t="str">
        <f t="shared" si="1"/>
        <v/>
      </c>
      <c r="F34" s="56" t="str">
        <f>IF(AMS!I54="","",AMS!I54)</f>
        <v/>
      </c>
      <c r="G34" s="56" t="str">
        <f>IF(AMS!J54="","",AMS!J54)</f>
        <v/>
      </c>
      <c r="H34" s="22" t="str">
        <f t="array" ref="H34">IF(A34&lt;&gt;" ",IFERROR(INDEX(Summary!$G$3:$G$1000,SMALL((Summary!$G$3:$G$1000="")/0.1%+ROW($3:$1000),ROW()-2)-2)&amp;"",""),"")</f>
        <v/>
      </c>
      <c r="I34" s="22" t="str">
        <f t="shared" si="2"/>
        <v/>
      </c>
      <c r="J34" s="22" t="str">
        <f t="shared" si="3"/>
        <v/>
      </c>
    </row>
    <row r="35" spans="1:10">
      <c r="A35" s="56" t="str">
        <f>IF(AMS!H55="","",AMS!H55)</f>
        <v/>
      </c>
      <c r="B35" s="22" t="str">
        <f t="shared" si="0"/>
        <v/>
      </c>
      <c r="C35" s="22" t="str">
        <f t="array" ref="C35">IFERROR(INDEX(Summary!$I$3:$I$1000,SMALL((Summary!$I$3:$I$1000="")/0.1%+ROW($3:$1000),ROW()-2)-2)&amp;"","")</f>
        <v/>
      </c>
      <c r="D35" s="22" t="str">
        <v/>
      </c>
      <c r="E35" s="22" t="str">
        <f t="shared" si="1"/>
        <v/>
      </c>
      <c r="F35" s="56" t="str">
        <f>IF(AMS!I55="","",AMS!I55)</f>
        <v/>
      </c>
      <c r="G35" s="56" t="str">
        <f>IF(AMS!J55="","",AMS!J55)</f>
        <v/>
      </c>
      <c r="H35" s="22" t="str">
        <f t="array" ref="H35">IF(A35&lt;&gt;" ",IFERROR(INDEX(Summary!$G$3:$G$1000,SMALL((Summary!$G$3:$G$1000="")/0.1%+ROW($3:$1000),ROW()-2)-2)&amp;"",""),"")</f>
        <v/>
      </c>
      <c r="I35" s="22" t="str">
        <f t="shared" si="2"/>
        <v/>
      </c>
      <c r="J35" s="22" t="str">
        <f t="shared" si="3"/>
        <v/>
      </c>
    </row>
    <row r="36" spans="1:10">
      <c r="A36" s="56" t="str">
        <f>IF(AMS!H56="","",AMS!H56)</f>
        <v/>
      </c>
      <c r="B36" s="22" t="str">
        <f t="shared" si="0"/>
        <v/>
      </c>
      <c r="C36" s="22" t="str">
        <f t="array" ref="C36">IFERROR(INDEX(Summary!$I$3:$I$1000,SMALL((Summary!$I$3:$I$1000="")/0.1%+ROW($3:$1000),ROW()-2)-2)&amp;"","")</f>
        <v/>
      </c>
      <c r="D36" s="22" t="str">
        <v/>
      </c>
      <c r="E36" s="22" t="str">
        <f t="shared" si="1"/>
        <v/>
      </c>
      <c r="F36" s="56" t="str">
        <f>IF(AMS!I56="","",AMS!I56)</f>
        <v/>
      </c>
      <c r="G36" s="56" t="str">
        <f>IF(AMS!J56="","",AMS!J56)</f>
        <v/>
      </c>
      <c r="H36" s="22" t="str">
        <f t="array" ref="H36">IF(A36&lt;&gt;" ",IFERROR(INDEX(Summary!$G$3:$G$1000,SMALL((Summary!$G$3:$G$1000="")/0.1%+ROW($3:$1000),ROW()-2)-2)&amp;"",""),"")</f>
        <v/>
      </c>
      <c r="I36" s="22" t="str">
        <f t="shared" si="2"/>
        <v/>
      </c>
      <c r="J36" s="22" t="str">
        <f t="shared" si="3"/>
        <v/>
      </c>
    </row>
    <row r="37" spans="1:10">
      <c r="A37" s="56" t="str">
        <f>IF(AMS!H57="","",AMS!H57)</f>
        <v/>
      </c>
      <c r="B37" s="22" t="str">
        <f t="shared" si="0"/>
        <v/>
      </c>
      <c r="C37" s="22" t="str">
        <f t="array" ref="C37">IFERROR(INDEX(Summary!$I$3:$I$1000,SMALL((Summary!$I$3:$I$1000="")/0.1%+ROW($3:$1000),ROW()-2)-2)&amp;"","")</f>
        <v/>
      </c>
      <c r="D37" s="22" t="str">
        <v/>
      </c>
      <c r="E37" s="22" t="str">
        <f t="shared" si="1"/>
        <v/>
      </c>
      <c r="F37" s="56" t="str">
        <f>IF(AMS!I57="","",AMS!I57)</f>
        <v/>
      </c>
      <c r="G37" s="56" t="str">
        <f>IF(AMS!J57="","",AMS!J57)</f>
        <v/>
      </c>
      <c r="H37" s="22" t="str">
        <f t="array" ref="H37">IF(A37&lt;&gt;" ",IFERROR(INDEX(Summary!$G$3:$G$1000,SMALL((Summary!$G$3:$G$1000="")/0.1%+ROW($3:$1000),ROW()-2)-2)&amp;"",""),"")</f>
        <v/>
      </c>
      <c r="I37" s="22" t="str">
        <f t="shared" si="2"/>
        <v/>
      </c>
      <c r="J37" s="22" t="str">
        <f t="shared" si="3"/>
        <v/>
      </c>
    </row>
    <row r="38" spans="1:10">
      <c r="A38" s="56" t="str">
        <f>IF(AMS!H58="","",AMS!H58)</f>
        <v/>
      </c>
      <c r="B38" s="22" t="str">
        <f t="shared" si="0"/>
        <v/>
      </c>
      <c r="C38" s="22" t="str">
        <f t="array" ref="C38">IFERROR(INDEX(Summary!$I$3:$I$1000,SMALL((Summary!$I$3:$I$1000="")/0.1%+ROW($3:$1000),ROW()-2)-2)&amp;"","")</f>
        <v/>
      </c>
      <c r="D38" s="22" t="str">
        <v/>
      </c>
      <c r="E38" s="22" t="str">
        <f t="shared" si="1"/>
        <v/>
      </c>
      <c r="F38" s="56" t="str">
        <f>IF(AMS!I58="","",AMS!I58)</f>
        <v/>
      </c>
      <c r="G38" s="56" t="str">
        <f>IF(AMS!J58="","",AMS!J58)</f>
        <v/>
      </c>
      <c r="H38" s="22" t="str">
        <f t="array" ref="H38">IF(A38&lt;&gt;" ",IFERROR(INDEX(Summary!$G$3:$G$1000,SMALL((Summary!$G$3:$G$1000="")/0.1%+ROW($3:$1000),ROW()-2)-2)&amp;"",""),"")</f>
        <v/>
      </c>
      <c r="I38" s="22" t="str">
        <f t="shared" si="2"/>
        <v/>
      </c>
      <c r="J38" s="22" t="str">
        <f t="shared" si="3"/>
        <v/>
      </c>
    </row>
    <row r="39" spans="1:10">
      <c r="A39" s="56" t="str">
        <f>IF(AMS!H59="","",AMS!H59)</f>
        <v/>
      </c>
      <c r="B39" s="22" t="str">
        <f t="shared" si="0"/>
        <v/>
      </c>
      <c r="C39" s="22" t="str">
        <f t="array" ref="C39">IFERROR(INDEX(Summary!$I$3:$I$1000,SMALL((Summary!$I$3:$I$1000="")/0.1%+ROW($3:$1000),ROW()-2)-2)&amp;"","")</f>
        <v/>
      </c>
      <c r="D39" s="22" t="str">
        <v/>
      </c>
      <c r="E39" s="22" t="str">
        <f t="shared" si="1"/>
        <v/>
      </c>
      <c r="F39" s="56" t="str">
        <f>IF(AMS!I59="","",AMS!I59)</f>
        <v/>
      </c>
      <c r="G39" s="56" t="str">
        <f>IF(AMS!J59="","",AMS!J59)</f>
        <v/>
      </c>
      <c r="H39" s="22" t="str">
        <f t="array" ref="H39">IF(A39&lt;&gt;" ",IFERROR(INDEX(Summary!$G$3:$G$1000,SMALL((Summary!$G$3:$G$1000="")/0.1%+ROW($3:$1000),ROW()-2)-2)&amp;"",""),"")</f>
        <v/>
      </c>
      <c r="I39" s="22" t="str">
        <f t="shared" si="2"/>
        <v/>
      </c>
      <c r="J39" s="22" t="str">
        <f t="shared" si="3"/>
        <v/>
      </c>
    </row>
    <row r="40" spans="1:10">
      <c r="A40" s="56" t="str">
        <f>IF(AMS!H60="","",AMS!H60)</f>
        <v/>
      </c>
      <c r="B40" s="22" t="str">
        <f t="shared" si="0"/>
        <v/>
      </c>
      <c r="C40" s="22" t="str">
        <f t="array" ref="C40">IFERROR(INDEX(Summary!$I$3:$I$1000,SMALL((Summary!$I$3:$I$1000="")/0.1%+ROW($3:$1000),ROW()-2)-2)&amp;"","")</f>
        <v/>
      </c>
      <c r="D40" s="22" t="str">
        <v/>
      </c>
      <c r="E40" s="22" t="str">
        <f t="shared" si="1"/>
        <v/>
      </c>
      <c r="F40" s="56" t="str">
        <f>IF(AMS!I60="","",AMS!I60)</f>
        <v/>
      </c>
      <c r="G40" s="56" t="str">
        <f>IF(AMS!J60="","",AMS!J60)</f>
        <v/>
      </c>
      <c r="H40" s="22" t="str">
        <f t="array" ref="H40">IF(A40&lt;&gt;" ",IFERROR(INDEX(Summary!$G$3:$G$1000,SMALL((Summary!$G$3:$G$1000="")/0.1%+ROW($3:$1000),ROW()-2)-2)&amp;"",""),"")</f>
        <v/>
      </c>
      <c r="I40" s="22" t="str">
        <f t="shared" si="2"/>
        <v/>
      </c>
      <c r="J40" s="22" t="str">
        <f t="shared" si="3"/>
        <v/>
      </c>
    </row>
    <row r="41" spans="1:10">
      <c r="A41" s="56" t="str">
        <f>IF(AMS!H61="","",AMS!H61)</f>
        <v/>
      </c>
      <c r="B41" s="22" t="str">
        <f t="shared" si="0"/>
        <v/>
      </c>
      <c r="C41" s="22" t="str">
        <f t="array" ref="C41">IFERROR(INDEX(Summary!$I$3:$I$1000,SMALL((Summary!$I$3:$I$1000="")/0.1%+ROW($3:$1000),ROW()-2)-2)&amp;"","")</f>
        <v/>
      </c>
      <c r="D41" s="22" t="str">
        <v/>
      </c>
      <c r="E41" s="22" t="str">
        <f t="shared" si="1"/>
        <v/>
      </c>
      <c r="F41" s="56" t="str">
        <f>IF(AMS!I61="","",AMS!I61)</f>
        <v/>
      </c>
      <c r="G41" s="56" t="str">
        <f>IF(AMS!J61="","",AMS!J61)</f>
        <v/>
      </c>
      <c r="H41" s="22" t="str">
        <f t="array" ref="H41">IF(A41&lt;&gt;" ",IFERROR(INDEX(Summary!$G$3:$G$1000,SMALL((Summary!$G$3:$G$1000="")/0.1%+ROW($3:$1000),ROW()-2)-2)&amp;"",""),"")</f>
        <v/>
      </c>
      <c r="I41" s="22" t="str">
        <f t="shared" si="2"/>
        <v/>
      </c>
      <c r="J41" s="22" t="str">
        <f t="shared" si="3"/>
        <v/>
      </c>
    </row>
    <row r="42" spans="1:10">
      <c r="A42" s="56" t="str">
        <f>IF(AMS!H62="","",AMS!H62)</f>
        <v/>
      </c>
      <c r="B42" s="22" t="str">
        <f t="shared" si="0"/>
        <v/>
      </c>
      <c r="C42" s="22" t="str">
        <f t="array" ref="C42">IFERROR(INDEX(Summary!$I$3:$I$1000,SMALL((Summary!$I$3:$I$1000="")/0.1%+ROW($3:$1000),ROW()-2)-2)&amp;"","")</f>
        <v/>
      </c>
      <c r="D42" s="22" t="str">
        <v/>
      </c>
      <c r="E42" s="22" t="str">
        <f t="shared" si="1"/>
        <v/>
      </c>
      <c r="F42" s="56" t="str">
        <f>IF(AMS!I62="","",AMS!I62)</f>
        <v/>
      </c>
      <c r="G42" s="56" t="str">
        <f>IF(AMS!J62="","",AMS!J62)</f>
        <v/>
      </c>
      <c r="H42" s="22" t="str">
        <f t="array" ref="H42">IF(A42&lt;&gt;" ",IFERROR(INDEX(Summary!$G$3:$G$1000,SMALL((Summary!$G$3:$G$1000="")/0.1%+ROW($3:$1000),ROW()-2)-2)&amp;"",""),"")</f>
        <v/>
      </c>
      <c r="I42" s="22" t="str">
        <f t="shared" si="2"/>
        <v/>
      </c>
      <c r="J42" s="22" t="str">
        <f t="shared" si="3"/>
        <v/>
      </c>
    </row>
    <row r="43" spans="1:10">
      <c r="A43" s="56" t="str">
        <f>IF(AMS!H63="","",AMS!H63)</f>
        <v/>
      </c>
      <c r="B43" s="22" t="str">
        <f t="shared" si="0"/>
        <v/>
      </c>
      <c r="C43" s="22" t="str">
        <f t="array" ref="C43">IFERROR(INDEX(Summary!$I$3:$I$1000,SMALL((Summary!$I$3:$I$1000="")/0.1%+ROW($3:$1000),ROW()-2)-2)&amp;"","")</f>
        <v/>
      </c>
      <c r="D43" s="22" t="str">
        <v/>
      </c>
      <c r="E43" s="22" t="str">
        <f t="shared" si="1"/>
        <v/>
      </c>
      <c r="F43" s="56" t="str">
        <f>IF(AMS!I63="","",AMS!I63)</f>
        <v/>
      </c>
      <c r="G43" s="56" t="str">
        <f>IF(AMS!J63="","",AMS!J63)</f>
        <v/>
      </c>
      <c r="H43" s="22" t="str">
        <f t="array" ref="H43">IF(A43&lt;&gt;" ",IFERROR(INDEX(Summary!$G$3:$G$1000,SMALL((Summary!$G$3:$G$1000="")/0.1%+ROW($3:$1000),ROW()-2)-2)&amp;"",""),"")</f>
        <v/>
      </c>
      <c r="I43" s="22" t="str">
        <f t="shared" si="2"/>
        <v/>
      </c>
      <c r="J43" s="22" t="str">
        <f t="shared" si="3"/>
        <v/>
      </c>
    </row>
    <row r="44" spans="1:10">
      <c r="A44" s="56" t="str">
        <f>IF(AMS!H64="","",AMS!H64)</f>
        <v/>
      </c>
      <c r="B44" s="22" t="str">
        <f t="shared" si="0"/>
        <v/>
      </c>
      <c r="C44" s="22" t="str">
        <f t="array" ref="C44">IFERROR(INDEX(Summary!$I$3:$I$1000,SMALL((Summary!$I$3:$I$1000="")/0.1%+ROW($3:$1000),ROW()-2)-2)&amp;"","")</f>
        <v/>
      </c>
      <c r="D44" s="22" t="str">
        <v/>
      </c>
      <c r="E44" s="22" t="str">
        <f t="shared" si="1"/>
        <v/>
      </c>
      <c r="F44" s="56" t="str">
        <f>IF(AMS!I64="","",AMS!I64)</f>
        <v/>
      </c>
      <c r="G44" s="56" t="str">
        <f>IF(AMS!J64="","",AMS!J64)</f>
        <v/>
      </c>
      <c r="H44" s="22" t="str">
        <f t="array" ref="H44">IF(A44&lt;&gt;" ",IFERROR(INDEX(Summary!$G$3:$G$1000,SMALL((Summary!$G$3:$G$1000="")/0.1%+ROW($3:$1000),ROW()-2)-2)&amp;"",""),"")</f>
        <v/>
      </c>
      <c r="I44" s="22" t="str">
        <f t="shared" si="2"/>
        <v/>
      </c>
      <c r="J44" s="22" t="str">
        <f t="shared" si="3"/>
        <v/>
      </c>
    </row>
    <row r="45" spans="1:10">
      <c r="A45" s="56" t="str">
        <f>IF(AMS!H65="","",AMS!H65)</f>
        <v/>
      </c>
      <c r="B45" s="22" t="str">
        <f t="shared" si="0"/>
        <v/>
      </c>
      <c r="C45" s="22" t="str">
        <f t="array" ref="C45">IFERROR(INDEX(Summary!$I$3:$I$1000,SMALL((Summary!$I$3:$I$1000="")/0.1%+ROW($3:$1000),ROW()-2)-2)&amp;"","")</f>
        <v/>
      </c>
      <c r="D45" s="22" t="str">
        <v/>
      </c>
      <c r="E45" s="22" t="str">
        <f t="shared" si="1"/>
        <v/>
      </c>
      <c r="F45" s="56" t="str">
        <f>IF(AMS!I65="","",AMS!I65)</f>
        <v/>
      </c>
      <c r="G45" s="56" t="str">
        <f>IF(AMS!J65="","",AMS!J65)</f>
        <v/>
      </c>
      <c r="H45" s="22" t="str">
        <f t="array" ref="H45">IF(A45&lt;&gt;" ",IFERROR(INDEX(Summary!$G$3:$G$1000,SMALL((Summary!$G$3:$G$1000="")/0.1%+ROW($3:$1000),ROW()-2)-2)&amp;"",""),"")</f>
        <v/>
      </c>
      <c r="I45" s="22" t="str">
        <f t="shared" si="2"/>
        <v/>
      </c>
      <c r="J45" s="22" t="str">
        <f t="shared" si="3"/>
        <v/>
      </c>
    </row>
    <row r="46" spans="1:10">
      <c r="A46" s="56" t="str">
        <f>IF(AMS!H66="","",AMS!H66)</f>
        <v/>
      </c>
      <c r="B46" s="22" t="str">
        <f t="shared" si="0"/>
        <v/>
      </c>
      <c r="C46" s="22" t="str">
        <f t="array" ref="C46">IFERROR(INDEX(Summary!$I$3:$I$1000,SMALL((Summary!$I$3:$I$1000="")/0.1%+ROW($3:$1000),ROW()-2)-2)&amp;"","")</f>
        <v/>
      </c>
      <c r="D46" s="22" t="str">
        <v/>
      </c>
      <c r="E46" s="22" t="str">
        <f t="shared" si="1"/>
        <v/>
      </c>
      <c r="F46" s="56" t="str">
        <f>IF(AMS!I66="","",AMS!I66)</f>
        <v/>
      </c>
      <c r="G46" s="56" t="str">
        <f>IF(AMS!J66="","",AMS!J66)</f>
        <v/>
      </c>
      <c r="H46" s="22" t="str">
        <f t="array" ref="H46">IF(A46&lt;&gt;" ",IFERROR(INDEX(Summary!$G$3:$G$1000,SMALL((Summary!$G$3:$G$1000="")/0.1%+ROW($3:$1000),ROW()-2)-2)&amp;"",""),"")</f>
        <v/>
      </c>
      <c r="I46" s="22" t="str">
        <f t="shared" si="2"/>
        <v/>
      </c>
      <c r="J46" s="22" t="str">
        <f t="shared" si="3"/>
        <v/>
      </c>
    </row>
    <row r="47" spans="1:10">
      <c r="A47" s="56" t="str">
        <f>IF(AMS!H67="","",AMS!H67)</f>
        <v/>
      </c>
      <c r="B47" s="22" t="str">
        <f t="shared" si="0"/>
        <v/>
      </c>
      <c r="C47" s="22" t="str">
        <f t="array" ref="C47">IFERROR(INDEX(Summary!$I$3:$I$1000,SMALL((Summary!$I$3:$I$1000="")/0.1%+ROW($3:$1000),ROW()-2)-2)&amp;"","")</f>
        <v/>
      </c>
      <c r="D47" s="22" t="str">
        <v/>
      </c>
      <c r="E47" s="22" t="str">
        <f t="shared" si="1"/>
        <v/>
      </c>
      <c r="F47" s="56" t="str">
        <f>IF(AMS!I67="","",AMS!I67)</f>
        <v/>
      </c>
      <c r="G47" s="56" t="str">
        <f>IF(AMS!J67="","",AMS!J67)</f>
        <v/>
      </c>
      <c r="H47" s="22" t="str">
        <f t="array" ref="H47">IF(A47&lt;&gt;" ",IFERROR(INDEX(Summary!$G$3:$G$1000,SMALL((Summary!$G$3:$G$1000="")/0.1%+ROW($3:$1000),ROW()-2)-2)&amp;"",""),"")</f>
        <v/>
      </c>
      <c r="I47" s="22" t="str">
        <f t="shared" si="2"/>
        <v/>
      </c>
      <c r="J47" s="22" t="str">
        <f t="shared" si="3"/>
        <v/>
      </c>
    </row>
    <row r="48" spans="1:10">
      <c r="A48" s="56" t="str">
        <f>IF(AMS!H68="","",AMS!H68)</f>
        <v/>
      </c>
      <c r="B48" s="22" t="str">
        <f t="shared" si="0"/>
        <v/>
      </c>
      <c r="C48" s="22" t="str">
        <f t="array" ref="C48">IFERROR(INDEX(Summary!$I$3:$I$1000,SMALL((Summary!$I$3:$I$1000="")/0.1%+ROW($3:$1000),ROW()-2)-2)&amp;"","")</f>
        <v/>
      </c>
      <c r="D48" s="22" t="str">
        <v/>
      </c>
      <c r="E48" s="22" t="str">
        <f t="shared" si="1"/>
        <v/>
      </c>
      <c r="F48" s="56" t="str">
        <f>IF(AMS!I68="","",AMS!I68)</f>
        <v/>
      </c>
      <c r="G48" s="56" t="str">
        <f>IF(AMS!J68="","",AMS!J68)</f>
        <v/>
      </c>
      <c r="H48" s="22" t="str">
        <f t="array" ref="H48">IF(A48&lt;&gt;" ",IFERROR(INDEX(Summary!$G$3:$G$1000,SMALL((Summary!$G$3:$G$1000="")/0.1%+ROW($3:$1000),ROW()-2)-2)&amp;"",""),"")</f>
        <v/>
      </c>
      <c r="I48" s="22" t="str">
        <f t="shared" si="2"/>
        <v/>
      </c>
      <c r="J48" s="22" t="str">
        <f t="shared" si="3"/>
        <v/>
      </c>
    </row>
    <row r="49" spans="1:10">
      <c r="A49" s="56" t="str">
        <f>IF(AMS!H69="","",AMS!H69)</f>
        <v/>
      </c>
      <c r="B49" s="22" t="str">
        <f t="shared" si="0"/>
        <v/>
      </c>
      <c r="C49" s="22" t="str">
        <f t="array" ref="C49">IFERROR(INDEX(Summary!$I$3:$I$1000,SMALL((Summary!$I$3:$I$1000="")/0.1%+ROW($3:$1000),ROW()-2)-2)&amp;"","")</f>
        <v/>
      </c>
      <c r="D49" s="22" t="str">
        <v/>
      </c>
      <c r="E49" s="22" t="str">
        <f t="shared" si="1"/>
        <v/>
      </c>
      <c r="F49" s="56" t="str">
        <f>IF(AMS!I69="","",AMS!I69)</f>
        <v/>
      </c>
      <c r="G49" s="56" t="str">
        <f>IF(AMS!J69="","",AMS!J69)</f>
        <v/>
      </c>
      <c r="H49" s="22" t="str">
        <f t="array" ref="H49">IF(A49&lt;&gt;" ",IFERROR(INDEX(Summary!$G$3:$G$1000,SMALL((Summary!$G$3:$G$1000="")/0.1%+ROW($3:$1000),ROW()-2)-2)&amp;"",""),"")</f>
        <v/>
      </c>
      <c r="I49" s="22" t="str">
        <f t="shared" si="2"/>
        <v/>
      </c>
      <c r="J49" s="22" t="str">
        <f t="shared" si="3"/>
        <v/>
      </c>
    </row>
    <row r="50" spans="1:10">
      <c r="A50" s="56" t="str">
        <f>IF(AMS!H70="","",AMS!H70)</f>
        <v/>
      </c>
      <c r="B50" s="22" t="str">
        <f t="shared" si="0"/>
        <v/>
      </c>
      <c r="C50" s="22" t="str">
        <f t="array" ref="C50">IFERROR(INDEX(Summary!$I$3:$I$1000,SMALL((Summary!$I$3:$I$1000="")/0.1%+ROW($3:$1000),ROW()-2)-2)&amp;"","")</f>
        <v/>
      </c>
      <c r="D50" s="22" t="str">
        <v/>
      </c>
      <c r="E50" s="22" t="str">
        <f t="shared" si="1"/>
        <v/>
      </c>
      <c r="F50" s="56" t="str">
        <f>IF(AMS!I70="","",AMS!I70)</f>
        <v/>
      </c>
      <c r="G50" s="56" t="str">
        <f>IF(AMS!J70="","",AMS!J70)</f>
        <v/>
      </c>
      <c r="H50" s="22" t="str">
        <f t="array" ref="H50">IF(A50&lt;&gt;" ",IFERROR(INDEX(Summary!$G$3:$G$1000,SMALL((Summary!$G$3:$G$1000="")/0.1%+ROW($3:$1000),ROW()-2)-2)&amp;"",""),"")</f>
        <v/>
      </c>
      <c r="I50" s="22" t="str">
        <f t="shared" si="2"/>
        <v/>
      </c>
      <c r="J50" s="22" t="str">
        <f t="shared" si="3"/>
        <v/>
      </c>
    </row>
    <row r="51" spans="1:10">
      <c r="A51" s="56" t="str">
        <f>IF(AMS!H71="","",AMS!H71)</f>
        <v/>
      </c>
      <c r="B51" s="22" t="str">
        <f t="shared" si="0"/>
        <v/>
      </c>
      <c r="C51" s="22" t="str">
        <f t="array" ref="C51">IFERROR(INDEX(Summary!$I$3:$I$1000,SMALL((Summary!$I$3:$I$1000="")/0.1%+ROW($3:$1000),ROW()-2)-2)&amp;"","")</f>
        <v/>
      </c>
      <c r="D51" s="22" t="str">
        <v/>
      </c>
      <c r="E51" s="22" t="str">
        <f t="shared" si="1"/>
        <v/>
      </c>
      <c r="F51" s="56" t="str">
        <f>IF(AMS!I71="","",AMS!I71)</f>
        <v/>
      </c>
      <c r="G51" s="56" t="str">
        <f>IF(AMS!J71="","",AMS!J71)</f>
        <v/>
      </c>
      <c r="H51" s="22" t="str">
        <f t="array" ref="H51">IF(A51&lt;&gt;" ",IFERROR(INDEX(Summary!$G$3:$G$1000,SMALL((Summary!$G$3:$G$1000="")/0.1%+ROW($3:$1000),ROW()-2)-2)&amp;"",""),"")</f>
        <v/>
      </c>
      <c r="I51" s="22" t="str">
        <f t="shared" si="2"/>
        <v/>
      </c>
      <c r="J51" s="22" t="str">
        <f t="shared" si="3"/>
        <v/>
      </c>
    </row>
    <row r="52" spans="1:10">
      <c r="A52" s="56" t="str">
        <f>IF(AMS!H72="","",AMS!H72)</f>
        <v/>
      </c>
      <c r="B52" s="22" t="str">
        <f t="shared" si="0"/>
        <v/>
      </c>
      <c r="C52" s="22" t="str">
        <f t="array" ref="C52">IFERROR(INDEX(Summary!$I$3:$I$1000,SMALL((Summary!$I$3:$I$1000="")/0.1%+ROW($3:$1000),ROW()-2)-2)&amp;"","")</f>
        <v/>
      </c>
      <c r="D52" s="22" t="str">
        <v/>
      </c>
      <c r="E52" s="22" t="str">
        <f t="shared" si="1"/>
        <v/>
      </c>
      <c r="F52" s="56" t="str">
        <f>IF(AMS!I72="","",AMS!I72)</f>
        <v/>
      </c>
      <c r="G52" s="56" t="str">
        <f>IF(AMS!J72="","",AMS!J72)</f>
        <v/>
      </c>
      <c r="H52" s="22" t="str">
        <f t="array" ref="H52">IF(A52&lt;&gt;" ",IFERROR(INDEX(Summary!$G$3:$G$1000,SMALL((Summary!$G$3:$G$1000="")/0.1%+ROW($3:$1000),ROW()-2)-2)&amp;"",""),"")</f>
        <v/>
      </c>
      <c r="I52" s="22" t="str">
        <f t="shared" si="2"/>
        <v/>
      </c>
      <c r="J52" s="22" t="str">
        <f t="shared" si="3"/>
        <v/>
      </c>
    </row>
    <row r="53" spans="1:10">
      <c r="A53" s="56" t="str">
        <f>IF(AMS!H73="","",AMS!H73)</f>
        <v/>
      </c>
      <c r="B53" s="22" t="str">
        <f t="shared" si="0"/>
        <v/>
      </c>
      <c r="C53" s="22" t="str">
        <f t="array" ref="C53">IFERROR(INDEX(Summary!$I$3:$I$1000,SMALL((Summary!$I$3:$I$1000="")/0.1%+ROW($3:$1000),ROW()-2)-2)&amp;"","")</f>
        <v/>
      </c>
      <c r="D53" s="22" t="str">
        <v/>
      </c>
      <c r="E53" s="22" t="str">
        <f t="shared" si="1"/>
        <v/>
      </c>
      <c r="F53" s="56" t="str">
        <f>IF(AMS!I73="","",AMS!I73)</f>
        <v/>
      </c>
      <c r="G53" s="56" t="str">
        <f>IF(AMS!J73="","",AMS!J73)</f>
        <v/>
      </c>
      <c r="H53" s="22" t="str">
        <f t="array" ref="H53">IF(A53&lt;&gt;" ",IFERROR(INDEX(Summary!$G$3:$G$1000,SMALL((Summary!$G$3:$G$1000="")/0.1%+ROW($3:$1000),ROW()-2)-2)&amp;"",""),"")</f>
        <v/>
      </c>
      <c r="I53" s="22" t="str">
        <f t="shared" si="2"/>
        <v/>
      </c>
      <c r="J53" s="22" t="str">
        <f t="shared" si="3"/>
        <v/>
      </c>
    </row>
    <row r="54" spans="1:10">
      <c r="A54" s="56" t="str">
        <f>IF(AMS!H74="","",AMS!H74)</f>
        <v/>
      </c>
      <c r="B54" s="22" t="str">
        <f t="shared" si="0"/>
        <v/>
      </c>
      <c r="C54" s="22" t="str">
        <f t="array" ref="C54">IFERROR(INDEX(Summary!$I$3:$I$1000,SMALL((Summary!$I$3:$I$1000="")/0.1%+ROW($3:$1000),ROW()-2)-2)&amp;"","")</f>
        <v/>
      </c>
      <c r="D54" s="22" t="str">
        <v/>
      </c>
      <c r="E54" s="22" t="str">
        <f t="shared" si="1"/>
        <v/>
      </c>
      <c r="F54" s="56" t="str">
        <f>IF(AMS!I74="","",AMS!I74)</f>
        <v/>
      </c>
      <c r="G54" s="56" t="str">
        <f>IF(AMS!J74="","",AMS!J74)</f>
        <v/>
      </c>
      <c r="H54" s="22" t="str">
        <f t="array" ref="H54">IF(A54&lt;&gt;" ",IFERROR(INDEX(Summary!$G$3:$G$1000,SMALL((Summary!$G$3:$G$1000="")/0.1%+ROW($3:$1000),ROW()-2)-2)&amp;"",""),"")</f>
        <v/>
      </c>
      <c r="I54" s="22" t="str">
        <f t="shared" si="2"/>
        <v/>
      </c>
      <c r="J54" s="22" t="str">
        <f t="shared" si="3"/>
        <v/>
      </c>
    </row>
    <row r="55" spans="1:10">
      <c r="A55" s="56" t="str">
        <f>IF(AMS!H75="","",AMS!H75)</f>
        <v/>
      </c>
      <c r="B55" s="22" t="str">
        <f t="shared" si="0"/>
        <v/>
      </c>
      <c r="C55" s="22" t="str">
        <f t="array" ref="C55">IFERROR(INDEX(Summary!$I$3:$I$1000,SMALL((Summary!$I$3:$I$1000="")/0.1%+ROW($3:$1000),ROW()-2)-2)&amp;"","")</f>
        <v/>
      </c>
      <c r="D55" s="22" t="str">
        <v/>
      </c>
      <c r="E55" s="22" t="str">
        <f t="shared" si="1"/>
        <v/>
      </c>
      <c r="F55" s="56" t="str">
        <f>IF(AMS!I75="","",AMS!I75)</f>
        <v/>
      </c>
      <c r="G55" s="56" t="str">
        <f>IF(AMS!J75="","",AMS!J75)</f>
        <v/>
      </c>
      <c r="H55" s="22" t="str">
        <f t="array" ref="H55">IF(A55&lt;&gt;" ",IFERROR(INDEX(Summary!$G$3:$G$1000,SMALL((Summary!$G$3:$G$1000="")/0.1%+ROW($3:$1000),ROW()-2)-2)&amp;"",""),"")</f>
        <v/>
      </c>
      <c r="I55" s="22" t="str">
        <f t="shared" si="2"/>
        <v/>
      </c>
      <c r="J55" s="22" t="str">
        <f t="shared" si="3"/>
        <v/>
      </c>
    </row>
    <row r="56" spans="1:10">
      <c r="A56" s="56" t="str">
        <f>IF(AMS!H76="","",AMS!H76)</f>
        <v/>
      </c>
      <c r="B56" s="22" t="str">
        <f t="shared" si="0"/>
        <v/>
      </c>
      <c r="C56" s="22" t="str">
        <f t="array" ref="C56">IFERROR(INDEX(Summary!$I$3:$I$1000,SMALL((Summary!$I$3:$I$1000="")/0.1%+ROW($3:$1000),ROW()-2)-2)&amp;"","")</f>
        <v/>
      </c>
      <c r="D56" s="22" t="str">
        <v/>
      </c>
      <c r="E56" s="22" t="str">
        <f t="shared" si="1"/>
        <v/>
      </c>
      <c r="F56" s="56" t="str">
        <f>IF(AMS!I76="","",AMS!I76)</f>
        <v/>
      </c>
      <c r="G56" s="56" t="str">
        <f>IF(AMS!J76="","",AMS!J76)</f>
        <v/>
      </c>
      <c r="H56" s="22" t="str">
        <f t="array" ref="H56">IF(A56&lt;&gt;" ",IFERROR(INDEX(Summary!$G$3:$G$1000,SMALL((Summary!$G$3:$G$1000="")/0.1%+ROW($3:$1000),ROW()-2)-2)&amp;"",""),"")</f>
        <v/>
      </c>
      <c r="I56" s="22" t="str">
        <f t="shared" si="2"/>
        <v/>
      </c>
      <c r="J56" s="22" t="str">
        <f t="shared" si="3"/>
        <v/>
      </c>
    </row>
    <row r="57" spans="1:10">
      <c r="A57" s="56" t="str">
        <f>IF(AMS!H77="","",AMS!H77)</f>
        <v/>
      </c>
      <c r="B57" s="22" t="str">
        <f t="shared" si="0"/>
        <v/>
      </c>
      <c r="C57" s="22" t="str">
        <f t="array" ref="C57">IFERROR(INDEX(Summary!$I$3:$I$1000,SMALL((Summary!$I$3:$I$1000="")/0.1%+ROW($3:$1000),ROW()-2)-2)&amp;"","")</f>
        <v/>
      </c>
      <c r="D57" s="22" t="str">
        <v/>
      </c>
      <c r="E57" s="22" t="str">
        <f t="shared" si="1"/>
        <v/>
      </c>
      <c r="F57" s="56" t="str">
        <f>IF(AMS!I77="","",AMS!I77)</f>
        <v/>
      </c>
      <c r="G57" s="56" t="str">
        <f>IF(AMS!J77="","",AMS!J77)</f>
        <v/>
      </c>
      <c r="H57" s="22" t="str">
        <f t="array" ref="H57">IF(A57&lt;&gt;" ",IFERROR(INDEX(Summary!$G$3:$G$1000,SMALL((Summary!$G$3:$G$1000="")/0.1%+ROW($3:$1000),ROW()-2)-2)&amp;"",""),"")</f>
        <v/>
      </c>
      <c r="I57" s="22" t="str">
        <f t="shared" si="2"/>
        <v/>
      </c>
      <c r="J57" s="22" t="str">
        <f t="shared" si="3"/>
        <v/>
      </c>
    </row>
    <row r="58" spans="1:10">
      <c r="A58" s="56" t="str">
        <f>IF(AMS!H78="","",AMS!H78)</f>
        <v/>
      </c>
      <c r="B58" s="22" t="str">
        <f t="shared" si="0"/>
        <v/>
      </c>
      <c r="C58" s="22" t="str">
        <f t="array" ref="C58">IFERROR(INDEX(Summary!$I$3:$I$1000,SMALL((Summary!$I$3:$I$1000="")/0.1%+ROW($3:$1000),ROW()-2)-2)&amp;"","")</f>
        <v/>
      </c>
      <c r="D58" s="22" t="str">
        <v/>
      </c>
      <c r="E58" s="22" t="str">
        <f t="shared" si="1"/>
        <v/>
      </c>
      <c r="F58" s="56" t="str">
        <f>IF(AMS!I78="","",AMS!I78)</f>
        <v/>
      </c>
      <c r="G58" s="56" t="str">
        <f>IF(AMS!J78="","",AMS!J78)</f>
        <v/>
      </c>
      <c r="H58" s="22" t="str">
        <f t="array" ref="H58">IF(A58&lt;&gt;" ",IFERROR(INDEX(Summary!$G$3:$G$1000,SMALL((Summary!$G$3:$G$1000="")/0.1%+ROW($3:$1000),ROW()-2)-2)&amp;"",""),"")</f>
        <v/>
      </c>
      <c r="I58" s="22" t="str">
        <f t="shared" si="2"/>
        <v/>
      </c>
      <c r="J58" s="22" t="str">
        <f t="shared" si="3"/>
        <v/>
      </c>
    </row>
    <row r="59" spans="1:10">
      <c r="A59" s="56" t="str">
        <f>IF(AMS!H79="","",AMS!H79)</f>
        <v/>
      </c>
      <c r="B59" s="22" t="str">
        <f t="shared" si="0"/>
        <v/>
      </c>
      <c r="C59" s="22" t="str">
        <f t="array" ref="C59">IFERROR(INDEX(Summary!$I$3:$I$1000,SMALL((Summary!$I$3:$I$1000="")/0.1%+ROW($3:$1000),ROW()-2)-2)&amp;"","")</f>
        <v/>
      </c>
      <c r="D59" s="22" t="str">
        <v/>
      </c>
      <c r="E59" s="22" t="str">
        <f t="shared" si="1"/>
        <v/>
      </c>
      <c r="F59" s="56" t="str">
        <f>IF(AMS!I79="","",AMS!I79)</f>
        <v/>
      </c>
      <c r="G59" s="56" t="str">
        <f>IF(AMS!J79="","",AMS!J79)</f>
        <v/>
      </c>
      <c r="H59" s="22" t="str">
        <f t="array" ref="H59">IF(A59&lt;&gt;" ",IFERROR(INDEX(Summary!$G$3:$G$1000,SMALL((Summary!$G$3:$G$1000="")/0.1%+ROW($3:$1000),ROW()-2)-2)&amp;"",""),"")</f>
        <v/>
      </c>
      <c r="I59" s="22" t="str">
        <f t="shared" si="2"/>
        <v/>
      </c>
      <c r="J59" s="22" t="str">
        <f t="shared" si="3"/>
        <v/>
      </c>
    </row>
    <row r="60" spans="1:10">
      <c r="A60" s="56" t="str">
        <f>IF(AMS!H80="","",AMS!H80)</f>
        <v/>
      </c>
      <c r="B60" s="22" t="str">
        <f t="shared" si="0"/>
        <v/>
      </c>
      <c r="C60" s="22" t="str">
        <f t="array" ref="C60">IFERROR(INDEX(Summary!$I$3:$I$1000,SMALL((Summary!$I$3:$I$1000="")/0.1%+ROW($3:$1000),ROW()-2)-2)&amp;"","")</f>
        <v/>
      </c>
      <c r="D60" s="22" t="str">
        <v/>
      </c>
      <c r="E60" s="22" t="str">
        <f t="shared" si="1"/>
        <v/>
      </c>
      <c r="F60" s="56" t="str">
        <f>IF(AMS!I80="","",AMS!I80)</f>
        <v/>
      </c>
      <c r="G60" s="56" t="str">
        <f>IF(AMS!J80="","",AMS!J80)</f>
        <v/>
      </c>
      <c r="H60" s="22" t="str">
        <f t="array" ref="H60">IF(A60&lt;&gt;" ",IFERROR(INDEX(Summary!$G$3:$G$1000,SMALL((Summary!$G$3:$G$1000="")/0.1%+ROW($3:$1000),ROW()-2)-2)&amp;"",""),"")</f>
        <v/>
      </c>
      <c r="I60" s="22" t="str">
        <f t="shared" si="2"/>
        <v/>
      </c>
      <c r="J60" s="22" t="str">
        <f t="shared" si="3"/>
        <v/>
      </c>
    </row>
    <row r="61" spans="1:10">
      <c r="A61" s="56" t="str">
        <f>IF(AMS!H81="","",AMS!H81)</f>
        <v/>
      </c>
      <c r="B61" s="22" t="str">
        <f t="shared" si="0"/>
        <v/>
      </c>
      <c r="C61" s="22" t="str">
        <f t="array" ref="C61">IFERROR(INDEX(Summary!$I$3:$I$1000,SMALL((Summary!$I$3:$I$1000="")/0.1%+ROW($3:$1000),ROW()-2)-2)&amp;"","")</f>
        <v/>
      </c>
      <c r="D61" s="22" t="str">
        <v/>
      </c>
      <c r="E61" s="22" t="str">
        <f t="shared" si="1"/>
        <v/>
      </c>
      <c r="F61" s="56" t="str">
        <f>IF(AMS!I81="","",AMS!I81)</f>
        <v/>
      </c>
      <c r="G61" s="56" t="str">
        <f>IF(AMS!J81="","",AMS!J81)</f>
        <v/>
      </c>
      <c r="H61" s="22" t="str">
        <f t="array" ref="H61">IF(A61&lt;&gt;" ",IFERROR(INDEX(Summary!$G$3:$G$1000,SMALL((Summary!$G$3:$G$1000="")/0.1%+ROW($3:$1000),ROW()-2)-2)&amp;"",""),"")</f>
        <v/>
      </c>
      <c r="I61" s="22" t="str">
        <f t="shared" si="2"/>
        <v/>
      </c>
      <c r="J61" s="22" t="str">
        <f t="shared" si="3"/>
        <v/>
      </c>
    </row>
    <row r="62" spans="1:10">
      <c r="A62" s="56" t="str">
        <f>IF(AMS!H82="","",AMS!H82)</f>
        <v/>
      </c>
      <c r="B62" s="22" t="str">
        <f t="shared" si="0"/>
        <v/>
      </c>
      <c r="C62" s="22" t="str">
        <f t="array" ref="C62">IFERROR(INDEX(Summary!$I$3:$I$1000,SMALL((Summary!$I$3:$I$1000="")/0.1%+ROW($3:$1000),ROW()-2)-2)&amp;"","")</f>
        <v/>
      </c>
      <c r="D62" s="22" t="str">
        <v/>
      </c>
      <c r="E62" s="22" t="str">
        <f t="shared" si="1"/>
        <v/>
      </c>
      <c r="F62" s="56" t="str">
        <f>IF(AMS!I82="","",AMS!I82)</f>
        <v/>
      </c>
      <c r="G62" s="56" t="str">
        <f>IF(AMS!J82="","",AMS!J82)</f>
        <v/>
      </c>
      <c r="H62" s="22" t="str">
        <f t="array" ref="H62">IF(A62&lt;&gt;" ",IFERROR(INDEX(Summary!$G$3:$G$1000,SMALL((Summary!$G$3:$G$1000="")/0.1%+ROW($3:$1000),ROW()-2)-2)&amp;"",""),"")</f>
        <v/>
      </c>
      <c r="I62" s="22" t="str">
        <f t="shared" si="2"/>
        <v/>
      </c>
      <c r="J62" s="22" t="str">
        <f t="shared" si="3"/>
        <v/>
      </c>
    </row>
    <row r="63" spans="1:10">
      <c r="A63" s="56" t="str">
        <f>IF(AMS!H83="","",AMS!H83)</f>
        <v/>
      </c>
      <c r="B63" s="22" t="str">
        <f t="shared" si="0"/>
        <v/>
      </c>
      <c r="C63" s="22" t="str">
        <f t="array" ref="C63">IFERROR(INDEX(Summary!$I$3:$I$1000,SMALL((Summary!$I$3:$I$1000="")/0.1%+ROW($3:$1000),ROW()-2)-2)&amp;"","")</f>
        <v/>
      </c>
      <c r="D63" s="22" t="str">
        <v/>
      </c>
      <c r="E63" s="22" t="str">
        <f t="shared" si="1"/>
        <v/>
      </c>
      <c r="F63" s="56" t="str">
        <f>IF(AMS!I83="","",AMS!I83)</f>
        <v/>
      </c>
      <c r="G63" s="56" t="str">
        <f>IF(AMS!J83="","",AMS!J83)</f>
        <v/>
      </c>
      <c r="H63" s="22" t="str">
        <f t="array" ref="H63">IF(A63&lt;&gt;" ",IFERROR(INDEX(Summary!$G$3:$G$1000,SMALL((Summary!$G$3:$G$1000="")/0.1%+ROW($3:$1000),ROW()-2)-2)&amp;"",""),"")</f>
        <v/>
      </c>
      <c r="I63" s="22" t="str">
        <f t="shared" si="2"/>
        <v/>
      </c>
      <c r="J63" s="22" t="str">
        <f t="shared" si="3"/>
        <v/>
      </c>
    </row>
    <row r="64" spans="1:10">
      <c r="A64" s="56" t="str">
        <f>IF(AMS!H84="","",AMS!H84)</f>
        <v/>
      </c>
      <c r="B64" s="22" t="str">
        <f t="shared" si="0"/>
        <v/>
      </c>
      <c r="C64" s="22" t="str">
        <f t="array" ref="C64">IFERROR(INDEX(Summary!$I$3:$I$1000,SMALL((Summary!$I$3:$I$1000="")/0.1%+ROW($3:$1000),ROW()-2)-2)&amp;"","")</f>
        <v/>
      </c>
      <c r="D64" s="22" t="str">
        <v/>
      </c>
      <c r="E64" s="22" t="str">
        <f t="shared" si="1"/>
        <v/>
      </c>
      <c r="F64" s="56" t="str">
        <f>IF(AMS!I84="","",AMS!I84)</f>
        <v/>
      </c>
      <c r="G64" s="56" t="str">
        <f>IF(AMS!J84="","",AMS!J84)</f>
        <v/>
      </c>
      <c r="H64" s="22" t="str">
        <f t="array" ref="H64">IF(A64&lt;&gt;" ",IFERROR(INDEX(Summary!$G$3:$G$1000,SMALL((Summary!$G$3:$G$1000="")/0.1%+ROW($3:$1000),ROW()-2)-2)&amp;"",""),"")</f>
        <v/>
      </c>
      <c r="I64" s="22" t="str">
        <f t="shared" si="2"/>
        <v/>
      </c>
      <c r="J64" s="22" t="str">
        <f t="shared" si="3"/>
        <v/>
      </c>
    </row>
    <row r="65" spans="1:10">
      <c r="A65" s="56" t="str">
        <f>IF(AMS!H85="","",AMS!H85)</f>
        <v/>
      </c>
      <c r="B65" s="22" t="str">
        <f t="shared" si="0"/>
        <v/>
      </c>
      <c r="C65" s="22" t="str">
        <f t="array" ref="C65">IFERROR(INDEX(Summary!$I$3:$I$1000,SMALL((Summary!$I$3:$I$1000="")/0.1%+ROW($3:$1000),ROW()-2)-2)&amp;"","")</f>
        <v/>
      </c>
      <c r="D65" s="22" t="str">
        <v/>
      </c>
      <c r="E65" s="22" t="str">
        <f t="shared" si="1"/>
        <v/>
      </c>
      <c r="F65" s="56" t="str">
        <f>IF(AMS!I85="","",AMS!I85)</f>
        <v/>
      </c>
      <c r="G65" s="56" t="str">
        <f>IF(AMS!J85="","",AMS!J85)</f>
        <v/>
      </c>
      <c r="H65" s="22" t="str">
        <f t="array" ref="H65">IF(A65&lt;&gt;" ",IFERROR(INDEX(Summary!$G$3:$G$1000,SMALL((Summary!$G$3:$G$1000="")/0.1%+ROW($3:$1000),ROW()-2)-2)&amp;"",""),"")</f>
        <v/>
      </c>
      <c r="I65" s="22" t="str">
        <f t="shared" si="2"/>
        <v/>
      </c>
      <c r="J65" s="22" t="str">
        <f t="shared" si="3"/>
        <v/>
      </c>
    </row>
    <row r="66" spans="1:10">
      <c r="A66" s="56" t="str">
        <f>IF(AMS!H86="","",AMS!H86)</f>
        <v/>
      </c>
      <c r="B66" s="22" t="str">
        <f t="shared" si="0"/>
        <v/>
      </c>
      <c r="C66" s="22" t="str">
        <f t="array" ref="C66">IFERROR(INDEX(Summary!$I$3:$I$1000,SMALL((Summary!$I$3:$I$1000="")/0.1%+ROW($3:$1000),ROW()-2)-2)&amp;"","")</f>
        <v/>
      </c>
      <c r="D66" s="22" t="str">
        <v/>
      </c>
      <c r="E66" s="22" t="str">
        <f t="shared" si="1"/>
        <v/>
      </c>
      <c r="F66" s="56" t="str">
        <f>IF(AMS!I86="","",AMS!I86)</f>
        <v/>
      </c>
      <c r="G66" s="56" t="str">
        <f>IF(AMS!J86="","",AMS!J86)</f>
        <v/>
      </c>
      <c r="H66" s="22" t="str">
        <f t="array" ref="H66">IF(A66&lt;&gt;" ",IFERROR(INDEX(Summary!$G$3:$G$1000,SMALL((Summary!$G$3:$G$1000="")/0.1%+ROW($3:$1000),ROW()-2)-2)&amp;"",""),"")</f>
        <v/>
      </c>
      <c r="I66" s="22" t="str">
        <f t="shared" si="2"/>
        <v/>
      </c>
      <c r="J66" s="22" t="str">
        <f t="shared" si="3"/>
        <v/>
      </c>
    </row>
    <row r="67" spans="1:10">
      <c r="A67" s="56" t="str">
        <f>IF(AMS!H87="","",AMS!H87)</f>
        <v/>
      </c>
      <c r="B67" s="22" t="str">
        <f t="shared" ref="B67:B130" si="4">IF(A67&lt;&gt;"",IFERROR(IF(SEARCH(".",A67),LEFT(SUBSTITUTE(A67,".",""),6)),LEFT(SUBSTITUTE(SUBSTITUTE(TRIM(A67)," ","")," ",""),6)),"")</f>
        <v/>
      </c>
      <c r="C67" s="22" t="str">
        <f t="array" ref="C67">IFERROR(INDEX(Summary!$I$3:$I$1000,SMALL((Summary!$I$3:$I$1000="")/0.1%+ROW($3:$1000),ROW()-2)-2)&amp;"","")</f>
        <v/>
      </c>
      <c r="D67" s="22" t="str">
        <v/>
      </c>
      <c r="E67" s="22" t="str">
        <f t="shared" ref="E67:E130" si="5">LEFT(D67,6)</f>
        <v/>
      </c>
      <c r="F67" s="56" t="str">
        <f>IF(AMS!I87="","",AMS!I87)</f>
        <v/>
      </c>
      <c r="G67" s="56" t="str">
        <f>IF(AMS!J87="","",AMS!J87)</f>
        <v/>
      </c>
      <c r="H67" s="22" t="str">
        <f t="array" ref="H67">IF(A67&lt;&gt;" ",IFERROR(INDEX(Summary!$G$3:$G$1000,SMALL((Summary!$G$3:$G$1000="")/0.1%+ROW($3:$1000),ROW()-2)-2)&amp;"",""),"")</f>
        <v/>
      </c>
      <c r="I67" s="22" t="str">
        <f t="shared" ref="I67:I130" si="6">B67&amp;F67</f>
        <v/>
      </c>
      <c r="J67" s="22" t="str">
        <f t="shared" ref="J67:J130" si="7">IF(D67="","",RIGHT(D67,LEN(D67)-6))</f>
        <v/>
      </c>
    </row>
    <row r="68" spans="1:10">
      <c r="A68" s="56" t="str">
        <f>IF(AMS!H88="","",AMS!H88)</f>
        <v/>
      </c>
      <c r="B68" s="22" t="str">
        <f t="shared" si="4"/>
        <v/>
      </c>
      <c r="C68" s="22" t="str">
        <f t="array" ref="C68">IFERROR(INDEX(Summary!$I$3:$I$1000,SMALL((Summary!$I$3:$I$1000="")/0.1%+ROW($3:$1000),ROW()-2)-2)&amp;"","")</f>
        <v/>
      </c>
      <c r="D68" s="22" t="str">
        <v/>
      </c>
      <c r="E68" s="22" t="str">
        <f t="shared" si="5"/>
        <v/>
      </c>
      <c r="F68" s="56" t="str">
        <f>IF(AMS!I88="","",AMS!I88)</f>
        <v/>
      </c>
      <c r="G68" s="56" t="str">
        <f>IF(AMS!J88="","",AMS!J88)</f>
        <v/>
      </c>
      <c r="H68" s="22" t="str">
        <f t="array" ref="H68">IF(A68&lt;&gt;" ",IFERROR(INDEX(Summary!$G$3:$G$1000,SMALL((Summary!$G$3:$G$1000="")/0.1%+ROW($3:$1000),ROW()-2)-2)&amp;"",""),"")</f>
        <v/>
      </c>
      <c r="I68" s="22" t="str">
        <f t="shared" si="6"/>
        <v/>
      </c>
      <c r="J68" s="22" t="str">
        <f t="shared" si="7"/>
        <v/>
      </c>
    </row>
    <row r="69" spans="1:10">
      <c r="A69" s="56" t="str">
        <f>IF(AMS!H89="","",AMS!H89)</f>
        <v/>
      </c>
      <c r="B69" s="22" t="str">
        <f t="shared" si="4"/>
        <v/>
      </c>
      <c r="C69" s="22" t="str">
        <f t="array" ref="C69">IFERROR(INDEX(Summary!$I$3:$I$1000,SMALL((Summary!$I$3:$I$1000="")/0.1%+ROW($3:$1000),ROW()-2)-2)&amp;"","")</f>
        <v/>
      </c>
      <c r="D69" s="22" t="str">
        <v/>
      </c>
      <c r="E69" s="22" t="str">
        <f t="shared" si="5"/>
        <v/>
      </c>
      <c r="F69" s="56" t="str">
        <f>IF(AMS!I89="","",AMS!I89)</f>
        <v/>
      </c>
      <c r="G69" s="56" t="str">
        <f>IF(AMS!J89="","",AMS!J89)</f>
        <v/>
      </c>
      <c r="H69" s="22" t="str">
        <f t="array" ref="H69">IF(A69&lt;&gt;" ",IFERROR(INDEX(Summary!$G$3:$G$1000,SMALL((Summary!$G$3:$G$1000="")/0.1%+ROW($3:$1000),ROW()-2)-2)&amp;"",""),"")</f>
        <v/>
      </c>
      <c r="I69" s="22" t="str">
        <f t="shared" si="6"/>
        <v/>
      </c>
      <c r="J69" s="22" t="str">
        <f t="shared" si="7"/>
        <v/>
      </c>
    </row>
    <row r="70" spans="1:10">
      <c r="A70" s="56" t="str">
        <f>IF(AMS!H90="","",AMS!H90)</f>
        <v/>
      </c>
      <c r="B70" s="22" t="str">
        <f t="shared" si="4"/>
        <v/>
      </c>
      <c r="C70" s="22" t="str">
        <f t="array" ref="C70">IFERROR(INDEX(Summary!$I$3:$I$1000,SMALL((Summary!$I$3:$I$1000="")/0.1%+ROW($3:$1000),ROW()-2)-2)&amp;"","")</f>
        <v/>
      </c>
      <c r="D70" s="22" t="str">
        <v/>
      </c>
      <c r="E70" s="22" t="str">
        <f t="shared" si="5"/>
        <v/>
      </c>
      <c r="F70" s="56" t="str">
        <f>IF(AMS!I90="","",AMS!I90)</f>
        <v/>
      </c>
      <c r="G70" s="56" t="str">
        <f>IF(AMS!J90="","",AMS!J90)</f>
        <v/>
      </c>
      <c r="H70" s="22" t="str">
        <f t="array" ref="H70">IF(A70&lt;&gt;" ",IFERROR(INDEX(Summary!$G$3:$G$1000,SMALL((Summary!$G$3:$G$1000="")/0.1%+ROW($3:$1000),ROW()-2)-2)&amp;"",""),"")</f>
        <v/>
      </c>
      <c r="I70" s="22" t="str">
        <f t="shared" si="6"/>
        <v/>
      </c>
      <c r="J70" s="22" t="str">
        <f t="shared" si="7"/>
        <v/>
      </c>
    </row>
    <row r="71" spans="1:10">
      <c r="A71" s="56" t="str">
        <f>IF(AMS!H91="","",AMS!H91)</f>
        <v/>
      </c>
      <c r="B71" s="22" t="str">
        <f t="shared" si="4"/>
        <v/>
      </c>
      <c r="C71" s="22" t="str">
        <f t="array" ref="C71">IFERROR(INDEX(Summary!$I$3:$I$1000,SMALL((Summary!$I$3:$I$1000="")/0.1%+ROW($3:$1000),ROW()-2)-2)&amp;"","")</f>
        <v/>
      </c>
      <c r="D71" s="22" t="str">
        <v/>
      </c>
      <c r="E71" s="22" t="str">
        <f t="shared" si="5"/>
        <v/>
      </c>
      <c r="F71" s="56" t="str">
        <f>IF(AMS!I91="","",AMS!I91)</f>
        <v/>
      </c>
      <c r="G71" s="56" t="str">
        <f>IF(AMS!J91="","",AMS!J91)</f>
        <v/>
      </c>
      <c r="H71" s="22" t="str">
        <f t="array" ref="H71">IF(A71&lt;&gt;" ",IFERROR(INDEX(Summary!$G$3:$G$1000,SMALL((Summary!$G$3:$G$1000="")/0.1%+ROW($3:$1000),ROW()-2)-2)&amp;"",""),"")</f>
        <v/>
      </c>
      <c r="I71" s="22" t="str">
        <f t="shared" si="6"/>
        <v/>
      </c>
      <c r="J71" s="22" t="str">
        <f t="shared" si="7"/>
        <v/>
      </c>
    </row>
    <row r="72" spans="1:10">
      <c r="A72" s="56" t="str">
        <f>IF(AMS!H92="","",AMS!H92)</f>
        <v/>
      </c>
      <c r="B72" s="22" t="str">
        <f t="shared" si="4"/>
        <v/>
      </c>
      <c r="C72" s="22" t="str">
        <f t="array" ref="C72">IFERROR(INDEX(Summary!$I$3:$I$1000,SMALL((Summary!$I$3:$I$1000="")/0.1%+ROW($3:$1000),ROW()-2)-2)&amp;"","")</f>
        <v/>
      </c>
      <c r="D72" s="22" t="str">
        <v/>
      </c>
      <c r="E72" s="22" t="str">
        <f t="shared" si="5"/>
        <v/>
      </c>
      <c r="F72" s="56" t="str">
        <f>IF(AMS!I92="","",AMS!I92)</f>
        <v/>
      </c>
      <c r="G72" s="56" t="str">
        <f>IF(AMS!J92="","",AMS!J92)</f>
        <v/>
      </c>
      <c r="H72" s="22" t="str">
        <f t="array" ref="H72">IF(A72&lt;&gt;" ",IFERROR(INDEX(Summary!$G$3:$G$1000,SMALL((Summary!$G$3:$G$1000="")/0.1%+ROW($3:$1000),ROW()-2)-2)&amp;"",""),"")</f>
        <v/>
      </c>
      <c r="I72" s="22" t="str">
        <f t="shared" si="6"/>
        <v/>
      </c>
      <c r="J72" s="22" t="str">
        <f t="shared" si="7"/>
        <v/>
      </c>
    </row>
    <row r="73" spans="1:10">
      <c r="A73" s="56" t="str">
        <f>IF(AMS!H93="","",AMS!H93)</f>
        <v/>
      </c>
      <c r="B73" s="22" t="str">
        <f t="shared" si="4"/>
        <v/>
      </c>
      <c r="C73" s="22" t="str">
        <f t="array" ref="C73">IFERROR(INDEX(Summary!$I$3:$I$1000,SMALL((Summary!$I$3:$I$1000="")/0.1%+ROW($3:$1000),ROW()-2)-2)&amp;"","")</f>
        <v/>
      </c>
      <c r="D73" s="22" t="str">
        <v/>
      </c>
      <c r="E73" s="22" t="str">
        <f t="shared" si="5"/>
        <v/>
      </c>
      <c r="F73" s="56" t="str">
        <f>IF(AMS!I93="","",AMS!I93)</f>
        <v/>
      </c>
      <c r="G73" s="56" t="str">
        <f>IF(AMS!J93="","",AMS!J93)</f>
        <v/>
      </c>
      <c r="H73" s="22" t="str">
        <f t="array" ref="H73">IF(A73&lt;&gt;" ",IFERROR(INDEX(Summary!$G$3:$G$1000,SMALL((Summary!$G$3:$G$1000="")/0.1%+ROW($3:$1000),ROW()-2)-2)&amp;"",""),"")</f>
        <v/>
      </c>
      <c r="I73" s="22" t="str">
        <f t="shared" si="6"/>
        <v/>
      </c>
      <c r="J73" s="22" t="str">
        <f t="shared" si="7"/>
        <v/>
      </c>
    </row>
    <row r="74" spans="1:10">
      <c r="A74" s="56" t="str">
        <f>IF(AMS!H94="","",AMS!H94)</f>
        <v/>
      </c>
      <c r="B74" s="22" t="str">
        <f t="shared" si="4"/>
        <v/>
      </c>
      <c r="C74" s="22" t="str">
        <f t="array" ref="C74">IFERROR(INDEX(Summary!$I$3:$I$1000,SMALL((Summary!$I$3:$I$1000="")/0.1%+ROW($3:$1000),ROW()-2)-2)&amp;"","")</f>
        <v/>
      </c>
      <c r="D74" s="22" t="str">
        <v/>
      </c>
      <c r="E74" s="22" t="str">
        <f t="shared" si="5"/>
        <v/>
      </c>
      <c r="F74" s="56" t="str">
        <f>IF(AMS!I94="","",AMS!I94)</f>
        <v/>
      </c>
      <c r="G74" s="56" t="str">
        <f>IF(AMS!J94="","",AMS!J94)</f>
        <v/>
      </c>
      <c r="H74" s="22" t="str">
        <f t="array" ref="H74">IF(A74&lt;&gt;" ",IFERROR(INDEX(Summary!$G$3:$G$1000,SMALL((Summary!$G$3:$G$1000="")/0.1%+ROW($3:$1000),ROW()-2)-2)&amp;"",""),"")</f>
        <v/>
      </c>
      <c r="I74" s="22" t="str">
        <f t="shared" si="6"/>
        <v/>
      </c>
      <c r="J74" s="22" t="str">
        <f t="shared" si="7"/>
        <v/>
      </c>
    </row>
    <row r="75" spans="1:10">
      <c r="A75" s="56" t="str">
        <f>IF(AMS!H95="","",AMS!H95)</f>
        <v/>
      </c>
      <c r="B75" s="22" t="str">
        <f t="shared" si="4"/>
        <v/>
      </c>
      <c r="C75" s="22" t="str">
        <f t="array" ref="C75">IFERROR(INDEX(Summary!$I$3:$I$1000,SMALL((Summary!$I$3:$I$1000="")/0.1%+ROW($3:$1000),ROW()-2)-2)&amp;"","")</f>
        <v/>
      </c>
      <c r="D75" s="22" t="str">
        <v/>
      </c>
      <c r="E75" s="22" t="str">
        <f t="shared" si="5"/>
        <v/>
      </c>
      <c r="F75" s="56" t="str">
        <f>IF(AMS!I95="","",AMS!I95)</f>
        <v/>
      </c>
      <c r="G75" s="56" t="str">
        <f>IF(AMS!J95="","",AMS!J95)</f>
        <v/>
      </c>
      <c r="H75" s="22" t="str">
        <f t="array" ref="H75">IF(A75&lt;&gt;" ",IFERROR(INDEX(Summary!$G$3:$G$1000,SMALL((Summary!$G$3:$G$1000="")/0.1%+ROW($3:$1000),ROW()-2)-2)&amp;"",""),"")</f>
        <v/>
      </c>
      <c r="I75" s="22" t="str">
        <f t="shared" si="6"/>
        <v/>
      </c>
      <c r="J75" s="22" t="str">
        <f t="shared" si="7"/>
        <v/>
      </c>
    </row>
    <row r="76" spans="1:10">
      <c r="A76" s="56" t="str">
        <f>IF(AMS!H96="","",AMS!H96)</f>
        <v/>
      </c>
      <c r="B76" s="22" t="str">
        <f t="shared" si="4"/>
        <v/>
      </c>
      <c r="C76" s="22" t="str">
        <f t="array" ref="C76">IFERROR(INDEX(Summary!$I$3:$I$1000,SMALL((Summary!$I$3:$I$1000="")/0.1%+ROW($3:$1000),ROW()-2)-2)&amp;"","")</f>
        <v/>
      </c>
      <c r="D76" s="22" t="str">
        <v/>
      </c>
      <c r="E76" s="22" t="str">
        <f t="shared" si="5"/>
        <v/>
      </c>
      <c r="F76" s="56" t="str">
        <f>IF(AMS!I96="","",AMS!I96)</f>
        <v/>
      </c>
      <c r="G76" s="56" t="str">
        <f>IF(AMS!J96="","",AMS!J96)</f>
        <v/>
      </c>
      <c r="H76" s="22" t="str">
        <f t="array" ref="H76">IF(A76&lt;&gt;" ",IFERROR(INDEX(Summary!$G$3:$G$1000,SMALL((Summary!$G$3:$G$1000="")/0.1%+ROW($3:$1000),ROW()-2)-2)&amp;"",""),"")</f>
        <v/>
      </c>
      <c r="I76" s="22" t="str">
        <f t="shared" si="6"/>
        <v/>
      </c>
      <c r="J76" s="22" t="str">
        <f t="shared" si="7"/>
        <v/>
      </c>
    </row>
    <row r="77" spans="1:10">
      <c r="A77" s="56" t="str">
        <f>IF(AMS!H97="","",AMS!H97)</f>
        <v/>
      </c>
      <c r="B77" s="22" t="str">
        <f t="shared" si="4"/>
        <v/>
      </c>
      <c r="C77" s="22" t="str">
        <f t="array" ref="C77">IFERROR(INDEX(Summary!$I$3:$I$1000,SMALL((Summary!$I$3:$I$1000="")/0.1%+ROW($3:$1000),ROW()-2)-2)&amp;"","")</f>
        <v/>
      </c>
      <c r="D77" s="22" t="str">
        <v/>
      </c>
      <c r="E77" s="22" t="str">
        <f t="shared" si="5"/>
        <v/>
      </c>
      <c r="F77" s="56" t="str">
        <f>IF(AMS!I97="","",AMS!I97)</f>
        <v/>
      </c>
      <c r="G77" s="56" t="str">
        <f>IF(AMS!J97="","",AMS!J97)</f>
        <v/>
      </c>
      <c r="H77" s="22" t="str">
        <f t="array" ref="H77">IF(A77&lt;&gt;" ",IFERROR(INDEX(Summary!$G$3:$G$1000,SMALL((Summary!$G$3:$G$1000="")/0.1%+ROW($3:$1000),ROW()-2)-2)&amp;"",""),"")</f>
        <v/>
      </c>
      <c r="I77" s="22" t="str">
        <f t="shared" si="6"/>
        <v/>
      </c>
      <c r="J77" s="22" t="str">
        <f t="shared" si="7"/>
        <v/>
      </c>
    </row>
    <row r="78" spans="1:10">
      <c r="A78" s="56" t="str">
        <f>IF(AMS!H98="","",AMS!H98)</f>
        <v/>
      </c>
      <c r="B78" s="22" t="str">
        <f t="shared" si="4"/>
        <v/>
      </c>
      <c r="C78" s="22" t="str">
        <f t="array" ref="C78">IFERROR(INDEX(Summary!$I$3:$I$1000,SMALL((Summary!$I$3:$I$1000="")/0.1%+ROW($3:$1000),ROW()-2)-2)&amp;"","")</f>
        <v/>
      </c>
      <c r="D78" s="22" t="str">
        <v/>
      </c>
      <c r="E78" s="22" t="str">
        <f t="shared" si="5"/>
        <v/>
      </c>
      <c r="F78" s="56" t="str">
        <f>IF(AMS!I98="","",AMS!I98)</f>
        <v/>
      </c>
      <c r="G78" s="56" t="str">
        <f>IF(AMS!J98="","",AMS!J98)</f>
        <v/>
      </c>
      <c r="H78" s="22" t="str">
        <f t="array" ref="H78">IF(A78&lt;&gt;" ",IFERROR(INDEX(Summary!$G$3:$G$1000,SMALL((Summary!$G$3:$G$1000="")/0.1%+ROW($3:$1000),ROW()-2)-2)&amp;"",""),"")</f>
        <v/>
      </c>
      <c r="I78" s="22" t="str">
        <f t="shared" si="6"/>
        <v/>
      </c>
      <c r="J78" s="22" t="str">
        <f t="shared" si="7"/>
        <v/>
      </c>
    </row>
    <row r="79" spans="1:10">
      <c r="A79" s="56" t="str">
        <f>IF(AMS!H99="","",AMS!H99)</f>
        <v/>
      </c>
      <c r="B79" s="22" t="str">
        <f t="shared" si="4"/>
        <v/>
      </c>
      <c r="C79" s="22" t="str">
        <f t="array" ref="C79">IFERROR(INDEX(Summary!$I$3:$I$1000,SMALL((Summary!$I$3:$I$1000="")/0.1%+ROW($3:$1000),ROW()-2)-2)&amp;"","")</f>
        <v/>
      </c>
      <c r="D79" s="22" t="str">
        <v/>
      </c>
      <c r="E79" s="22" t="str">
        <f t="shared" si="5"/>
        <v/>
      </c>
      <c r="F79" s="56" t="str">
        <f>IF(AMS!I99="","",AMS!I99)</f>
        <v/>
      </c>
      <c r="G79" s="56" t="str">
        <f>IF(AMS!J99="","",AMS!J99)</f>
        <v/>
      </c>
      <c r="H79" s="22" t="str">
        <f t="array" ref="H79">IF(A79&lt;&gt;" ",IFERROR(INDEX(Summary!$G$3:$G$1000,SMALL((Summary!$G$3:$G$1000="")/0.1%+ROW($3:$1000),ROW()-2)-2)&amp;"",""),"")</f>
        <v/>
      </c>
      <c r="I79" s="22" t="str">
        <f t="shared" si="6"/>
        <v/>
      </c>
      <c r="J79" s="22" t="str">
        <f t="shared" si="7"/>
        <v/>
      </c>
    </row>
    <row r="80" spans="1:10">
      <c r="A80" s="56" t="str">
        <f>IF(AMS!H100="","",AMS!H100)</f>
        <v/>
      </c>
      <c r="B80" s="22" t="str">
        <f t="shared" si="4"/>
        <v/>
      </c>
      <c r="C80" s="22" t="str">
        <f t="array" ref="C80">IFERROR(INDEX(Summary!$I$3:$I$1000,SMALL((Summary!$I$3:$I$1000="")/0.1%+ROW($3:$1000),ROW()-2)-2)&amp;"","")</f>
        <v/>
      </c>
      <c r="D80" s="22" t="str">
        <v/>
      </c>
      <c r="E80" s="22" t="str">
        <f t="shared" si="5"/>
        <v/>
      </c>
      <c r="F80" s="56" t="str">
        <f>IF(AMS!I100="","",AMS!I100)</f>
        <v/>
      </c>
      <c r="G80" s="56" t="str">
        <f>IF(AMS!J100="","",AMS!J100)</f>
        <v/>
      </c>
      <c r="H80" s="22" t="str">
        <f t="array" ref="H80">IF(A80&lt;&gt;" ",IFERROR(INDEX(Summary!$G$3:$G$1000,SMALL((Summary!$G$3:$G$1000="")/0.1%+ROW($3:$1000),ROW()-2)-2)&amp;"",""),"")</f>
        <v/>
      </c>
      <c r="I80" s="22" t="str">
        <f t="shared" si="6"/>
        <v/>
      </c>
      <c r="J80" s="22" t="str">
        <f t="shared" si="7"/>
        <v/>
      </c>
    </row>
    <row r="81" spans="1:10">
      <c r="A81" s="56" t="str">
        <f>IF(AMS!H101="","",AMS!H101)</f>
        <v/>
      </c>
      <c r="B81" s="22" t="str">
        <f t="shared" si="4"/>
        <v/>
      </c>
      <c r="C81" s="22" t="str">
        <f t="array" ref="C81">IFERROR(INDEX(Summary!$I$3:$I$1000,SMALL((Summary!$I$3:$I$1000="")/0.1%+ROW($3:$1000),ROW()-2)-2)&amp;"","")</f>
        <v/>
      </c>
      <c r="D81" s="22" t="str">
        <v/>
      </c>
      <c r="E81" s="22" t="str">
        <f t="shared" si="5"/>
        <v/>
      </c>
      <c r="F81" s="56" t="str">
        <f>IF(AMS!I101="","",AMS!I101)</f>
        <v/>
      </c>
      <c r="G81" s="56" t="str">
        <f>IF(AMS!J101="","",AMS!J101)</f>
        <v/>
      </c>
      <c r="H81" s="22" t="str">
        <f t="array" ref="H81">IF(A81&lt;&gt;" ",IFERROR(INDEX(Summary!$G$3:$G$1000,SMALL((Summary!$G$3:$G$1000="")/0.1%+ROW($3:$1000),ROW()-2)-2)&amp;"",""),"")</f>
        <v/>
      </c>
      <c r="I81" s="22" t="str">
        <f t="shared" si="6"/>
        <v/>
      </c>
      <c r="J81" s="22" t="str">
        <f t="shared" si="7"/>
        <v/>
      </c>
    </row>
    <row r="82" spans="1:10">
      <c r="A82" s="56" t="str">
        <f>IF(AMS!H102="","",AMS!H102)</f>
        <v/>
      </c>
      <c r="B82" s="22" t="str">
        <f t="shared" si="4"/>
        <v/>
      </c>
      <c r="C82" s="22" t="str">
        <f t="array" ref="C82">IFERROR(INDEX(Summary!$I$3:$I$1000,SMALL((Summary!$I$3:$I$1000="")/0.1%+ROW($3:$1000),ROW()-2)-2)&amp;"","")</f>
        <v/>
      </c>
      <c r="D82" s="22" t="str">
        <v/>
      </c>
      <c r="E82" s="22" t="str">
        <f t="shared" si="5"/>
        <v/>
      </c>
      <c r="F82" s="56" t="str">
        <f>IF(AMS!I102="","",AMS!I102)</f>
        <v/>
      </c>
      <c r="G82" s="56" t="str">
        <f>IF(AMS!J102="","",AMS!J102)</f>
        <v/>
      </c>
      <c r="H82" s="22" t="str">
        <f t="array" ref="H82">IF(A82&lt;&gt;" ",IFERROR(INDEX(Summary!$G$3:$G$1000,SMALL((Summary!$G$3:$G$1000="")/0.1%+ROW($3:$1000),ROW()-2)-2)&amp;"",""),"")</f>
        <v/>
      </c>
      <c r="I82" s="22" t="str">
        <f t="shared" si="6"/>
        <v/>
      </c>
      <c r="J82" s="22" t="str">
        <f t="shared" si="7"/>
        <v/>
      </c>
    </row>
    <row r="83" spans="1:10">
      <c r="A83" s="56" t="str">
        <f>IF(AMS!H103="","",AMS!H103)</f>
        <v/>
      </c>
      <c r="B83" s="22" t="str">
        <f t="shared" si="4"/>
        <v/>
      </c>
      <c r="C83" s="22" t="str">
        <f t="array" ref="C83">IFERROR(INDEX(Summary!$I$3:$I$1000,SMALL((Summary!$I$3:$I$1000="")/0.1%+ROW($3:$1000),ROW()-2)-2)&amp;"","")</f>
        <v/>
      </c>
      <c r="D83" s="22" t="str">
        <v/>
      </c>
      <c r="E83" s="22" t="str">
        <f t="shared" si="5"/>
        <v/>
      </c>
      <c r="F83" s="56" t="str">
        <f>IF(AMS!I103="","",AMS!I103)</f>
        <v/>
      </c>
      <c r="G83" s="56" t="str">
        <f>IF(AMS!J103="","",AMS!J103)</f>
        <v/>
      </c>
      <c r="H83" s="22" t="str">
        <f t="array" ref="H83">IF(A83&lt;&gt;" ",IFERROR(INDEX(Summary!$G$3:$G$1000,SMALL((Summary!$G$3:$G$1000="")/0.1%+ROW($3:$1000),ROW()-2)-2)&amp;"",""),"")</f>
        <v/>
      </c>
      <c r="I83" s="22" t="str">
        <f t="shared" si="6"/>
        <v/>
      </c>
      <c r="J83" s="22" t="str">
        <f t="shared" si="7"/>
        <v/>
      </c>
    </row>
    <row r="84" spans="1:10">
      <c r="A84" s="56" t="str">
        <f>IF(AMS!H104="","",AMS!H104)</f>
        <v/>
      </c>
      <c r="B84" s="22" t="str">
        <f t="shared" si="4"/>
        <v/>
      </c>
      <c r="C84" s="22" t="str">
        <f t="array" ref="C84">IFERROR(INDEX(Summary!$I$3:$I$1000,SMALL((Summary!$I$3:$I$1000="")/0.1%+ROW($3:$1000),ROW()-2)-2)&amp;"","")</f>
        <v/>
      </c>
      <c r="D84" s="22" t="str">
        <v/>
      </c>
      <c r="E84" s="22" t="str">
        <f t="shared" si="5"/>
        <v/>
      </c>
      <c r="F84" s="56" t="str">
        <f>IF(AMS!I104="","",AMS!I104)</f>
        <v/>
      </c>
      <c r="G84" s="56" t="str">
        <f>IF(AMS!J104="","",AMS!J104)</f>
        <v/>
      </c>
      <c r="H84" s="22" t="str">
        <f t="array" ref="H84">IF(A84&lt;&gt;" ",IFERROR(INDEX(Summary!$G$3:$G$1000,SMALL((Summary!$G$3:$G$1000="")/0.1%+ROW($3:$1000),ROW()-2)-2)&amp;"",""),"")</f>
        <v/>
      </c>
      <c r="I84" s="22" t="str">
        <f t="shared" si="6"/>
        <v/>
      </c>
      <c r="J84" s="22" t="str">
        <f t="shared" si="7"/>
        <v/>
      </c>
    </row>
    <row r="85" spans="1:10">
      <c r="A85" s="56" t="str">
        <f>IF(AMS!H105="","",AMS!H105)</f>
        <v/>
      </c>
      <c r="B85" s="22" t="str">
        <f t="shared" si="4"/>
        <v/>
      </c>
      <c r="C85" s="22" t="str">
        <f t="array" ref="C85">IFERROR(INDEX(Summary!$I$3:$I$1000,SMALL((Summary!$I$3:$I$1000="")/0.1%+ROW($3:$1000),ROW()-2)-2)&amp;"","")</f>
        <v/>
      </c>
      <c r="D85" s="22" t="str">
        <v/>
      </c>
      <c r="E85" s="22" t="str">
        <f t="shared" si="5"/>
        <v/>
      </c>
      <c r="F85" s="56" t="str">
        <f>IF(AMS!I105="","",AMS!I105)</f>
        <v/>
      </c>
      <c r="G85" s="56" t="str">
        <f>IF(AMS!J105="","",AMS!J105)</f>
        <v/>
      </c>
      <c r="H85" s="22" t="str">
        <f t="array" ref="H85">IF(A85&lt;&gt;" ",IFERROR(INDEX(Summary!$G$3:$G$1000,SMALL((Summary!$G$3:$G$1000="")/0.1%+ROW($3:$1000),ROW()-2)-2)&amp;"",""),"")</f>
        <v/>
      </c>
      <c r="I85" s="22" t="str">
        <f t="shared" si="6"/>
        <v/>
      </c>
      <c r="J85" s="22" t="str">
        <f t="shared" si="7"/>
        <v/>
      </c>
    </row>
    <row r="86" spans="1:10">
      <c r="A86" s="56" t="str">
        <f>IF(AMS!H106="","",AMS!H106)</f>
        <v/>
      </c>
      <c r="B86" s="22" t="str">
        <f t="shared" si="4"/>
        <v/>
      </c>
      <c r="C86" s="22" t="str">
        <f t="array" ref="C86">IFERROR(INDEX(Summary!$I$3:$I$1000,SMALL((Summary!$I$3:$I$1000="")/0.1%+ROW($3:$1000),ROW()-2)-2)&amp;"","")</f>
        <v/>
      </c>
      <c r="D86" s="22" t="str">
        <v/>
      </c>
      <c r="E86" s="22" t="str">
        <f t="shared" si="5"/>
        <v/>
      </c>
      <c r="F86" s="56" t="str">
        <f>IF(AMS!I106="","",AMS!I106)</f>
        <v/>
      </c>
      <c r="G86" s="56" t="str">
        <f>IF(AMS!J106="","",AMS!J106)</f>
        <v/>
      </c>
      <c r="H86" s="22" t="str">
        <f t="array" ref="H86">IF(A86&lt;&gt;" ",IFERROR(INDEX(Summary!$G$3:$G$1000,SMALL((Summary!$G$3:$G$1000="")/0.1%+ROW($3:$1000),ROW()-2)-2)&amp;"",""),"")</f>
        <v/>
      </c>
      <c r="I86" s="22" t="str">
        <f t="shared" si="6"/>
        <v/>
      </c>
      <c r="J86" s="22" t="str">
        <f t="shared" si="7"/>
        <v/>
      </c>
    </row>
    <row r="87" spans="1:10">
      <c r="A87" s="56" t="str">
        <f>IF(AMS!H107="","",AMS!H107)</f>
        <v/>
      </c>
      <c r="B87" s="22" t="str">
        <f t="shared" si="4"/>
        <v/>
      </c>
      <c r="C87" s="22" t="str">
        <f t="array" ref="C87">IFERROR(INDEX(Summary!$I$3:$I$1000,SMALL((Summary!$I$3:$I$1000="")/0.1%+ROW($3:$1000),ROW()-2)-2)&amp;"","")</f>
        <v/>
      </c>
      <c r="D87" s="22" t="str">
        <v/>
      </c>
      <c r="E87" s="22" t="str">
        <f t="shared" si="5"/>
        <v/>
      </c>
      <c r="F87" s="56" t="str">
        <f>IF(AMS!I107="","",AMS!I107)</f>
        <v/>
      </c>
      <c r="G87" s="56" t="str">
        <f>IF(AMS!J107="","",AMS!J107)</f>
        <v/>
      </c>
      <c r="H87" s="22" t="str">
        <f t="array" ref="H87">IF(A87&lt;&gt;" ",IFERROR(INDEX(Summary!$G$3:$G$1000,SMALL((Summary!$G$3:$G$1000="")/0.1%+ROW($3:$1000),ROW()-2)-2)&amp;"",""),"")</f>
        <v/>
      </c>
      <c r="I87" s="22" t="str">
        <f t="shared" si="6"/>
        <v/>
      </c>
      <c r="J87" s="22" t="str">
        <f t="shared" si="7"/>
        <v/>
      </c>
    </row>
    <row r="88" spans="1:10">
      <c r="A88" s="56" t="str">
        <f>IF(AMS!H108="","",AMS!H108)</f>
        <v/>
      </c>
      <c r="B88" s="22" t="str">
        <f t="shared" si="4"/>
        <v/>
      </c>
      <c r="C88" s="22" t="str">
        <f t="array" ref="C88">IFERROR(INDEX(Summary!$I$3:$I$1000,SMALL((Summary!$I$3:$I$1000="")/0.1%+ROW($3:$1000),ROW()-2)-2)&amp;"","")</f>
        <v/>
      </c>
      <c r="D88" s="22" t="str">
        <v/>
      </c>
      <c r="E88" s="22" t="str">
        <f t="shared" si="5"/>
        <v/>
      </c>
      <c r="F88" s="56" t="str">
        <f>IF(AMS!I108="","",AMS!I108)</f>
        <v/>
      </c>
      <c r="G88" s="56" t="str">
        <f>IF(AMS!J108="","",AMS!J108)</f>
        <v/>
      </c>
      <c r="H88" s="22" t="str">
        <f t="array" ref="H88">IF(A88&lt;&gt;" ",IFERROR(INDEX(Summary!$G$3:$G$1000,SMALL((Summary!$G$3:$G$1000="")/0.1%+ROW($3:$1000),ROW()-2)-2)&amp;"",""),"")</f>
        <v/>
      </c>
      <c r="I88" s="22" t="str">
        <f t="shared" si="6"/>
        <v/>
      </c>
      <c r="J88" s="22" t="str">
        <f t="shared" si="7"/>
        <v/>
      </c>
    </row>
    <row r="89" spans="1:10">
      <c r="A89" s="56" t="str">
        <f>IF(AMS!H109="","",AMS!H109)</f>
        <v/>
      </c>
      <c r="B89" s="22" t="str">
        <f t="shared" si="4"/>
        <v/>
      </c>
      <c r="C89" s="22" t="str">
        <f t="array" ref="C89">IFERROR(INDEX(Summary!$I$3:$I$1000,SMALL((Summary!$I$3:$I$1000="")/0.1%+ROW($3:$1000),ROW()-2)-2)&amp;"","")</f>
        <v/>
      </c>
      <c r="D89" s="22" t="str">
        <v/>
      </c>
      <c r="E89" s="22" t="str">
        <f t="shared" si="5"/>
        <v/>
      </c>
      <c r="F89" s="56" t="str">
        <f>IF(AMS!I109="","",AMS!I109)</f>
        <v/>
      </c>
      <c r="G89" s="56" t="str">
        <f>IF(AMS!J109="","",AMS!J109)</f>
        <v/>
      </c>
      <c r="H89" s="22" t="str">
        <f t="array" ref="H89">IF(A89&lt;&gt;" ",IFERROR(INDEX(Summary!$G$3:$G$1000,SMALL((Summary!$G$3:$G$1000="")/0.1%+ROW($3:$1000),ROW()-2)-2)&amp;"",""),"")</f>
        <v/>
      </c>
      <c r="I89" s="22" t="str">
        <f t="shared" si="6"/>
        <v/>
      </c>
      <c r="J89" s="22" t="str">
        <f t="shared" si="7"/>
        <v/>
      </c>
    </row>
    <row r="90" spans="1:10">
      <c r="A90" s="56" t="str">
        <f>IF(AMS!H110="","",AMS!H110)</f>
        <v/>
      </c>
      <c r="B90" s="22" t="str">
        <f t="shared" si="4"/>
        <v/>
      </c>
      <c r="C90" s="22" t="str">
        <f t="array" ref="C90">IFERROR(INDEX(Summary!$I$3:$I$1000,SMALL((Summary!$I$3:$I$1000="")/0.1%+ROW($3:$1000),ROW()-2)-2)&amp;"","")</f>
        <v/>
      </c>
      <c r="D90" s="22" t="str">
        <v/>
      </c>
      <c r="E90" s="22" t="str">
        <f t="shared" si="5"/>
        <v/>
      </c>
      <c r="F90" s="56" t="str">
        <f>IF(AMS!I110="","",AMS!I110)</f>
        <v/>
      </c>
      <c r="G90" s="56" t="str">
        <f>IF(AMS!J110="","",AMS!J110)</f>
        <v/>
      </c>
      <c r="H90" s="22" t="str">
        <f t="array" ref="H90">IF(A90&lt;&gt;" ",IFERROR(INDEX(Summary!$G$3:$G$1000,SMALL((Summary!$G$3:$G$1000="")/0.1%+ROW($3:$1000),ROW()-2)-2)&amp;"",""),"")</f>
        <v/>
      </c>
      <c r="I90" s="22" t="str">
        <f t="shared" si="6"/>
        <v/>
      </c>
      <c r="J90" s="22" t="str">
        <f t="shared" si="7"/>
        <v/>
      </c>
    </row>
    <row r="91" spans="1:10">
      <c r="A91" s="56" t="str">
        <f>IF(AMS!H111="","",AMS!H111)</f>
        <v/>
      </c>
      <c r="B91" s="22" t="str">
        <f t="shared" si="4"/>
        <v/>
      </c>
      <c r="C91" s="22" t="str">
        <f t="array" ref="C91">IFERROR(INDEX(Summary!$I$3:$I$1000,SMALL((Summary!$I$3:$I$1000="")/0.1%+ROW($3:$1000),ROW()-2)-2)&amp;"","")</f>
        <v/>
      </c>
      <c r="D91" s="22" t="str">
        <v/>
      </c>
      <c r="E91" s="22" t="str">
        <f t="shared" si="5"/>
        <v/>
      </c>
      <c r="F91" s="56" t="str">
        <f>IF(AMS!I111="","",AMS!I111)</f>
        <v/>
      </c>
      <c r="G91" s="56" t="str">
        <f>IF(AMS!J111="","",AMS!J111)</f>
        <v/>
      </c>
      <c r="H91" s="22" t="str">
        <f t="array" ref="H91">IF(A91&lt;&gt;" ",IFERROR(INDEX(Summary!$G$3:$G$1000,SMALL((Summary!$G$3:$G$1000="")/0.1%+ROW($3:$1000),ROW()-2)-2)&amp;"",""),"")</f>
        <v/>
      </c>
      <c r="I91" s="22" t="str">
        <f t="shared" si="6"/>
        <v/>
      </c>
      <c r="J91" s="22" t="str">
        <f t="shared" si="7"/>
        <v/>
      </c>
    </row>
    <row r="92" spans="1:10">
      <c r="A92" s="56" t="str">
        <f>IF(AMS!H112="","",AMS!H112)</f>
        <v/>
      </c>
      <c r="B92" s="22" t="str">
        <f t="shared" si="4"/>
        <v/>
      </c>
      <c r="C92" s="22" t="str">
        <f t="array" ref="C92">IFERROR(INDEX(Summary!$I$3:$I$1000,SMALL((Summary!$I$3:$I$1000="")/0.1%+ROW($3:$1000),ROW()-2)-2)&amp;"","")</f>
        <v/>
      </c>
      <c r="D92" s="22" t="str">
        <v/>
      </c>
      <c r="E92" s="22" t="str">
        <f t="shared" si="5"/>
        <v/>
      </c>
      <c r="F92" s="56" t="str">
        <f>IF(AMS!I112="","",AMS!I112)</f>
        <v/>
      </c>
      <c r="G92" s="56" t="str">
        <f>IF(AMS!J112="","",AMS!J112)</f>
        <v/>
      </c>
      <c r="H92" s="22" t="str">
        <f t="array" ref="H92">IF(A92&lt;&gt;" ",IFERROR(INDEX(Summary!$G$3:$G$1000,SMALL((Summary!$G$3:$G$1000="")/0.1%+ROW($3:$1000),ROW()-2)-2)&amp;"",""),"")</f>
        <v/>
      </c>
      <c r="I92" s="22" t="str">
        <f t="shared" si="6"/>
        <v/>
      </c>
      <c r="J92" s="22" t="str">
        <f t="shared" si="7"/>
        <v/>
      </c>
    </row>
    <row r="93" spans="1:10">
      <c r="A93" s="56" t="str">
        <f>IF(AMS!H113="","",AMS!H113)</f>
        <v/>
      </c>
      <c r="B93" s="22" t="str">
        <f t="shared" si="4"/>
        <v/>
      </c>
      <c r="C93" s="22" t="str">
        <f t="array" ref="C93">IFERROR(INDEX(Summary!$I$3:$I$1000,SMALL((Summary!$I$3:$I$1000="")/0.1%+ROW($3:$1000),ROW()-2)-2)&amp;"","")</f>
        <v/>
      </c>
      <c r="D93" s="22" t="str">
        <v/>
      </c>
      <c r="E93" s="22" t="str">
        <f t="shared" si="5"/>
        <v/>
      </c>
      <c r="F93" s="56" t="str">
        <f>IF(AMS!I113="","",AMS!I113)</f>
        <v/>
      </c>
      <c r="G93" s="56" t="str">
        <f>IF(AMS!J113="","",AMS!J113)</f>
        <v/>
      </c>
      <c r="H93" s="22" t="str">
        <f t="array" ref="H93">IF(A93&lt;&gt;" ",IFERROR(INDEX(Summary!$G$3:$G$1000,SMALL((Summary!$G$3:$G$1000="")/0.1%+ROW($3:$1000),ROW()-2)-2)&amp;"",""),"")</f>
        <v/>
      </c>
      <c r="I93" s="22" t="str">
        <f t="shared" si="6"/>
        <v/>
      </c>
      <c r="J93" s="22" t="str">
        <f t="shared" si="7"/>
        <v/>
      </c>
    </row>
    <row r="94" spans="1:10">
      <c r="A94" s="56" t="str">
        <f>IF(AMS!H114="","",AMS!H114)</f>
        <v/>
      </c>
      <c r="B94" s="22" t="str">
        <f t="shared" si="4"/>
        <v/>
      </c>
      <c r="C94" s="22" t="str">
        <f t="array" ref="C94">IFERROR(INDEX(Summary!$I$3:$I$1000,SMALL((Summary!$I$3:$I$1000="")/0.1%+ROW($3:$1000),ROW()-2)-2)&amp;"","")</f>
        <v/>
      </c>
      <c r="D94" s="22" t="str">
        <v/>
      </c>
      <c r="E94" s="22" t="str">
        <f t="shared" si="5"/>
        <v/>
      </c>
      <c r="F94" s="56" t="str">
        <f>IF(AMS!I114="","",AMS!I114)</f>
        <v/>
      </c>
      <c r="G94" s="56" t="str">
        <f>IF(AMS!J114="","",AMS!J114)</f>
        <v/>
      </c>
      <c r="H94" s="22" t="str">
        <f t="array" ref="H94">IF(A94&lt;&gt;" ",IFERROR(INDEX(Summary!$G$3:$G$1000,SMALL((Summary!$G$3:$G$1000="")/0.1%+ROW($3:$1000),ROW()-2)-2)&amp;"",""),"")</f>
        <v/>
      </c>
      <c r="I94" s="22" t="str">
        <f t="shared" si="6"/>
        <v/>
      </c>
      <c r="J94" s="22" t="str">
        <f t="shared" si="7"/>
        <v/>
      </c>
    </row>
    <row r="95" spans="1:10">
      <c r="A95" s="56" t="str">
        <f>IF(AMS!H115="","",AMS!H115)</f>
        <v/>
      </c>
      <c r="B95" s="22" t="str">
        <f t="shared" si="4"/>
        <v/>
      </c>
      <c r="C95" s="22" t="str">
        <f t="array" ref="C95">IFERROR(INDEX(Summary!$I$3:$I$1000,SMALL((Summary!$I$3:$I$1000="")/0.1%+ROW($3:$1000),ROW()-2)-2)&amp;"","")</f>
        <v/>
      </c>
      <c r="D95" s="22" t="str">
        <v/>
      </c>
      <c r="E95" s="22" t="str">
        <f t="shared" si="5"/>
        <v/>
      </c>
      <c r="F95" s="56" t="str">
        <f>IF(AMS!I115="","",AMS!I115)</f>
        <v/>
      </c>
      <c r="G95" s="56" t="str">
        <f>IF(AMS!J115="","",AMS!J115)</f>
        <v/>
      </c>
      <c r="H95" s="22" t="str">
        <f t="array" ref="H95">IF(A95&lt;&gt;" ",IFERROR(INDEX(Summary!$G$3:$G$1000,SMALL((Summary!$G$3:$G$1000="")/0.1%+ROW($3:$1000),ROW()-2)-2)&amp;"",""),"")</f>
        <v/>
      </c>
      <c r="I95" s="22" t="str">
        <f t="shared" si="6"/>
        <v/>
      </c>
      <c r="J95" s="22" t="str">
        <f t="shared" si="7"/>
        <v/>
      </c>
    </row>
    <row r="96" spans="1:10">
      <c r="A96" s="56" t="str">
        <f>IF(AMS!H116="","",AMS!H116)</f>
        <v/>
      </c>
      <c r="B96" s="22" t="str">
        <f t="shared" si="4"/>
        <v/>
      </c>
      <c r="C96" s="22" t="str">
        <f t="array" ref="C96">IFERROR(INDEX(Summary!$I$3:$I$1000,SMALL((Summary!$I$3:$I$1000="")/0.1%+ROW($3:$1000),ROW()-2)-2)&amp;"","")</f>
        <v/>
      </c>
      <c r="D96" s="22" t="str">
        <v/>
      </c>
      <c r="E96" s="22" t="str">
        <f t="shared" si="5"/>
        <v/>
      </c>
      <c r="F96" s="56" t="str">
        <f>IF(AMS!I116="","",AMS!I116)</f>
        <v/>
      </c>
      <c r="G96" s="56" t="str">
        <f>IF(AMS!J116="","",AMS!J116)</f>
        <v/>
      </c>
      <c r="H96" s="22" t="str">
        <f t="array" ref="H96">IF(A96&lt;&gt;" ",IFERROR(INDEX(Summary!$G$3:$G$1000,SMALL((Summary!$G$3:$G$1000="")/0.1%+ROW($3:$1000),ROW()-2)-2)&amp;"",""),"")</f>
        <v/>
      </c>
      <c r="I96" s="22" t="str">
        <f t="shared" si="6"/>
        <v/>
      </c>
      <c r="J96" s="22" t="str">
        <f t="shared" si="7"/>
        <v/>
      </c>
    </row>
    <row r="97" spans="1:10">
      <c r="A97" s="56" t="str">
        <f>IF(AMS!H117="","",AMS!H117)</f>
        <v/>
      </c>
      <c r="B97" s="22" t="str">
        <f t="shared" si="4"/>
        <v/>
      </c>
      <c r="C97" s="22" t="str">
        <f t="array" ref="C97">IFERROR(INDEX(Summary!$I$3:$I$1000,SMALL((Summary!$I$3:$I$1000="")/0.1%+ROW($3:$1000),ROW()-2)-2)&amp;"","")</f>
        <v/>
      </c>
      <c r="D97" s="22" t="str">
        <v/>
      </c>
      <c r="E97" s="22" t="str">
        <f t="shared" si="5"/>
        <v/>
      </c>
      <c r="F97" s="56" t="str">
        <f>IF(AMS!I117="","",AMS!I117)</f>
        <v/>
      </c>
      <c r="G97" s="56" t="str">
        <f>IF(AMS!J117="","",AMS!J117)</f>
        <v/>
      </c>
      <c r="H97" s="22" t="str">
        <f t="array" ref="H97">IF(A97&lt;&gt;" ",IFERROR(INDEX(Summary!$G$3:$G$1000,SMALL((Summary!$G$3:$G$1000="")/0.1%+ROW($3:$1000),ROW()-2)-2)&amp;"",""),"")</f>
        <v/>
      </c>
      <c r="I97" s="22" t="str">
        <f t="shared" si="6"/>
        <v/>
      </c>
      <c r="J97" s="22" t="str">
        <f t="shared" si="7"/>
        <v/>
      </c>
    </row>
    <row r="98" spans="1:10">
      <c r="A98" s="56" t="str">
        <f>IF(AMS!H118="","",AMS!H118)</f>
        <v/>
      </c>
      <c r="B98" s="22" t="str">
        <f t="shared" si="4"/>
        <v/>
      </c>
      <c r="C98" s="22" t="str">
        <f t="array" ref="C98">IFERROR(INDEX(Summary!$I$3:$I$1000,SMALL((Summary!$I$3:$I$1000="")/0.1%+ROW($3:$1000),ROW()-2)-2)&amp;"","")</f>
        <v/>
      </c>
      <c r="D98" s="22" t="str">
        <v/>
      </c>
      <c r="E98" s="22" t="str">
        <f t="shared" si="5"/>
        <v/>
      </c>
      <c r="F98" s="56" t="str">
        <f>IF(AMS!I118="","",AMS!I118)</f>
        <v/>
      </c>
      <c r="G98" s="56" t="str">
        <f>IF(AMS!J118="","",AMS!J118)</f>
        <v/>
      </c>
      <c r="H98" s="22" t="str">
        <f t="array" ref="H98">IF(A98&lt;&gt;" ",IFERROR(INDEX(Summary!$G$3:$G$1000,SMALL((Summary!$G$3:$G$1000="")/0.1%+ROW($3:$1000),ROW()-2)-2)&amp;"",""),"")</f>
        <v/>
      </c>
      <c r="I98" s="22" t="str">
        <f t="shared" si="6"/>
        <v/>
      </c>
      <c r="J98" s="22" t="str">
        <f t="shared" si="7"/>
        <v/>
      </c>
    </row>
    <row r="99" spans="1:10">
      <c r="A99" s="56" t="str">
        <f>IF(AMS!H119="","",AMS!H119)</f>
        <v/>
      </c>
      <c r="B99" s="22" t="str">
        <f t="shared" si="4"/>
        <v/>
      </c>
      <c r="C99" s="22" t="str">
        <f t="array" ref="C99">IFERROR(INDEX(Summary!$I$3:$I$1000,SMALL((Summary!$I$3:$I$1000="")/0.1%+ROW($3:$1000),ROW()-2)-2)&amp;"","")</f>
        <v/>
      </c>
      <c r="D99" s="22" t="str">
        <v/>
      </c>
      <c r="E99" s="22" t="str">
        <f t="shared" si="5"/>
        <v/>
      </c>
      <c r="F99" s="56" t="str">
        <f>IF(AMS!I119="","",AMS!I119)</f>
        <v/>
      </c>
      <c r="G99" s="56" t="str">
        <f>IF(AMS!J119="","",AMS!J119)</f>
        <v/>
      </c>
      <c r="H99" s="22" t="str">
        <f t="array" ref="H99">IF(A99&lt;&gt;" ",IFERROR(INDEX(Summary!$G$3:$G$1000,SMALL((Summary!$G$3:$G$1000="")/0.1%+ROW($3:$1000),ROW()-2)-2)&amp;"",""),"")</f>
        <v/>
      </c>
      <c r="I99" s="22" t="str">
        <f t="shared" si="6"/>
        <v/>
      </c>
      <c r="J99" s="22" t="str">
        <f t="shared" si="7"/>
        <v/>
      </c>
    </row>
    <row r="100" spans="1:10">
      <c r="A100" s="56" t="str">
        <f>IF(AMS!H120="","",AMS!H120)</f>
        <v/>
      </c>
      <c r="B100" s="22" t="str">
        <f t="shared" si="4"/>
        <v/>
      </c>
      <c r="C100" s="22" t="str">
        <f t="array" ref="C100">IFERROR(INDEX(Summary!$I$3:$I$1000,SMALL((Summary!$I$3:$I$1000="")/0.1%+ROW($3:$1000),ROW()-2)-2)&amp;"","")</f>
        <v/>
      </c>
      <c r="D100" s="22" t="str">
        <v/>
      </c>
      <c r="E100" s="22" t="str">
        <f t="shared" si="5"/>
        <v/>
      </c>
      <c r="F100" s="56" t="str">
        <f>IF(AMS!I120="","",AMS!I120)</f>
        <v/>
      </c>
      <c r="G100" s="56" t="str">
        <f>IF(AMS!J120="","",AMS!J120)</f>
        <v/>
      </c>
      <c r="H100" s="22" t="str">
        <f t="array" ref="H100">IF(A100&lt;&gt;" ",IFERROR(INDEX(Summary!$G$3:$G$1000,SMALL((Summary!$G$3:$G$1000="")/0.1%+ROW($3:$1000),ROW()-2)-2)&amp;"",""),"")</f>
        <v/>
      </c>
      <c r="I100" s="22" t="str">
        <f t="shared" si="6"/>
        <v/>
      </c>
      <c r="J100" s="22" t="str">
        <f t="shared" si="7"/>
        <v/>
      </c>
    </row>
    <row r="101" spans="1:10">
      <c r="A101" s="56" t="str">
        <f>IF(AMS!H121="","",AMS!H121)</f>
        <v/>
      </c>
      <c r="B101" s="22" t="str">
        <f t="shared" si="4"/>
        <v/>
      </c>
      <c r="C101" s="22" t="str">
        <f t="array" ref="C101">IFERROR(INDEX(Summary!$I$3:$I$1000,SMALL((Summary!$I$3:$I$1000="")/0.1%+ROW($3:$1000),ROW()-2)-2)&amp;"","")</f>
        <v/>
      </c>
      <c r="D101" s="22" t="str">
        <v/>
      </c>
      <c r="E101" s="22" t="str">
        <f t="shared" si="5"/>
        <v/>
      </c>
      <c r="F101" s="56" t="str">
        <f>IF(AMS!I121="","",AMS!I121)</f>
        <v/>
      </c>
      <c r="G101" s="56" t="str">
        <f>IF(AMS!J121="","",AMS!J121)</f>
        <v/>
      </c>
      <c r="H101" s="22" t="str">
        <f t="array" ref="H101">IF(A101&lt;&gt;" ",IFERROR(INDEX(Summary!$G$3:$G$1000,SMALL((Summary!$G$3:$G$1000="")/0.1%+ROW($3:$1000),ROW()-2)-2)&amp;"",""),"")</f>
        <v/>
      </c>
      <c r="I101" s="22" t="str">
        <f t="shared" si="6"/>
        <v/>
      </c>
      <c r="J101" s="22" t="str">
        <f t="shared" si="7"/>
        <v/>
      </c>
    </row>
    <row r="102" spans="1:10">
      <c r="A102" s="56" t="str">
        <f>IF(AMS!H122="","",AMS!H122)</f>
        <v/>
      </c>
      <c r="B102" s="22" t="str">
        <f t="shared" si="4"/>
        <v/>
      </c>
      <c r="C102" s="22" t="str">
        <f t="array" ref="C102">IFERROR(INDEX(Summary!$I$3:$I$1000,SMALL((Summary!$I$3:$I$1000="")/0.1%+ROW($3:$1000),ROW()-2)-2)&amp;"","")</f>
        <v/>
      </c>
      <c r="D102" s="22" t="str">
        <v/>
      </c>
      <c r="E102" s="22" t="str">
        <f t="shared" si="5"/>
        <v/>
      </c>
      <c r="F102" s="56" t="str">
        <f>IF(AMS!I122="","",AMS!I122)</f>
        <v/>
      </c>
      <c r="G102" s="56" t="str">
        <f>IF(AMS!J122="","",AMS!J122)</f>
        <v/>
      </c>
      <c r="H102" s="22" t="str">
        <f t="array" ref="H102">IF(A102&lt;&gt;" ",IFERROR(INDEX(Summary!$G$3:$G$1000,SMALL((Summary!$G$3:$G$1000="")/0.1%+ROW($3:$1000),ROW()-2)-2)&amp;"",""),"")</f>
        <v/>
      </c>
      <c r="I102" s="22" t="str">
        <f t="shared" si="6"/>
        <v/>
      </c>
      <c r="J102" s="22" t="str">
        <f t="shared" si="7"/>
        <v/>
      </c>
    </row>
    <row r="103" spans="1:10">
      <c r="A103" s="56" t="str">
        <f>IF(AMS!H123="","",AMS!H123)</f>
        <v/>
      </c>
      <c r="B103" s="22" t="str">
        <f t="shared" si="4"/>
        <v/>
      </c>
      <c r="C103" s="22" t="str">
        <f t="array" ref="C103">IFERROR(INDEX(Summary!$I$3:$I$1000,SMALL((Summary!$I$3:$I$1000="")/0.1%+ROW($3:$1000),ROW()-2)-2)&amp;"","")</f>
        <v/>
      </c>
      <c r="D103" s="22" t="str">
        <v/>
      </c>
      <c r="E103" s="22" t="str">
        <f t="shared" si="5"/>
        <v/>
      </c>
      <c r="F103" s="56" t="str">
        <f>IF(AMS!I123="","",AMS!I123)</f>
        <v/>
      </c>
      <c r="G103" s="56" t="str">
        <f>IF(AMS!J123="","",AMS!J123)</f>
        <v/>
      </c>
      <c r="H103" s="22" t="str">
        <f t="array" ref="H103">IF(A103&lt;&gt;" ",IFERROR(INDEX(Summary!$G$3:$G$1000,SMALL((Summary!$G$3:$G$1000="")/0.1%+ROW($3:$1000),ROW()-2)-2)&amp;"",""),"")</f>
        <v/>
      </c>
      <c r="I103" s="22" t="str">
        <f t="shared" si="6"/>
        <v/>
      </c>
      <c r="J103" s="22" t="str">
        <f t="shared" si="7"/>
        <v/>
      </c>
    </row>
    <row r="104" spans="1:10">
      <c r="A104" s="56" t="str">
        <f>IF(AMS!H124="","",AMS!H124)</f>
        <v/>
      </c>
      <c r="B104" s="22" t="str">
        <f t="shared" si="4"/>
        <v/>
      </c>
      <c r="C104" s="22" t="str">
        <f t="array" ref="C104">IFERROR(INDEX(Summary!$I$3:$I$1000,SMALL((Summary!$I$3:$I$1000="")/0.1%+ROW($3:$1000),ROW()-2)-2)&amp;"","")</f>
        <v/>
      </c>
      <c r="D104" s="22" t="str">
        <v/>
      </c>
      <c r="E104" s="22" t="str">
        <f t="shared" si="5"/>
        <v/>
      </c>
      <c r="F104" s="56" t="str">
        <f>IF(AMS!I124="","",AMS!I124)</f>
        <v/>
      </c>
      <c r="G104" s="56" t="str">
        <f>IF(AMS!J124="","",AMS!J124)</f>
        <v/>
      </c>
      <c r="H104" s="22" t="str">
        <f t="array" ref="H104">IF(A104&lt;&gt;" ",IFERROR(INDEX(Summary!$G$3:$G$1000,SMALL((Summary!$G$3:$G$1000="")/0.1%+ROW($3:$1000),ROW()-2)-2)&amp;"",""),"")</f>
        <v/>
      </c>
      <c r="I104" s="22" t="str">
        <f t="shared" si="6"/>
        <v/>
      </c>
      <c r="J104" s="22" t="str">
        <f t="shared" si="7"/>
        <v/>
      </c>
    </row>
    <row r="105" spans="1:10">
      <c r="A105" s="56" t="str">
        <f>IF(AMS!H125="","",AMS!H125)</f>
        <v/>
      </c>
      <c r="B105" s="22" t="str">
        <f t="shared" si="4"/>
        <v/>
      </c>
      <c r="C105" s="22" t="str">
        <f t="array" ref="C105">IFERROR(INDEX(Summary!$I$3:$I$1000,SMALL((Summary!$I$3:$I$1000="")/0.1%+ROW($3:$1000),ROW()-2)-2)&amp;"","")</f>
        <v/>
      </c>
      <c r="D105" s="22" t="str">
        <v/>
      </c>
      <c r="E105" s="22" t="str">
        <f t="shared" si="5"/>
        <v/>
      </c>
      <c r="F105" s="56" t="str">
        <f>IF(AMS!I125="","",AMS!I125)</f>
        <v/>
      </c>
      <c r="G105" s="56" t="str">
        <f>IF(AMS!J125="","",AMS!J125)</f>
        <v/>
      </c>
      <c r="H105" s="22" t="str">
        <f t="array" ref="H105">IF(A105&lt;&gt;" ",IFERROR(INDEX(Summary!$G$3:$G$1000,SMALL((Summary!$G$3:$G$1000="")/0.1%+ROW($3:$1000),ROW()-2)-2)&amp;"",""),"")</f>
        <v/>
      </c>
      <c r="I105" s="22" t="str">
        <f t="shared" si="6"/>
        <v/>
      </c>
      <c r="J105" s="22" t="str">
        <f t="shared" si="7"/>
        <v/>
      </c>
    </row>
    <row r="106" spans="1:10">
      <c r="A106" s="56" t="str">
        <f>IF(AMS!H126="","",AMS!H126)</f>
        <v/>
      </c>
      <c r="B106" s="22" t="str">
        <f t="shared" si="4"/>
        <v/>
      </c>
      <c r="C106" s="22" t="str">
        <f t="array" ref="C106">IFERROR(INDEX(Summary!$I$3:$I$1000,SMALL((Summary!$I$3:$I$1000="")/0.1%+ROW($3:$1000),ROW()-2)-2)&amp;"","")</f>
        <v/>
      </c>
      <c r="D106" s="22" t="str">
        <v/>
      </c>
      <c r="E106" s="22" t="str">
        <f t="shared" si="5"/>
        <v/>
      </c>
      <c r="F106" s="56" t="str">
        <f>IF(AMS!I126="","",AMS!I126)</f>
        <v/>
      </c>
      <c r="G106" s="56" t="str">
        <f>IF(AMS!J126="","",AMS!J126)</f>
        <v/>
      </c>
      <c r="H106" s="22" t="str">
        <f t="array" ref="H106">IF(A106&lt;&gt;" ",IFERROR(INDEX(Summary!$G$3:$G$1000,SMALL((Summary!$G$3:$G$1000="")/0.1%+ROW($3:$1000),ROW()-2)-2)&amp;"",""),"")</f>
        <v/>
      </c>
      <c r="I106" s="22" t="str">
        <f t="shared" si="6"/>
        <v/>
      </c>
      <c r="J106" s="22" t="str">
        <f t="shared" si="7"/>
        <v/>
      </c>
    </row>
    <row r="107" spans="1:10">
      <c r="A107" s="56" t="str">
        <f>IF(AMS!H127="","",AMS!H127)</f>
        <v/>
      </c>
      <c r="B107" s="22" t="str">
        <f t="shared" si="4"/>
        <v/>
      </c>
      <c r="C107" s="22" t="str">
        <f t="array" ref="C107">IFERROR(INDEX(Summary!$I$3:$I$1000,SMALL((Summary!$I$3:$I$1000="")/0.1%+ROW($3:$1000),ROW()-2)-2)&amp;"","")</f>
        <v/>
      </c>
      <c r="D107" s="22" t="str">
        <v/>
      </c>
      <c r="E107" s="22" t="str">
        <f t="shared" si="5"/>
        <v/>
      </c>
      <c r="F107" s="56" t="str">
        <f>IF(AMS!I127="","",AMS!I127)</f>
        <v/>
      </c>
      <c r="G107" s="56" t="str">
        <f>IF(AMS!J127="","",AMS!J127)</f>
        <v/>
      </c>
      <c r="H107" s="22" t="str">
        <f t="array" ref="H107">IF(A107&lt;&gt;" ",IFERROR(INDEX(Summary!$G$3:$G$1000,SMALL((Summary!$G$3:$G$1000="")/0.1%+ROW($3:$1000),ROW()-2)-2)&amp;"",""),"")</f>
        <v/>
      </c>
      <c r="I107" s="22" t="str">
        <f t="shared" si="6"/>
        <v/>
      </c>
      <c r="J107" s="22" t="str">
        <f t="shared" si="7"/>
        <v/>
      </c>
    </row>
    <row r="108" spans="1:10">
      <c r="A108" s="56" t="str">
        <f>IF(AMS!H128="","",AMS!H128)</f>
        <v/>
      </c>
      <c r="B108" s="22" t="str">
        <f t="shared" si="4"/>
        <v/>
      </c>
      <c r="C108" s="22" t="str">
        <f t="array" ref="C108">IFERROR(INDEX(Summary!$I$3:$I$1000,SMALL((Summary!$I$3:$I$1000="")/0.1%+ROW($3:$1000),ROW()-2)-2)&amp;"","")</f>
        <v/>
      </c>
      <c r="D108" s="22" t="str">
        <v/>
      </c>
      <c r="E108" s="22" t="str">
        <f t="shared" si="5"/>
        <v/>
      </c>
      <c r="F108" s="56" t="str">
        <f>IF(AMS!I128="","",AMS!I128)</f>
        <v/>
      </c>
      <c r="G108" s="56" t="str">
        <f>IF(AMS!J128="","",AMS!J128)</f>
        <v/>
      </c>
      <c r="H108" s="22" t="str">
        <f t="array" ref="H108">IF(A108&lt;&gt;" ",IFERROR(INDEX(Summary!$G$3:$G$1000,SMALL((Summary!$G$3:$G$1000="")/0.1%+ROW($3:$1000),ROW()-2)-2)&amp;"",""),"")</f>
        <v/>
      </c>
      <c r="I108" s="22" t="str">
        <f t="shared" si="6"/>
        <v/>
      </c>
      <c r="J108" s="22" t="str">
        <f t="shared" si="7"/>
        <v/>
      </c>
    </row>
    <row r="109" spans="1:10">
      <c r="A109" s="56" t="str">
        <f>IF(AMS!H129="","",AMS!H129)</f>
        <v/>
      </c>
      <c r="B109" s="22" t="str">
        <f t="shared" si="4"/>
        <v/>
      </c>
      <c r="C109" s="22" t="str">
        <f t="array" ref="C109">IFERROR(INDEX(Summary!$I$3:$I$1000,SMALL((Summary!$I$3:$I$1000="")/0.1%+ROW($3:$1000),ROW()-2)-2)&amp;"","")</f>
        <v/>
      </c>
      <c r="D109" s="22" t="str">
        <v/>
      </c>
      <c r="E109" s="22" t="str">
        <f t="shared" si="5"/>
        <v/>
      </c>
      <c r="F109" s="56" t="str">
        <f>IF(AMS!I129="","",AMS!I129)</f>
        <v/>
      </c>
      <c r="G109" s="56" t="str">
        <f>IF(AMS!J129="","",AMS!J129)</f>
        <v/>
      </c>
      <c r="H109" s="22" t="str">
        <f t="array" ref="H109">IF(A109&lt;&gt;" ",IFERROR(INDEX(Summary!$G$3:$G$1000,SMALL((Summary!$G$3:$G$1000="")/0.1%+ROW($3:$1000),ROW()-2)-2)&amp;"",""),"")</f>
        <v/>
      </c>
      <c r="I109" s="22" t="str">
        <f t="shared" si="6"/>
        <v/>
      </c>
      <c r="J109" s="22" t="str">
        <f t="shared" si="7"/>
        <v/>
      </c>
    </row>
    <row r="110" spans="1:10">
      <c r="A110" s="56" t="str">
        <f>IF(AMS!H130="","",AMS!H130)</f>
        <v/>
      </c>
      <c r="B110" s="22" t="str">
        <f t="shared" si="4"/>
        <v/>
      </c>
      <c r="C110" s="22" t="str">
        <f t="array" ref="C110">IFERROR(INDEX(Summary!$I$3:$I$1000,SMALL((Summary!$I$3:$I$1000="")/0.1%+ROW($3:$1000),ROW()-2)-2)&amp;"","")</f>
        <v/>
      </c>
      <c r="D110" s="22" t="str">
        <v/>
      </c>
      <c r="E110" s="22" t="str">
        <f t="shared" si="5"/>
        <v/>
      </c>
      <c r="F110" s="56" t="str">
        <f>IF(AMS!I130="","",AMS!I130)</f>
        <v/>
      </c>
      <c r="G110" s="56" t="str">
        <f>IF(AMS!J130="","",AMS!J130)</f>
        <v/>
      </c>
      <c r="H110" s="22" t="str">
        <f t="array" ref="H110">IF(A110&lt;&gt;" ",IFERROR(INDEX(Summary!$G$3:$G$1000,SMALL((Summary!$G$3:$G$1000="")/0.1%+ROW($3:$1000),ROW()-2)-2)&amp;"",""),"")</f>
        <v/>
      </c>
      <c r="I110" s="22" t="str">
        <f t="shared" si="6"/>
        <v/>
      </c>
      <c r="J110" s="22" t="str">
        <f t="shared" si="7"/>
        <v/>
      </c>
    </row>
    <row r="111" spans="1:10">
      <c r="A111" s="56" t="str">
        <f>IF(AMS!H131="","",AMS!H131)</f>
        <v/>
      </c>
      <c r="B111" s="22" t="str">
        <f t="shared" si="4"/>
        <v/>
      </c>
      <c r="C111" s="22" t="str">
        <f t="array" ref="C111">IFERROR(INDEX(Summary!$I$3:$I$1000,SMALL((Summary!$I$3:$I$1000="")/0.1%+ROW($3:$1000),ROW()-2)-2)&amp;"","")</f>
        <v/>
      </c>
      <c r="D111" s="22" t="str">
        <v/>
      </c>
      <c r="E111" s="22" t="str">
        <f t="shared" si="5"/>
        <v/>
      </c>
      <c r="F111" s="56" t="str">
        <f>IF(AMS!I131="","",AMS!I131)</f>
        <v/>
      </c>
      <c r="G111" s="56" t="str">
        <f>IF(AMS!J131="","",AMS!J131)</f>
        <v/>
      </c>
      <c r="H111" s="22" t="str">
        <f t="array" ref="H111">IF(A111&lt;&gt;" ",IFERROR(INDEX(Summary!$G$3:$G$1000,SMALL((Summary!$G$3:$G$1000="")/0.1%+ROW($3:$1000),ROW()-2)-2)&amp;"",""),"")</f>
        <v/>
      </c>
      <c r="I111" s="22" t="str">
        <f t="shared" si="6"/>
        <v/>
      </c>
      <c r="J111" s="22" t="str">
        <f t="shared" si="7"/>
        <v/>
      </c>
    </row>
    <row r="112" spans="1:10">
      <c r="A112" s="56" t="str">
        <f>IF(AMS!H132="","",AMS!H132)</f>
        <v/>
      </c>
      <c r="B112" s="22" t="str">
        <f t="shared" si="4"/>
        <v/>
      </c>
      <c r="C112" s="22" t="str">
        <f t="array" ref="C112">IFERROR(INDEX(Summary!$I$3:$I$1000,SMALL((Summary!$I$3:$I$1000="")/0.1%+ROW($3:$1000),ROW()-2)-2)&amp;"","")</f>
        <v/>
      </c>
      <c r="D112" s="22" t="str">
        <v/>
      </c>
      <c r="E112" s="22" t="str">
        <f t="shared" si="5"/>
        <v/>
      </c>
      <c r="F112" s="56" t="str">
        <f>IF(AMS!I132="","",AMS!I132)</f>
        <v/>
      </c>
      <c r="G112" s="56" t="str">
        <f>IF(AMS!J132="","",AMS!J132)</f>
        <v/>
      </c>
      <c r="H112" s="22" t="str">
        <f t="array" ref="H112">IF(A112&lt;&gt;" ",IFERROR(INDEX(Summary!$G$3:$G$1000,SMALL((Summary!$G$3:$G$1000="")/0.1%+ROW($3:$1000),ROW()-2)-2)&amp;"",""),"")</f>
        <v/>
      </c>
      <c r="I112" s="22" t="str">
        <f t="shared" si="6"/>
        <v/>
      </c>
      <c r="J112" s="22" t="str">
        <f t="shared" si="7"/>
        <v/>
      </c>
    </row>
    <row r="113" spans="1:10">
      <c r="A113" s="56" t="str">
        <f>IF(AMS!H133="","",AMS!H133)</f>
        <v/>
      </c>
      <c r="B113" s="22" t="str">
        <f t="shared" si="4"/>
        <v/>
      </c>
      <c r="C113" s="22" t="str">
        <f t="array" ref="C113">IFERROR(INDEX(Summary!$I$3:$I$1000,SMALL((Summary!$I$3:$I$1000="")/0.1%+ROW($3:$1000),ROW()-2)-2)&amp;"","")</f>
        <v/>
      </c>
      <c r="D113" s="22" t="str">
        <v/>
      </c>
      <c r="E113" s="22" t="str">
        <f t="shared" si="5"/>
        <v/>
      </c>
      <c r="F113" s="56" t="str">
        <f>IF(AMS!I133="","",AMS!I133)</f>
        <v/>
      </c>
      <c r="G113" s="56" t="str">
        <f>IF(AMS!J133="","",AMS!J133)</f>
        <v/>
      </c>
      <c r="H113" s="22" t="str">
        <f t="array" ref="H113">IF(A113&lt;&gt;" ",IFERROR(INDEX(Summary!$G$3:$G$1000,SMALL((Summary!$G$3:$G$1000="")/0.1%+ROW($3:$1000),ROW()-2)-2)&amp;"",""),"")</f>
        <v/>
      </c>
      <c r="I113" s="22" t="str">
        <f t="shared" si="6"/>
        <v/>
      </c>
      <c r="J113" s="22" t="str">
        <f t="shared" si="7"/>
        <v/>
      </c>
    </row>
    <row r="114" spans="1:10">
      <c r="A114" s="56" t="str">
        <f>IF(AMS!H134="","",AMS!H134)</f>
        <v/>
      </c>
      <c r="B114" s="22" t="str">
        <f t="shared" si="4"/>
        <v/>
      </c>
      <c r="C114" s="22" t="str">
        <f t="array" ref="C114">IFERROR(INDEX(Summary!$I$3:$I$1000,SMALL((Summary!$I$3:$I$1000="")/0.1%+ROW($3:$1000),ROW()-2)-2)&amp;"","")</f>
        <v/>
      </c>
      <c r="D114" s="22" t="str">
        <v/>
      </c>
      <c r="E114" s="22" t="str">
        <f t="shared" si="5"/>
        <v/>
      </c>
      <c r="F114" s="56" t="str">
        <f>IF(AMS!I134="","",AMS!I134)</f>
        <v/>
      </c>
      <c r="G114" s="56" t="str">
        <f>IF(AMS!J134="","",AMS!J134)</f>
        <v/>
      </c>
      <c r="H114" s="22" t="str">
        <f t="array" ref="H114">IF(A114&lt;&gt;" ",IFERROR(INDEX(Summary!$G$3:$G$1000,SMALL((Summary!$G$3:$G$1000="")/0.1%+ROW($3:$1000),ROW()-2)-2)&amp;"",""),"")</f>
        <v/>
      </c>
      <c r="I114" s="22" t="str">
        <f t="shared" si="6"/>
        <v/>
      </c>
      <c r="J114" s="22" t="str">
        <f t="shared" si="7"/>
        <v/>
      </c>
    </row>
    <row r="115" spans="1:10">
      <c r="A115" s="56" t="str">
        <f>IF(AMS!H135="","",AMS!H135)</f>
        <v/>
      </c>
      <c r="B115" s="22" t="str">
        <f t="shared" si="4"/>
        <v/>
      </c>
      <c r="C115" s="22" t="str">
        <f t="array" ref="C115">IFERROR(INDEX(Summary!$I$3:$I$1000,SMALL((Summary!$I$3:$I$1000="")/0.1%+ROW($3:$1000),ROW()-2)-2)&amp;"","")</f>
        <v/>
      </c>
      <c r="D115" s="22" t="str">
        <v/>
      </c>
      <c r="E115" s="22" t="str">
        <f t="shared" si="5"/>
        <v/>
      </c>
      <c r="F115" s="56" t="str">
        <f>IF(AMS!I135="","",AMS!I135)</f>
        <v/>
      </c>
      <c r="G115" s="56" t="str">
        <f>IF(AMS!J135="","",AMS!J135)</f>
        <v/>
      </c>
      <c r="H115" s="22" t="str">
        <f t="array" ref="H115">IF(A115&lt;&gt;" ",IFERROR(INDEX(Summary!$G$3:$G$1000,SMALL((Summary!$G$3:$G$1000="")/0.1%+ROW($3:$1000),ROW()-2)-2)&amp;"",""),"")</f>
        <v/>
      </c>
      <c r="I115" s="22" t="str">
        <f t="shared" si="6"/>
        <v/>
      </c>
      <c r="J115" s="22" t="str">
        <f t="shared" si="7"/>
        <v/>
      </c>
    </row>
    <row r="116" spans="1:10">
      <c r="A116" s="56" t="str">
        <f>IF(AMS!H136="","",AMS!H136)</f>
        <v/>
      </c>
      <c r="B116" s="22" t="str">
        <f t="shared" si="4"/>
        <v/>
      </c>
      <c r="C116" s="22" t="str">
        <f t="array" ref="C116">IFERROR(INDEX(Summary!$I$3:$I$1000,SMALL((Summary!$I$3:$I$1000="")/0.1%+ROW($3:$1000),ROW()-2)-2)&amp;"","")</f>
        <v/>
      </c>
      <c r="D116" s="22" t="str">
        <v/>
      </c>
      <c r="E116" s="22" t="str">
        <f t="shared" si="5"/>
        <v/>
      </c>
      <c r="F116" s="56" t="str">
        <f>IF(AMS!I136="","",AMS!I136)</f>
        <v/>
      </c>
      <c r="G116" s="56" t="str">
        <f>IF(AMS!J136="","",AMS!J136)</f>
        <v/>
      </c>
      <c r="H116" s="22" t="str">
        <f t="array" ref="H116">IF(A116&lt;&gt;" ",IFERROR(INDEX(Summary!$G$3:$G$1000,SMALL((Summary!$G$3:$G$1000="")/0.1%+ROW($3:$1000),ROW()-2)-2)&amp;"",""),"")</f>
        <v/>
      </c>
      <c r="I116" s="22" t="str">
        <f t="shared" si="6"/>
        <v/>
      </c>
      <c r="J116" s="22" t="str">
        <f t="shared" si="7"/>
        <v/>
      </c>
    </row>
    <row r="117" spans="1:10">
      <c r="A117" s="56" t="str">
        <f>IF(AMS!H137="","",AMS!H137)</f>
        <v/>
      </c>
      <c r="B117" s="22" t="str">
        <f t="shared" si="4"/>
        <v/>
      </c>
      <c r="C117" s="22" t="str">
        <f t="array" ref="C117">IFERROR(INDEX(Summary!$I$3:$I$1000,SMALL((Summary!$I$3:$I$1000="")/0.1%+ROW($3:$1000),ROW()-2)-2)&amp;"","")</f>
        <v/>
      </c>
      <c r="D117" s="22" t="str">
        <v/>
      </c>
      <c r="E117" s="22" t="str">
        <f t="shared" si="5"/>
        <v/>
      </c>
      <c r="F117" s="56" t="str">
        <f>IF(AMS!I137="","",AMS!I137)</f>
        <v/>
      </c>
      <c r="G117" s="56" t="str">
        <f>IF(AMS!J137="","",AMS!J137)</f>
        <v/>
      </c>
      <c r="H117" s="22" t="str">
        <f t="array" ref="H117">IF(A117&lt;&gt;" ",IFERROR(INDEX(Summary!$G$3:$G$1000,SMALL((Summary!$G$3:$G$1000="")/0.1%+ROW($3:$1000),ROW()-2)-2)&amp;"",""),"")</f>
        <v/>
      </c>
      <c r="I117" s="22" t="str">
        <f t="shared" si="6"/>
        <v/>
      </c>
      <c r="J117" s="22" t="str">
        <f t="shared" si="7"/>
        <v/>
      </c>
    </row>
    <row r="118" spans="1:10">
      <c r="A118" s="56" t="str">
        <f>IF(AMS!H138="","",AMS!H138)</f>
        <v/>
      </c>
      <c r="B118" s="22" t="str">
        <f t="shared" si="4"/>
        <v/>
      </c>
      <c r="C118" s="22" t="str">
        <f t="array" ref="C118">IFERROR(INDEX(Summary!$I$3:$I$1000,SMALL((Summary!$I$3:$I$1000="")/0.1%+ROW($3:$1000),ROW()-2)-2)&amp;"","")</f>
        <v/>
      </c>
      <c r="D118" s="22" t="str">
        <v/>
      </c>
      <c r="E118" s="22" t="str">
        <f t="shared" si="5"/>
        <v/>
      </c>
      <c r="F118" s="56" t="str">
        <f>IF(AMS!I138="","",AMS!I138)</f>
        <v/>
      </c>
      <c r="G118" s="56" t="str">
        <f>IF(AMS!J138="","",AMS!J138)</f>
        <v/>
      </c>
      <c r="H118" s="22" t="str">
        <f t="array" ref="H118">IF(A118&lt;&gt;" ",IFERROR(INDEX(Summary!$G$3:$G$1000,SMALL((Summary!$G$3:$G$1000="")/0.1%+ROW($3:$1000),ROW()-2)-2)&amp;"",""),"")</f>
        <v/>
      </c>
      <c r="I118" s="22" t="str">
        <f t="shared" si="6"/>
        <v/>
      </c>
      <c r="J118" s="22" t="str">
        <f t="shared" si="7"/>
        <v/>
      </c>
    </row>
    <row r="119" spans="1:10">
      <c r="A119" s="56" t="str">
        <f>IF(AMS!H139="","",AMS!H139)</f>
        <v/>
      </c>
      <c r="B119" s="22" t="str">
        <f t="shared" si="4"/>
        <v/>
      </c>
      <c r="C119" s="22" t="str">
        <f t="array" ref="C119">IFERROR(INDEX(Summary!$I$3:$I$1000,SMALL((Summary!$I$3:$I$1000="")/0.1%+ROW($3:$1000),ROW()-2)-2)&amp;"","")</f>
        <v/>
      </c>
      <c r="D119" s="22" t="str">
        <v/>
      </c>
      <c r="E119" s="22" t="str">
        <f t="shared" si="5"/>
        <v/>
      </c>
      <c r="F119" s="56" t="str">
        <f>IF(AMS!I139="","",AMS!I139)</f>
        <v/>
      </c>
      <c r="G119" s="56" t="str">
        <f>IF(AMS!J139="","",AMS!J139)</f>
        <v/>
      </c>
      <c r="H119" s="22" t="str">
        <f t="array" ref="H119">IF(A119&lt;&gt;" ",IFERROR(INDEX(Summary!$G$3:$G$1000,SMALL((Summary!$G$3:$G$1000="")/0.1%+ROW($3:$1000),ROW()-2)-2)&amp;"",""),"")</f>
        <v/>
      </c>
      <c r="I119" s="22" t="str">
        <f t="shared" si="6"/>
        <v/>
      </c>
      <c r="J119" s="22" t="str">
        <f t="shared" si="7"/>
        <v/>
      </c>
    </row>
    <row r="120" spans="1:10">
      <c r="A120" s="56" t="str">
        <f>IF(AMS!H140="","",AMS!H140)</f>
        <v/>
      </c>
      <c r="B120" s="22" t="str">
        <f t="shared" si="4"/>
        <v/>
      </c>
      <c r="C120" s="22" t="str">
        <f t="array" ref="C120">IFERROR(INDEX(Summary!$I$3:$I$1000,SMALL((Summary!$I$3:$I$1000="")/0.1%+ROW($3:$1000),ROW()-2)-2)&amp;"","")</f>
        <v/>
      </c>
      <c r="D120" s="22" t="str">
        <v/>
      </c>
      <c r="E120" s="22" t="str">
        <f t="shared" si="5"/>
        <v/>
      </c>
      <c r="F120" s="56" t="str">
        <f>IF(AMS!I140="","",AMS!I140)</f>
        <v/>
      </c>
      <c r="G120" s="56" t="str">
        <f>IF(AMS!J140="","",AMS!J140)</f>
        <v/>
      </c>
      <c r="H120" s="22" t="str">
        <f t="array" ref="H120">IF(A120&lt;&gt;" ",IFERROR(INDEX(Summary!$G$3:$G$1000,SMALL((Summary!$G$3:$G$1000="")/0.1%+ROW($3:$1000),ROW()-2)-2)&amp;"",""),"")</f>
        <v/>
      </c>
      <c r="I120" s="22" t="str">
        <f t="shared" si="6"/>
        <v/>
      </c>
      <c r="J120" s="22" t="str">
        <f t="shared" si="7"/>
        <v/>
      </c>
    </row>
    <row r="121" spans="1:10">
      <c r="A121" s="56" t="str">
        <f>IF(AMS!H141="","",AMS!H141)</f>
        <v/>
      </c>
      <c r="B121" s="22" t="str">
        <f t="shared" si="4"/>
        <v/>
      </c>
      <c r="C121" s="22" t="str">
        <f t="array" ref="C121">IFERROR(INDEX(Summary!$I$3:$I$1000,SMALL((Summary!$I$3:$I$1000="")/0.1%+ROW($3:$1000),ROW()-2)-2)&amp;"","")</f>
        <v/>
      </c>
      <c r="D121" s="22" t="str">
        <v/>
      </c>
      <c r="E121" s="22" t="str">
        <f t="shared" si="5"/>
        <v/>
      </c>
      <c r="F121" s="56" t="str">
        <f>IF(AMS!I141="","",AMS!I141)</f>
        <v/>
      </c>
      <c r="G121" s="56" t="str">
        <f>IF(AMS!J141="","",AMS!J141)</f>
        <v/>
      </c>
      <c r="H121" s="22" t="str">
        <f t="array" ref="H121">IF(A121&lt;&gt;" ",IFERROR(INDEX(Summary!$G$3:$G$1000,SMALL((Summary!$G$3:$G$1000="")/0.1%+ROW($3:$1000),ROW()-2)-2)&amp;"",""),"")</f>
        <v/>
      </c>
      <c r="I121" s="22" t="str">
        <f t="shared" si="6"/>
        <v/>
      </c>
      <c r="J121" s="22" t="str">
        <f t="shared" si="7"/>
        <v/>
      </c>
    </row>
    <row r="122" spans="1:10">
      <c r="A122" s="56" t="str">
        <f>IF(AMS!H142="","",AMS!H142)</f>
        <v/>
      </c>
      <c r="B122" s="22" t="str">
        <f t="shared" si="4"/>
        <v/>
      </c>
      <c r="C122" s="22" t="str">
        <f t="array" ref="C122">IFERROR(INDEX(Summary!$I$3:$I$1000,SMALL((Summary!$I$3:$I$1000="")/0.1%+ROW($3:$1000),ROW()-2)-2)&amp;"","")</f>
        <v/>
      </c>
      <c r="D122" s="22" t="str">
        <v/>
      </c>
      <c r="E122" s="22" t="str">
        <f t="shared" si="5"/>
        <v/>
      </c>
      <c r="F122" s="56" t="str">
        <f>IF(AMS!I142="","",AMS!I142)</f>
        <v/>
      </c>
      <c r="G122" s="56" t="str">
        <f>IF(AMS!J142="","",AMS!J142)</f>
        <v/>
      </c>
      <c r="H122" s="22" t="str">
        <f t="array" ref="H122">IF(A122&lt;&gt;" ",IFERROR(INDEX(Summary!$G$3:$G$1000,SMALL((Summary!$G$3:$G$1000="")/0.1%+ROW($3:$1000),ROW()-2)-2)&amp;"",""),"")</f>
        <v/>
      </c>
      <c r="I122" s="22" t="str">
        <f t="shared" si="6"/>
        <v/>
      </c>
      <c r="J122" s="22" t="str">
        <f t="shared" si="7"/>
        <v/>
      </c>
    </row>
    <row r="123" spans="1:10">
      <c r="A123" s="56" t="str">
        <f>IF(AMS!H143="","",AMS!H143)</f>
        <v/>
      </c>
      <c r="B123" s="22" t="str">
        <f t="shared" si="4"/>
        <v/>
      </c>
      <c r="C123" s="22" t="str">
        <f t="array" ref="C123">IFERROR(INDEX(Summary!$I$3:$I$1000,SMALL((Summary!$I$3:$I$1000="")/0.1%+ROW($3:$1000),ROW()-2)-2)&amp;"","")</f>
        <v/>
      </c>
      <c r="D123" s="22" t="str">
        <v/>
      </c>
      <c r="E123" s="22" t="str">
        <f t="shared" si="5"/>
        <v/>
      </c>
      <c r="F123" s="56" t="str">
        <f>IF(AMS!I143="","",AMS!I143)</f>
        <v/>
      </c>
      <c r="G123" s="56" t="str">
        <f>IF(AMS!J143="","",AMS!J143)</f>
        <v/>
      </c>
      <c r="H123" s="22" t="str">
        <f t="array" ref="H123">IF(A123&lt;&gt;" ",IFERROR(INDEX(Summary!$G$3:$G$1000,SMALL((Summary!$G$3:$G$1000="")/0.1%+ROW($3:$1000),ROW()-2)-2)&amp;"",""),"")</f>
        <v/>
      </c>
      <c r="I123" s="22" t="str">
        <f t="shared" si="6"/>
        <v/>
      </c>
      <c r="J123" s="22" t="str">
        <f t="shared" si="7"/>
        <v/>
      </c>
    </row>
    <row r="124" spans="1:10">
      <c r="A124" s="56" t="str">
        <f>IF(AMS!H144="","",AMS!H144)</f>
        <v/>
      </c>
      <c r="B124" s="22" t="str">
        <f t="shared" si="4"/>
        <v/>
      </c>
      <c r="C124" s="22" t="str">
        <f t="array" ref="C124">IFERROR(INDEX(Summary!$I$3:$I$1000,SMALL((Summary!$I$3:$I$1000="")/0.1%+ROW($3:$1000),ROW()-2)-2)&amp;"","")</f>
        <v/>
      </c>
      <c r="D124" s="22" t="str">
        <v/>
      </c>
      <c r="E124" s="22" t="str">
        <f t="shared" si="5"/>
        <v/>
      </c>
      <c r="F124" s="56" t="str">
        <f>IF(AMS!I144="","",AMS!I144)</f>
        <v/>
      </c>
      <c r="G124" s="56" t="str">
        <f>IF(AMS!J144="","",AMS!J144)</f>
        <v/>
      </c>
      <c r="H124" s="22" t="str">
        <f t="array" ref="H124">IF(A124&lt;&gt;" ",IFERROR(INDEX(Summary!$G$3:$G$1000,SMALL((Summary!$G$3:$G$1000="")/0.1%+ROW($3:$1000),ROW()-2)-2)&amp;"",""),"")</f>
        <v/>
      </c>
      <c r="I124" s="22" t="str">
        <f t="shared" si="6"/>
        <v/>
      </c>
      <c r="J124" s="22" t="str">
        <f t="shared" si="7"/>
        <v/>
      </c>
    </row>
    <row r="125" spans="1:10">
      <c r="A125" s="56" t="str">
        <f>IF(AMS!H145="","",AMS!H145)</f>
        <v/>
      </c>
      <c r="B125" s="22" t="str">
        <f t="shared" si="4"/>
        <v/>
      </c>
      <c r="C125" s="22" t="str">
        <f t="array" ref="C125">IFERROR(INDEX(Summary!$I$3:$I$1000,SMALL((Summary!$I$3:$I$1000="")/0.1%+ROW($3:$1000),ROW()-2)-2)&amp;"","")</f>
        <v/>
      </c>
      <c r="D125" s="22" t="str">
        <v/>
      </c>
      <c r="E125" s="22" t="str">
        <f t="shared" si="5"/>
        <v/>
      </c>
      <c r="F125" s="56" t="str">
        <f>IF(AMS!I145="","",AMS!I145)</f>
        <v/>
      </c>
      <c r="G125" s="56" t="str">
        <f>IF(AMS!J145="","",AMS!J145)</f>
        <v/>
      </c>
      <c r="H125" s="22" t="str">
        <f t="array" ref="H125">IF(A125&lt;&gt;" ",IFERROR(INDEX(Summary!$G$3:$G$1000,SMALL((Summary!$G$3:$G$1000="")/0.1%+ROW($3:$1000),ROW()-2)-2)&amp;"",""),"")</f>
        <v/>
      </c>
      <c r="I125" s="22" t="str">
        <f t="shared" si="6"/>
        <v/>
      </c>
      <c r="J125" s="22" t="str">
        <f t="shared" si="7"/>
        <v/>
      </c>
    </row>
    <row r="126" spans="1:10">
      <c r="A126" s="56" t="str">
        <f>IF(AMS!H146="","",AMS!H146)</f>
        <v/>
      </c>
      <c r="B126" s="22" t="str">
        <f t="shared" si="4"/>
        <v/>
      </c>
      <c r="C126" s="22" t="str">
        <f t="array" ref="C126">IFERROR(INDEX(Summary!$I$3:$I$1000,SMALL((Summary!$I$3:$I$1000="")/0.1%+ROW($3:$1000),ROW()-2)-2)&amp;"","")</f>
        <v/>
      </c>
      <c r="D126" s="22" t="str">
        <v/>
      </c>
      <c r="E126" s="22" t="str">
        <f t="shared" si="5"/>
        <v/>
      </c>
      <c r="F126" s="56" t="str">
        <f>IF(AMS!I146="","",AMS!I146)</f>
        <v/>
      </c>
      <c r="G126" s="56" t="str">
        <f>IF(AMS!J146="","",AMS!J146)</f>
        <v/>
      </c>
      <c r="H126" s="22" t="str">
        <f t="array" ref="H126">IF(A126&lt;&gt;" ",IFERROR(INDEX(Summary!$G$3:$G$1000,SMALL((Summary!$G$3:$G$1000="")/0.1%+ROW($3:$1000),ROW()-2)-2)&amp;"",""),"")</f>
        <v/>
      </c>
      <c r="I126" s="22" t="str">
        <f t="shared" si="6"/>
        <v/>
      </c>
      <c r="J126" s="22" t="str">
        <f t="shared" si="7"/>
        <v/>
      </c>
    </row>
    <row r="127" spans="1:10">
      <c r="A127" s="56" t="str">
        <f>IF(AMS!H147="","",AMS!H147)</f>
        <v/>
      </c>
      <c r="B127" s="22" t="str">
        <f t="shared" si="4"/>
        <v/>
      </c>
      <c r="C127" s="22" t="str">
        <f t="array" ref="C127">IFERROR(INDEX(Summary!$I$3:$I$1000,SMALL((Summary!$I$3:$I$1000="")/0.1%+ROW($3:$1000),ROW()-2)-2)&amp;"","")</f>
        <v/>
      </c>
      <c r="D127" s="22" t="str">
        <v/>
      </c>
      <c r="E127" s="22" t="str">
        <f t="shared" si="5"/>
        <v/>
      </c>
      <c r="F127" s="56" t="str">
        <f>IF(AMS!I147="","",AMS!I147)</f>
        <v/>
      </c>
      <c r="G127" s="56" t="str">
        <f>IF(AMS!J147="","",AMS!J147)</f>
        <v/>
      </c>
      <c r="H127" s="22" t="str">
        <f t="array" ref="H127">IF(A127&lt;&gt;" ",IFERROR(INDEX(Summary!$G$3:$G$1000,SMALL((Summary!$G$3:$G$1000="")/0.1%+ROW($3:$1000),ROW()-2)-2)&amp;"",""),"")</f>
        <v/>
      </c>
      <c r="I127" s="22" t="str">
        <f t="shared" si="6"/>
        <v/>
      </c>
      <c r="J127" s="22" t="str">
        <f t="shared" si="7"/>
        <v/>
      </c>
    </row>
    <row r="128" spans="1:10">
      <c r="A128" s="56" t="str">
        <f>IF(AMS!H148="","",AMS!H148)</f>
        <v/>
      </c>
      <c r="B128" s="22" t="str">
        <f t="shared" si="4"/>
        <v/>
      </c>
      <c r="C128" s="22" t="str">
        <f t="array" ref="C128">IFERROR(INDEX(Summary!$I$3:$I$1000,SMALL((Summary!$I$3:$I$1000="")/0.1%+ROW($3:$1000),ROW()-2)-2)&amp;"","")</f>
        <v/>
      </c>
      <c r="D128" s="22" t="str">
        <v/>
      </c>
      <c r="E128" s="22" t="str">
        <f t="shared" si="5"/>
        <v/>
      </c>
      <c r="F128" s="56" t="str">
        <f>IF(AMS!I148="","",AMS!I148)</f>
        <v/>
      </c>
      <c r="G128" s="56" t="str">
        <f>IF(AMS!J148="","",AMS!J148)</f>
        <v/>
      </c>
      <c r="H128" s="22" t="str">
        <f t="array" ref="H128">IF(A128&lt;&gt;" ",IFERROR(INDEX(Summary!$G$3:$G$1000,SMALL((Summary!$G$3:$G$1000="")/0.1%+ROW($3:$1000),ROW()-2)-2)&amp;"",""),"")</f>
        <v/>
      </c>
      <c r="I128" s="22" t="str">
        <f t="shared" si="6"/>
        <v/>
      </c>
      <c r="J128" s="22" t="str">
        <f t="shared" si="7"/>
        <v/>
      </c>
    </row>
    <row r="129" spans="1:10">
      <c r="A129" s="56" t="str">
        <f>IF(AMS!H149="","",AMS!H149)</f>
        <v/>
      </c>
      <c r="B129" s="22" t="str">
        <f t="shared" si="4"/>
        <v/>
      </c>
      <c r="C129" s="22" t="str">
        <f t="array" ref="C129">IFERROR(INDEX(Summary!$I$3:$I$1000,SMALL((Summary!$I$3:$I$1000="")/0.1%+ROW($3:$1000),ROW()-2)-2)&amp;"","")</f>
        <v/>
      </c>
      <c r="D129" s="22" t="str">
        <v/>
      </c>
      <c r="E129" s="22" t="str">
        <f t="shared" si="5"/>
        <v/>
      </c>
      <c r="F129" s="56" t="str">
        <f>IF(AMS!I149="","",AMS!I149)</f>
        <v/>
      </c>
      <c r="G129" s="56" t="str">
        <f>IF(AMS!J149="","",AMS!J149)</f>
        <v/>
      </c>
      <c r="H129" s="22" t="str">
        <f t="array" ref="H129">IF(A129&lt;&gt;" ",IFERROR(INDEX(Summary!$G$3:$G$1000,SMALL((Summary!$G$3:$G$1000="")/0.1%+ROW($3:$1000),ROW()-2)-2)&amp;"",""),"")</f>
        <v/>
      </c>
      <c r="I129" s="22" t="str">
        <f t="shared" si="6"/>
        <v/>
      </c>
      <c r="J129" s="22" t="str">
        <f t="shared" si="7"/>
        <v/>
      </c>
    </row>
    <row r="130" spans="1:10">
      <c r="A130" s="56" t="str">
        <f>IF(AMS!H150="","",AMS!H150)</f>
        <v/>
      </c>
      <c r="B130" s="22" t="str">
        <f t="shared" si="4"/>
        <v/>
      </c>
      <c r="C130" s="22" t="str">
        <f t="array" ref="C130">IFERROR(INDEX(Summary!$I$3:$I$1000,SMALL((Summary!$I$3:$I$1000="")/0.1%+ROW($3:$1000),ROW()-2)-2)&amp;"","")</f>
        <v/>
      </c>
      <c r="D130" s="22" t="str">
        <v/>
      </c>
      <c r="E130" s="22" t="str">
        <f t="shared" si="5"/>
        <v/>
      </c>
      <c r="F130" s="56" t="str">
        <f>IF(AMS!I150="","",AMS!I150)</f>
        <v/>
      </c>
      <c r="G130" s="56" t="str">
        <f>IF(AMS!J150="","",AMS!J150)</f>
        <v/>
      </c>
      <c r="H130" s="22" t="str">
        <f t="array" ref="H130">IF(A130&lt;&gt;" ",IFERROR(INDEX(Summary!$G$3:$G$1000,SMALL((Summary!$G$3:$G$1000="")/0.1%+ROW($3:$1000),ROW()-2)-2)&amp;"",""),"")</f>
        <v/>
      </c>
      <c r="I130" s="22" t="str">
        <f t="shared" si="6"/>
        <v/>
      </c>
      <c r="J130" s="22" t="str">
        <f t="shared" si="7"/>
        <v/>
      </c>
    </row>
    <row r="131" spans="1:10">
      <c r="A131" s="56" t="str">
        <f>IF(AMS!H151="","",AMS!H151)</f>
        <v/>
      </c>
      <c r="B131" s="22" t="str">
        <f t="shared" ref="B131:B194" si="8">IF(A131&lt;&gt;"",IFERROR(IF(SEARCH(".",A131),LEFT(SUBSTITUTE(A131,".",""),6)),LEFT(SUBSTITUTE(SUBSTITUTE(TRIM(A131)," ","")," ",""),6)),"")</f>
        <v/>
      </c>
      <c r="C131" s="22" t="str">
        <f t="array" ref="C131">IFERROR(INDEX(Summary!$I$3:$I$1000,SMALL((Summary!$I$3:$I$1000="")/0.1%+ROW($3:$1000),ROW()-2)-2)&amp;"","")</f>
        <v/>
      </c>
      <c r="D131" s="22" t="str">
        <v/>
      </c>
      <c r="E131" s="22" t="str">
        <f t="shared" ref="E131:E194" si="9">LEFT(D131,6)</f>
        <v/>
      </c>
      <c r="F131" s="56" t="str">
        <f>IF(AMS!I151="","",AMS!I151)</f>
        <v/>
      </c>
      <c r="G131" s="56" t="str">
        <f>IF(AMS!J151="","",AMS!J151)</f>
        <v/>
      </c>
      <c r="H131" s="22" t="str">
        <f t="array" ref="H131">IF(A131&lt;&gt;" ",IFERROR(INDEX(Summary!$G$3:$G$1000,SMALL((Summary!$G$3:$G$1000="")/0.1%+ROW($3:$1000),ROW()-2)-2)&amp;"",""),"")</f>
        <v/>
      </c>
      <c r="I131" s="22" t="str">
        <f t="shared" ref="I131:I194" si="10">B131&amp;F131</f>
        <v/>
      </c>
      <c r="J131" s="22" t="str">
        <f t="shared" ref="J131:J194" si="11">IF(D131="","",RIGHT(D131,LEN(D131)-6))</f>
        <v/>
      </c>
    </row>
    <row r="132" spans="1:10">
      <c r="A132" s="56" t="str">
        <f>IF(AMS!H152="","",AMS!H152)</f>
        <v/>
      </c>
      <c r="B132" s="22" t="str">
        <f t="shared" si="8"/>
        <v/>
      </c>
      <c r="C132" s="22" t="str">
        <f t="array" ref="C132">IFERROR(INDEX(Summary!$I$3:$I$1000,SMALL((Summary!$I$3:$I$1000="")/0.1%+ROW($3:$1000),ROW()-2)-2)&amp;"","")</f>
        <v/>
      </c>
      <c r="D132" s="22" t="str">
        <v/>
      </c>
      <c r="E132" s="22" t="str">
        <f t="shared" si="9"/>
        <v/>
      </c>
      <c r="F132" s="56" t="str">
        <f>IF(AMS!I152="","",AMS!I152)</f>
        <v/>
      </c>
      <c r="G132" s="56" t="str">
        <f>IF(AMS!J152="","",AMS!J152)</f>
        <v/>
      </c>
      <c r="H132" s="22" t="str">
        <f t="array" ref="H132">IF(A132&lt;&gt;" ",IFERROR(INDEX(Summary!$G$3:$G$1000,SMALL((Summary!$G$3:$G$1000="")/0.1%+ROW($3:$1000),ROW()-2)-2)&amp;"",""),"")</f>
        <v/>
      </c>
      <c r="I132" s="22" t="str">
        <f t="shared" si="10"/>
        <v/>
      </c>
      <c r="J132" s="22" t="str">
        <f t="shared" si="11"/>
        <v/>
      </c>
    </row>
    <row r="133" spans="1:10">
      <c r="A133" s="56" t="str">
        <f>IF(AMS!H153="","",AMS!H153)</f>
        <v/>
      </c>
      <c r="B133" s="22" t="str">
        <f t="shared" si="8"/>
        <v/>
      </c>
      <c r="C133" s="22" t="str">
        <f t="array" ref="C133">IFERROR(INDEX(Summary!$I$3:$I$1000,SMALL((Summary!$I$3:$I$1000="")/0.1%+ROW($3:$1000),ROW()-2)-2)&amp;"","")</f>
        <v/>
      </c>
      <c r="D133" s="22" t="str">
        <v/>
      </c>
      <c r="E133" s="22" t="str">
        <f t="shared" si="9"/>
        <v/>
      </c>
      <c r="F133" s="56" t="str">
        <f>IF(AMS!I153="","",AMS!I153)</f>
        <v/>
      </c>
      <c r="G133" s="56" t="str">
        <f>IF(AMS!J153="","",AMS!J153)</f>
        <v/>
      </c>
      <c r="H133" s="22" t="str">
        <f t="array" ref="H133">IF(A133&lt;&gt;" ",IFERROR(INDEX(Summary!$G$3:$G$1000,SMALL((Summary!$G$3:$G$1000="")/0.1%+ROW($3:$1000),ROW()-2)-2)&amp;"",""),"")</f>
        <v/>
      </c>
      <c r="I133" s="22" t="str">
        <f t="shared" si="10"/>
        <v/>
      </c>
      <c r="J133" s="22" t="str">
        <f t="shared" si="11"/>
        <v/>
      </c>
    </row>
    <row r="134" spans="1:10">
      <c r="A134" s="56" t="str">
        <f>IF(AMS!H154="","",AMS!H154)</f>
        <v/>
      </c>
      <c r="B134" s="22" t="str">
        <f t="shared" si="8"/>
        <v/>
      </c>
      <c r="C134" s="22" t="str">
        <f t="array" ref="C134">IFERROR(INDEX(Summary!$I$3:$I$1000,SMALL((Summary!$I$3:$I$1000="")/0.1%+ROW($3:$1000),ROW()-2)-2)&amp;"","")</f>
        <v/>
      </c>
      <c r="D134" s="22" t="str">
        <v/>
      </c>
      <c r="E134" s="22" t="str">
        <f t="shared" si="9"/>
        <v/>
      </c>
      <c r="F134" s="56" t="str">
        <f>IF(AMS!I154="","",AMS!I154)</f>
        <v/>
      </c>
      <c r="G134" s="56" t="str">
        <f>IF(AMS!J154="","",AMS!J154)</f>
        <v/>
      </c>
      <c r="H134" s="22" t="str">
        <f t="array" ref="H134">IF(A134&lt;&gt;" ",IFERROR(INDEX(Summary!$G$3:$G$1000,SMALL((Summary!$G$3:$G$1000="")/0.1%+ROW($3:$1000),ROW()-2)-2)&amp;"",""),"")</f>
        <v/>
      </c>
      <c r="I134" s="22" t="str">
        <f t="shared" si="10"/>
        <v/>
      </c>
      <c r="J134" s="22" t="str">
        <f t="shared" si="11"/>
        <v/>
      </c>
    </row>
    <row r="135" spans="1:10">
      <c r="A135" s="56" t="str">
        <f>IF(AMS!H155="","",AMS!H155)</f>
        <v/>
      </c>
      <c r="B135" s="22" t="str">
        <f t="shared" si="8"/>
        <v/>
      </c>
      <c r="C135" s="22" t="str">
        <f t="array" ref="C135">IFERROR(INDEX(Summary!$I$3:$I$1000,SMALL((Summary!$I$3:$I$1000="")/0.1%+ROW($3:$1000),ROW()-2)-2)&amp;"","")</f>
        <v/>
      </c>
      <c r="D135" s="22" t="str">
        <v/>
      </c>
      <c r="E135" s="22" t="str">
        <f t="shared" si="9"/>
        <v/>
      </c>
      <c r="F135" s="56" t="str">
        <f>IF(AMS!I155="","",AMS!I155)</f>
        <v/>
      </c>
      <c r="G135" s="56" t="str">
        <f>IF(AMS!J155="","",AMS!J155)</f>
        <v/>
      </c>
      <c r="H135" s="22" t="str">
        <f t="array" ref="H135">IF(A135&lt;&gt;" ",IFERROR(INDEX(Summary!$G$3:$G$1000,SMALL((Summary!$G$3:$G$1000="")/0.1%+ROW($3:$1000),ROW()-2)-2)&amp;"",""),"")</f>
        <v/>
      </c>
      <c r="I135" s="22" t="str">
        <f t="shared" si="10"/>
        <v/>
      </c>
      <c r="J135" s="22" t="str">
        <f t="shared" si="11"/>
        <v/>
      </c>
    </row>
    <row r="136" spans="1:10">
      <c r="A136" s="56" t="str">
        <f>IF(AMS!H156="","",AMS!H156)</f>
        <v/>
      </c>
      <c r="B136" s="22" t="str">
        <f t="shared" si="8"/>
        <v/>
      </c>
      <c r="C136" s="22" t="str">
        <f t="array" ref="C136">IFERROR(INDEX(Summary!$I$3:$I$1000,SMALL((Summary!$I$3:$I$1000="")/0.1%+ROW($3:$1000),ROW()-2)-2)&amp;"","")</f>
        <v/>
      </c>
      <c r="D136" s="22" t="str">
        <v/>
      </c>
      <c r="E136" s="22" t="str">
        <f t="shared" si="9"/>
        <v/>
      </c>
      <c r="F136" s="56" t="str">
        <f>IF(AMS!I156="","",AMS!I156)</f>
        <v/>
      </c>
      <c r="G136" s="56" t="str">
        <f>IF(AMS!J156="","",AMS!J156)</f>
        <v/>
      </c>
      <c r="H136" s="22" t="str">
        <f t="array" ref="H136">IF(A136&lt;&gt;" ",IFERROR(INDEX(Summary!$G$3:$G$1000,SMALL((Summary!$G$3:$G$1000="")/0.1%+ROW($3:$1000),ROW()-2)-2)&amp;"",""),"")</f>
        <v/>
      </c>
      <c r="I136" s="22" t="str">
        <f t="shared" si="10"/>
        <v/>
      </c>
      <c r="J136" s="22" t="str">
        <f t="shared" si="11"/>
        <v/>
      </c>
    </row>
    <row r="137" spans="1:10">
      <c r="A137" s="56" t="str">
        <f>IF(AMS!H157="","",AMS!H157)</f>
        <v/>
      </c>
      <c r="B137" s="22" t="str">
        <f t="shared" si="8"/>
        <v/>
      </c>
      <c r="C137" s="22" t="str">
        <f t="array" ref="C137">IFERROR(INDEX(Summary!$I$3:$I$1000,SMALL((Summary!$I$3:$I$1000="")/0.1%+ROW($3:$1000),ROW()-2)-2)&amp;"","")</f>
        <v/>
      </c>
      <c r="D137" s="22" t="str">
        <v/>
      </c>
      <c r="E137" s="22" t="str">
        <f t="shared" si="9"/>
        <v/>
      </c>
      <c r="F137" s="56" t="str">
        <f>IF(AMS!I157="","",AMS!I157)</f>
        <v/>
      </c>
      <c r="G137" s="56" t="str">
        <f>IF(AMS!J157="","",AMS!J157)</f>
        <v/>
      </c>
      <c r="H137" s="22" t="str">
        <f t="array" ref="H137">IF(A137&lt;&gt;" ",IFERROR(INDEX(Summary!$G$3:$G$1000,SMALL((Summary!$G$3:$G$1000="")/0.1%+ROW($3:$1000),ROW()-2)-2)&amp;"",""),"")</f>
        <v/>
      </c>
      <c r="I137" s="22" t="str">
        <f t="shared" si="10"/>
        <v/>
      </c>
      <c r="J137" s="22" t="str">
        <f t="shared" si="11"/>
        <v/>
      </c>
    </row>
    <row r="138" spans="1:10">
      <c r="A138" s="56" t="str">
        <f>IF(AMS!H158="","",AMS!H158)</f>
        <v/>
      </c>
      <c r="B138" s="22" t="str">
        <f t="shared" si="8"/>
        <v/>
      </c>
      <c r="C138" s="22" t="str">
        <f t="array" ref="C138">IFERROR(INDEX(Summary!$I$3:$I$1000,SMALL((Summary!$I$3:$I$1000="")/0.1%+ROW($3:$1000),ROW()-2)-2)&amp;"","")</f>
        <v/>
      </c>
      <c r="D138" s="22" t="str">
        <v/>
      </c>
      <c r="E138" s="22" t="str">
        <f t="shared" si="9"/>
        <v/>
      </c>
      <c r="F138" s="56" t="str">
        <f>IF(AMS!I158="","",AMS!I158)</f>
        <v/>
      </c>
      <c r="G138" s="56" t="str">
        <f>IF(AMS!J158="","",AMS!J158)</f>
        <v/>
      </c>
      <c r="H138" s="22" t="str">
        <f t="array" ref="H138">IF(A138&lt;&gt;" ",IFERROR(INDEX(Summary!$G$3:$G$1000,SMALL((Summary!$G$3:$G$1000="")/0.1%+ROW($3:$1000),ROW()-2)-2)&amp;"",""),"")</f>
        <v/>
      </c>
      <c r="I138" s="22" t="str">
        <f t="shared" si="10"/>
        <v/>
      </c>
      <c r="J138" s="22" t="str">
        <f t="shared" si="11"/>
        <v/>
      </c>
    </row>
    <row r="139" spans="1:10">
      <c r="A139" s="56" t="str">
        <f>IF(AMS!H159="","",AMS!H159)</f>
        <v/>
      </c>
      <c r="B139" s="22" t="str">
        <f t="shared" si="8"/>
        <v/>
      </c>
      <c r="C139" s="22" t="str">
        <f t="array" ref="C139">IFERROR(INDEX(Summary!$I$3:$I$1000,SMALL((Summary!$I$3:$I$1000="")/0.1%+ROW($3:$1000),ROW()-2)-2)&amp;"","")</f>
        <v/>
      </c>
      <c r="D139" s="22" t="str">
        <v/>
      </c>
      <c r="E139" s="22" t="str">
        <f t="shared" si="9"/>
        <v/>
      </c>
      <c r="F139" s="56" t="str">
        <f>IF(AMS!I159="","",AMS!I159)</f>
        <v/>
      </c>
      <c r="G139" s="56" t="str">
        <f>IF(AMS!J159="","",AMS!J159)</f>
        <v/>
      </c>
      <c r="H139" s="22" t="str">
        <f t="array" ref="H139">IF(A139&lt;&gt;" ",IFERROR(INDEX(Summary!$G$3:$G$1000,SMALL((Summary!$G$3:$G$1000="")/0.1%+ROW($3:$1000),ROW()-2)-2)&amp;"",""),"")</f>
        <v/>
      </c>
      <c r="I139" s="22" t="str">
        <f t="shared" si="10"/>
        <v/>
      </c>
      <c r="J139" s="22" t="str">
        <f t="shared" si="11"/>
        <v/>
      </c>
    </row>
    <row r="140" spans="1:10">
      <c r="A140" s="56" t="str">
        <f>IF(AMS!H160="","",AMS!H160)</f>
        <v/>
      </c>
      <c r="B140" s="22" t="str">
        <f t="shared" si="8"/>
        <v/>
      </c>
      <c r="C140" s="22" t="str">
        <f t="array" ref="C140">IFERROR(INDEX(Summary!$I$3:$I$1000,SMALL((Summary!$I$3:$I$1000="")/0.1%+ROW($3:$1000),ROW()-2)-2)&amp;"","")</f>
        <v/>
      </c>
      <c r="D140" s="22" t="str">
        <v/>
      </c>
      <c r="E140" s="22" t="str">
        <f t="shared" si="9"/>
        <v/>
      </c>
      <c r="F140" s="56" t="str">
        <f>IF(AMS!I160="","",AMS!I160)</f>
        <v/>
      </c>
      <c r="G140" s="56" t="str">
        <f>IF(AMS!J160="","",AMS!J160)</f>
        <v/>
      </c>
      <c r="H140" s="22" t="str">
        <f t="array" ref="H140">IF(A140&lt;&gt;" ",IFERROR(INDEX(Summary!$G$3:$G$1000,SMALL((Summary!$G$3:$G$1000="")/0.1%+ROW($3:$1000),ROW()-2)-2)&amp;"",""),"")</f>
        <v/>
      </c>
      <c r="I140" s="22" t="str">
        <f t="shared" si="10"/>
        <v/>
      </c>
      <c r="J140" s="22" t="str">
        <f t="shared" si="11"/>
        <v/>
      </c>
    </row>
    <row r="141" spans="1:10">
      <c r="A141" s="56" t="str">
        <f>IF(AMS!H161="","",AMS!H161)</f>
        <v/>
      </c>
      <c r="B141" s="22" t="str">
        <f t="shared" si="8"/>
        <v/>
      </c>
      <c r="C141" s="22" t="str">
        <f t="array" ref="C141">IFERROR(INDEX(Summary!$I$3:$I$1000,SMALL((Summary!$I$3:$I$1000="")/0.1%+ROW($3:$1000),ROW()-2)-2)&amp;"","")</f>
        <v/>
      </c>
      <c r="D141" s="22" t="str">
        <v/>
      </c>
      <c r="E141" s="22" t="str">
        <f t="shared" si="9"/>
        <v/>
      </c>
      <c r="F141" s="56" t="str">
        <f>IF(AMS!I161="","",AMS!I161)</f>
        <v/>
      </c>
      <c r="G141" s="56" t="str">
        <f>IF(AMS!J161="","",AMS!J161)</f>
        <v/>
      </c>
      <c r="H141" s="22" t="str">
        <f t="array" ref="H141">IF(A141&lt;&gt;" ",IFERROR(INDEX(Summary!$G$3:$G$1000,SMALL((Summary!$G$3:$G$1000="")/0.1%+ROW($3:$1000),ROW()-2)-2)&amp;"",""),"")</f>
        <v/>
      </c>
      <c r="I141" s="22" t="str">
        <f t="shared" si="10"/>
        <v/>
      </c>
      <c r="J141" s="22" t="str">
        <f t="shared" si="11"/>
        <v/>
      </c>
    </row>
    <row r="142" spans="1:10">
      <c r="A142" s="56" t="str">
        <f>IF(AMS!H162="","",AMS!H162)</f>
        <v/>
      </c>
      <c r="B142" s="22" t="str">
        <f t="shared" si="8"/>
        <v/>
      </c>
      <c r="C142" s="22" t="str">
        <f t="array" ref="C142">IFERROR(INDEX(Summary!$I$3:$I$1000,SMALL((Summary!$I$3:$I$1000="")/0.1%+ROW($3:$1000),ROW()-2)-2)&amp;"","")</f>
        <v/>
      </c>
      <c r="D142" s="22" t="str">
        <v/>
      </c>
      <c r="E142" s="22" t="str">
        <f t="shared" si="9"/>
        <v/>
      </c>
      <c r="F142" s="56" t="str">
        <f>IF(AMS!I162="","",AMS!I162)</f>
        <v/>
      </c>
      <c r="G142" s="56" t="str">
        <f>IF(AMS!J162="","",AMS!J162)</f>
        <v/>
      </c>
      <c r="H142" s="22" t="str">
        <f t="array" ref="H142">IF(A142&lt;&gt;" ",IFERROR(INDEX(Summary!$G$3:$G$1000,SMALL((Summary!$G$3:$G$1000="")/0.1%+ROW($3:$1000),ROW()-2)-2)&amp;"",""),"")</f>
        <v/>
      </c>
      <c r="I142" s="22" t="str">
        <f t="shared" si="10"/>
        <v/>
      </c>
      <c r="J142" s="22" t="str">
        <f t="shared" si="11"/>
        <v/>
      </c>
    </row>
    <row r="143" spans="1:10">
      <c r="A143" s="56" t="str">
        <f>IF(AMS!H163="","",AMS!H163)</f>
        <v/>
      </c>
      <c r="B143" s="22" t="str">
        <f t="shared" si="8"/>
        <v/>
      </c>
      <c r="C143" s="22" t="str">
        <f t="array" ref="C143">IFERROR(INDEX(Summary!$I$3:$I$1000,SMALL((Summary!$I$3:$I$1000="")/0.1%+ROW($3:$1000),ROW()-2)-2)&amp;"","")</f>
        <v/>
      </c>
      <c r="D143" s="22" t="str">
        <v/>
      </c>
      <c r="E143" s="22" t="str">
        <f t="shared" si="9"/>
        <v/>
      </c>
      <c r="F143" s="56" t="str">
        <f>IF(AMS!I163="","",AMS!I163)</f>
        <v/>
      </c>
      <c r="G143" s="56" t="str">
        <f>IF(AMS!J163="","",AMS!J163)</f>
        <v/>
      </c>
      <c r="H143" s="22" t="str">
        <f t="array" ref="H143">IF(A143&lt;&gt;" ",IFERROR(INDEX(Summary!$G$3:$G$1000,SMALL((Summary!$G$3:$G$1000="")/0.1%+ROW($3:$1000),ROW()-2)-2)&amp;"",""),"")</f>
        <v/>
      </c>
      <c r="I143" s="22" t="str">
        <f t="shared" si="10"/>
        <v/>
      </c>
      <c r="J143" s="22" t="str">
        <f t="shared" si="11"/>
        <v/>
      </c>
    </row>
    <row r="144" spans="1:10">
      <c r="A144" s="56" t="str">
        <f>IF(AMS!H164="","",AMS!H164)</f>
        <v/>
      </c>
      <c r="B144" s="22" t="str">
        <f t="shared" si="8"/>
        <v/>
      </c>
      <c r="C144" s="22" t="str">
        <f t="array" ref="C144">IFERROR(INDEX(Summary!$I$3:$I$1000,SMALL((Summary!$I$3:$I$1000="")/0.1%+ROW($3:$1000),ROW()-2)-2)&amp;"","")</f>
        <v/>
      </c>
      <c r="D144" s="22" t="str">
        <v/>
      </c>
      <c r="E144" s="22" t="str">
        <f t="shared" si="9"/>
        <v/>
      </c>
      <c r="F144" s="56" t="str">
        <f>IF(AMS!I164="","",AMS!I164)</f>
        <v/>
      </c>
      <c r="G144" s="56" t="str">
        <f>IF(AMS!J164="","",AMS!J164)</f>
        <v/>
      </c>
      <c r="H144" s="22" t="str">
        <f t="array" ref="H144">IF(A144&lt;&gt;" ",IFERROR(INDEX(Summary!$G$3:$G$1000,SMALL((Summary!$G$3:$G$1000="")/0.1%+ROW($3:$1000),ROW()-2)-2)&amp;"",""),"")</f>
        <v/>
      </c>
      <c r="I144" s="22" t="str">
        <f t="shared" si="10"/>
        <v/>
      </c>
      <c r="J144" s="22" t="str">
        <f t="shared" si="11"/>
        <v/>
      </c>
    </row>
    <row r="145" spans="1:10">
      <c r="A145" s="56" t="str">
        <f>IF(AMS!H165="","",AMS!H165)</f>
        <v/>
      </c>
      <c r="B145" s="22" t="str">
        <f t="shared" si="8"/>
        <v/>
      </c>
      <c r="C145" s="22" t="str">
        <f t="array" ref="C145">IFERROR(INDEX(Summary!$I$3:$I$1000,SMALL((Summary!$I$3:$I$1000="")/0.1%+ROW($3:$1000),ROW()-2)-2)&amp;"","")</f>
        <v/>
      </c>
      <c r="D145" s="22" t="str">
        <v/>
      </c>
      <c r="E145" s="22" t="str">
        <f t="shared" si="9"/>
        <v/>
      </c>
      <c r="F145" s="56" t="str">
        <f>IF(AMS!I165="","",AMS!I165)</f>
        <v/>
      </c>
      <c r="G145" s="56" t="str">
        <f>IF(AMS!J165="","",AMS!J165)</f>
        <v/>
      </c>
      <c r="H145" s="22" t="str">
        <f t="array" ref="H145">IF(A145&lt;&gt;" ",IFERROR(INDEX(Summary!$G$3:$G$1000,SMALL((Summary!$G$3:$G$1000="")/0.1%+ROW($3:$1000),ROW()-2)-2)&amp;"",""),"")</f>
        <v/>
      </c>
      <c r="I145" s="22" t="str">
        <f t="shared" si="10"/>
        <v/>
      </c>
      <c r="J145" s="22" t="str">
        <f t="shared" si="11"/>
        <v/>
      </c>
    </row>
    <row r="146" spans="1:10">
      <c r="A146" s="56" t="str">
        <f>IF(AMS!H166="","",AMS!H166)</f>
        <v/>
      </c>
      <c r="B146" s="22" t="str">
        <f t="shared" si="8"/>
        <v/>
      </c>
      <c r="C146" s="22" t="str">
        <f t="array" ref="C146">IFERROR(INDEX(Summary!$I$3:$I$1000,SMALL((Summary!$I$3:$I$1000="")/0.1%+ROW($3:$1000),ROW()-2)-2)&amp;"","")</f>
        <v/>
      </c>
      <c r="D146" s="22" t="str">
        <v/>
      </c>
      <c r="E146" s="22" t="str">
        <f t="shared" si="9"/>
        <v/>
      </c>
      <c r="F146" s="56" t="str">
        <f>IF(AMS!I166="","",AMS!I166)</f>
        <v/>
      </c>
      <c r="G146" s="56" t="str">
        <f>IF(AMS!J166="","",AMS!J166)</f>
        <v/>
      </c>
      <c r="H146" s="22" t="str">
        <f t="array" ref="H146">IF(A146&lt;&gt;" ",IFERROR(INDEX(Summary!$G$3:$G$1000,SMALL((Summary!$G$3:$G$1000="")/0.1%+ROW($3:$1000),ROW()-2)-2)&amp;"",""),"")</f>
        <v/>
      </c>
      <c r="I146" s="22" t="str">
        <f t="shared" si="10"/>
        <v/>
      </c>
      <c r="J146" s="22" t="str">
        <f t="shared" si="11"/>
        <v/>
      </c>
    </row>
    <row r="147" spans="1:10">
      <c r="A147" s="56" t="str">
        <f>IF(AMS!H167="","",AMS!H167)</f>
        <v/>
      </c>
      <c r="B147" s="22" t="str">
        <f t="shared" si="8"/>
        <v/>
      </c>
      <c r="C147" s="22" t="str">
        <f t="array" ref="C147">IFERROR(INDEX(Summary!$I$3:$I$1000,SMALL((Summary!$I$3:$I$1000="")/0.1%+ROW($3:$1000),ROW()-2)-2)&amp;"","")</f>
        <v/>
      </c>
      <c r="D147" s="22" t="str">
        <v/>
      </c>
      <c r="E147" s="22" t="str">
        <f t="shared" si="9"/>
        <v/>
      </c>
      <c r="F147" s="56" t="str">
        <f>IF(AMS!I167="","",AMS!I167)</f>
        <v/>
      </c>
      <c r="G147" s="56" t="str">
        <f>IF(AMS!J167="","",AMS!J167)</f>
        <v/>
      </c>
      <c r="H147" s="22" t="str">
        <f t="array" ref="H147">IF(A147&lt;&gt;" ",IFERROR(INDEX(Summary!$G$3:$G$1000,SMALL((Summary!$G$3:$G$1000="")/0.1%+ROW($3:$1000),ROW()-2)-2)&amp;"",""),"")</f>
        <v/>
      </c>
      <c r="I147" s="22" t="str">
        <f t="shared" si="10"/>
        <v/>
      </c>
      <c r="J147" s="22" t="str">
        <f t="shared" si="11"/>
        <v/>
      </c>
    </row>
    <row r="148" spans="1:10">
      <c r="A148" s="56" t="str">
        <f>IF(AMS!H168="","",AMS!H168)</f>
        <v/>
      </c>
      <c r="B148" s="22" t="str">
        <f t="shared" si="8"/>
        <v/>
      </c>
      <c r="C148" s="22" t="str">
        <f t="array" ref="C148">IFERROR(INDEX(Summary!$I$3:$I$1000,SMALL((Summary!$I$3:$I$1000="")/0.1%+ROW($3:$1000),ROW()-2)-2)&amp;"","")</f>
        <v/>
      </c>
      <c r="D148" s="22" t="str">
        <v/>
      </c>
      <c r="E148" s="22" t="str">
        <f t="shared" si="9"/>
        <v/>
      </c>
      <c r="F148" s="56" t="str">
        <f>IF(AMS!I168="","",AMS!I168)</f>
        <v/>
      </c>
      <c r="G148" s="56" t="str">
        <f>IF(AMS!J168="","",AMS!J168)</f>
        <v/>
      </c>
      <c r="H148" s="22" t="str">
        <f t="array" ref="H148">IF(A148&lt;&gt;" ",IFERROR(INDEX(Summary!$G$3:$G$1000,SMALL((Summary!$G$3:$G$1000="")/0.1%+ROW($3:$1000),ROW()-2)-2)&amp;"",""),"")</f>
        <v/>
      </c>
      <c r="I148" s="22" t="str">
        <f t="shared" si="10"/>
        <v/>
      </c>
      <c r="J148" s="22" t="str">
        <f t="shared" si="11"/>
        <v/>
      </c>
    </row>
    <row r="149" spans="1:10">
      <c r="A149" s="56" t="str">
        <f>IF(AMS!H169="","",AMS!H169)</f>
        <v/>
      </c>
      <c r="B149" s="22" t="str">
        <f t="shared" si="8"/>
        <v/>
      </c>
      <c r="C149" s="22" t="str">
        <f t="array" ref="C149">IFERROR(INDEX(Summary!$I$3:$I$1000,SMALL((Summary!$I$3:$I$1000="")/0.1%+ROW($3:$1000),ROW()-2)-2)&amp;"","")</f>
        <v/>
      </c>
      <c r="D149" s="22" t="str">
        <v/>
      </c>
      <c r="E149" s="22" t="str">
        <f t="shared" si="9"/>
        <v/>
      </c>
      <c r="F149" s="56" t="str">
        <f>IF(AMS!I169="","",AMS!I169)</f>
        <v/>
      </c>
      <c r="G149" s="56" t="str">
        <f>IF(AMS!J169="","",AMS!J169)</f>
        <v/>
      </c>
      <c r="H149" s="22" t="str">
        <f t="array" ref="H149">IF(A149&lt;&gt;" ",IFERROR(INDEX(Summary!$G$3:$G$1000,SMALL((Summary!$G$3:$G$1000="")/0.1%+ROW($3:$1000),ROW()-2)-2)&amp;"",""),"")</f>
        <v/>
      </c>
      <c r="I149" s="22" t="str">
        <f t="shared" si="10"/>
        <v/>
      </c>
      <c r="J149" s="22" t="str">
        <f t="shared" si="11"/>
        <v/>
      </c>
    </row>
    <row r="150" spans="1:10">
      <c r="A150" s="56" t="str">
        <f>IF(AMS!H170="","",AMS!H170)</f>
        <v/>
      </c>
      <c r="B150" s="22" t="str">
        <f t="shared" si="8"/>
        <v/>
      </c>
      <c r="C150" s="22" t="str">
        <f t="array" ref="C150">IFERROR(INDEX(Summary!$I$3:$I$1000,SMALL((Summary!$I$3:$I$1000="")/0.1%+ROW($3:$1000),ROW()-2)-2)&amp;"","")</f>
        <v/>
      </c>
      <c r="D150" s="22" t="str">
        <v/>
      </c>
      <c r="E150" s="22" t="str">
        <f t="shared" si="9"/>
        <v/>
      </c>
      <c r="F150" s="56" t="str">
        <f>IF(AMS!I170="","",AMS!I170)</f>
        <v/>
      </c>
      <c r="G150" s="56" t="str">
        <f>IF(AMS!J170="","",AMS!J170)</f>
        <v/>
      </c>
      <c r="H150" s="22" t="str">
        <f t="array" ref="H150">IF(A150&lt;&gt;" ",IFERROR(INDEX(Summary!$G$3:$G$1000,SMALL((Summary!$G$3:$G$1000="")/0.1%+ROW($3:$1000),ROW()-2)-2)&amp;"",""),"")</f>
        <v/>
      </c>
      <c r="I150" s="22" t="str">
        <f t="shared" si="10"/>
        <v/>
      </c>
      <c r="J150" s="22" t="str">
        <f t="shared" si="11"/>
        <v/>
      </c>
    </row>
    <row r="151" spans="1:10">
      <c r="A151" s="56" t="str">
        <f>IF(AMS!H171="","",AMS!H171)</f>
        <v/>
      </c>
      <c r="B151" s="22" t="str">
        <f t="shared" si="8"/>
        <v/>
      </c>
      <c r="C151" s="22" t="str">
        <f t="array" ref="C151">IFERROR(INDEX(Summary!$I$3:$I$1000,SMALL((Summary!$I$3:$I$1000="")/0.1%+ROW($3:$1000),ROW()-2)-2)&amp;"","")</f>
        <v/>
      </c>
      <c r="D151" s="22" t="str">
        <v/>
      </c>
      <c r="E151" s="22" t="str">
        <f t="shared" si="9"/>
        <v/>
      </c>
      <c r="F151" s="56" t="str">
        <f>IF(AMS!I171="","",AMS!I171)</f>
        <v/>
      </c>
      <c r="G151" s="56" t="str">
        <f>IF(AMS!J171="","",AMS!J171)</f>
        <v/>
      </c>
      <c r="H151" s="22" t="str">
        <f t="array" ref="H151">IF(A151&lt;&gt;" ",IFERROR(INDEX(Summary!$G$3:$G$1000,SMALL((Summary!$G$3:$G$1000="")/0.1%+ROW($3:$1000),ROW()-2)-2)&amp;"",""),"")</f>
        <v/>
      </c>
      <c r="I151" s="22" t="str">
        <f t="shared" si="10"/>
        <v/>
      </c>
      <c r="J151" s="22" t="str">
        <f t="shared" si="11"/>
        <v/>
      </c>
    </row>
    <row r="152" spans="1:10">
      <c r="A152" s="56" t="str">
        <f>IF(AMS!H172="","",AMS!H172)</f>
        <v/>
      </c>
      <c r="B152" s="22" t="str">
        <f t="shared" si="8"/>
        <v/>
      </c>
      <c r="C152" s="22" t="str">
        <f t="array" ref="C152">IFERROR(INDEX(Summary!$I$3:$I$1000,SMALL((Summary!$I$3:$I$1000="")/0.1%+ROW($3:$1000),ROW()-2)-2)&amp;"","")</f>
        <v/>
      </c>
      <c r="D152" s="22" t="str">
        <v/>
      </c>
      <c r="E152" s="22" t="str">
        <f t="shared" si="9"/>
        <v/>
      </c>
      <c r="F152" s="56" t="str">
        <f>IF(AMS!I172="","",AMS!I172)</f>
        <v/>
      </c>
      <c r="G152" s="56" t="str">
        <f>IF(AMS!J172="","",AMS!J172)</f>
        <v/>
      </c>
      <c r="H152" s="22" t="str">
        <f t="array" ref="H152">IF(A152&lt;&gt;" ",IFERROR(INDEX(Summary!$G$3:$G$1000,SMALL((Summary!$G$3:$G$1000="")/0.1%+ROW($3:$1000),ROW()-2)-2)&amp;"",""),"")</f>
        <v/>
      </c>
      <c r="I152" s="22" t="str">
        <f t="shared" si="10"/>
        <v/>
      </c>
      <c r="J152" s="22" t="str">
        <f t="shared" si="11"/>
        <v/>
      </c>
    </row>
    <row r="153" spans="1:10">
      <c r="A153" s="56" t="str">
        <f>IF(AMS!H173="","",AMS!H173)</f>
        <v/>
      </c>
      <c r="B153" s="22" t="str">
        <f t="shared" si="8"/>
        <v/>
      </c>
      <c r="C153" s="22" t="str">
        <f t="array" ref="C153">IFERROR(INDEX(Summary!$I$3:$I$1000,SMALL((Summary!$I$3:$I$1000="")/0.1%+ROW($3:$1000),ROW()-2)-2)&amp;"","")</f>
        <v/>
      </c>
      <c r="D153" s="22" t="str">
        <v/>
      </c>
      <c r="E153" s="22" t="str">
        <f t="shared" si="9"/>
        <v/>
      </c>
      <c r="F153" s="56" t="str">
        <f>IF(AMS!I173="","",AMS!I173)</f>
        <v/>
      </c>
      <c r="G153" s="56" t="str">
        <f>IF(AMS!J173="","",AMS!J173)</f>
        <v/>
      </c>
      <c r="H153" s="22" t="str">
        <f t="array" ref="H153">IF(A153&lt;&gt;" ",IFERROR(INDEX(Summary!$G$3:$G$1000,SMALL((Summary!$G$3:$G$1000="")/0.1%+ROW($3:$1000),ROW()-2)-2)&amp;"",""),"")</f>
        <v/>
      </c>
      <c r="I153" s="22" t="str">
        <f t="shared" si="10"/>
        <v/>
      </c>
      <c r="J153" s="22" t="str">
        <f t="shared" si="11"/>
        <v/>
      </c>
    </row>
    <row r="154" spans="1:10">
      <c r="A154" s="56" t="str">
        <f>IF(AMS!H174="","",AMS!H174)</f>
        <v/>
      </c>
      <c r="B154" s="22" t="str">
        <f t="shared" si="8"/>
        <v/>
      </c>
      <c r="C154" s="22" t="str">
        <f t="array" ref="C154">IFERROR(INDEX(Summary!$I$3:$I$1000,SMALL((Summary!$I$3:$I$1000="")/0.1%+ROW($3:$1000),ROW()-2)-2)&amp;"","")</f>
        <v/>
      </c>
      <c r="D154" s="22" t="str">
        <v/>
      </c>
      <c r="E154" s="22" t="str">
        <f t="shared" si="9"/>
        <v/>
      </c>
      <c r="F154" s="56" t="str">
        <f>IF(AMS!I174="","",AMS!I174)</f>
        <v/>
      </c>
      <c r="G154" s="56" t="str">
        <f>IF(AMS!J174="","",AMS!J174)</f>
        <v/>
      </c>
      <c r="H154" s="22" t="str">
        <f t="array" ref="H154">IF(A154&lt;&gt;" ",IFERROR(INDEX(Summary!$G$3:$G$1000,SMALL((Summary!$G$3:$G$1000="")/0.1%+ROW($3:$1000),ROW()-2)-2)&amp;"",""),"")</f>
        <v/>
      </c>
      <c r="I154" s="22" t="str">
        <f t="shared" si="10"/>
        <v/>
      </c>
      <c r="J154" s="22" t="str">
        <f t="shared" si="11"/>
        <v/>
      </c>
    </row>
    <row r="155" spans="1:10">
      <c r="A155" s="56" t="str">
        <f>IF(AMS!H175="","",AMS!H175)</f>
        <v/>
      </c>
      <c r="B155" s="22" t="str">
        <f t="shared" si="8"/>
        <v/>
      </c>
      <c r="C155" s="22" t="str">
        <f t="array" ref="C155">IFERROR(INDEX(Summary!$I$3:$I$1000,SMALL((Summary!$I$3:$I$1000="")/0.1%+ROW($3:$1000),ROW()-2)-2)&amp;"","")</f>
        <v/>
      </c>
      <c r="D155" s="22" t="str">
        <v/>
      </c>
      <c r="E155" s="22" t="str">
        <f t="shared" si="9"/>
        <v/>
      </c>
      <c r="F155" s="56" t="str">
        <f>IF(AMS!I175="","",AMS!I175)</f>
        <v/>
      </c>
      <c r="G155" s="56" t="str">
        <f>IF(AMS!J175="","",AMS!J175)</f>
        <v/>
      </c>
      <c r="H155" s="22" t="str">
        <f t="array" ref="H155">IF(A155&lt;&gt;" ",IFERROR(INDEX(Summary!$G$3:$G$1000,SMALL((Summary!$G$3:$G$1000="")/0.1%+ROW($3:$1000),ROW()-2)-2)&amp;"",""),"")</f>
        <v/>
      </c>
      <c r="I155" s="22" t="str">
        <f t="shared" si="10"/>
        <v/>
      </c>
      <c r="J155" s="22" t="str">
        <f t="shared" si="11"/>
        <v/>
      </c>
    </row>
    <row r="156" spans="1:10">
      <c r="A156" s="56" t="str">
        <f>IF(AMS!H176="","",AMS!H176)</f>
        <v/>
      </c>
      <c r="B156" s="22" t="str">
        <f t="shared" si="8"/>
        <v/>
      </c>
      <c r="C156" s="22" t="str">
        <f t="array" ref="C156">IFERROR(INDEX(Summary!$I$3:$I$1000,SMALL((Summary!$I$3:$I$1000="")/0.1%+ROW($3:$1000),ROW()-2)-2)&amp;"","")</f>
        <v/>
      </c>
      <c r="D156" s="22" t="str">
        <v/>
      </c>
      <c r="E156" s="22" t="str">
        <f t="shared" si="9"/>
        <v/>
      </c>
      <c r="F156" s="56" t="str">
        <f>IF(AMS!I176="","",AMS!I176)</f>
        <v/>
      </c>
      <c r="G156" s="56" t="str">
        <f>IF(AMS!J176="","",AMS!J176)</f>
        <v/>
      </c>
      <c r="H156" s="22" t="str">
        <f t="array" ref="H156">IF(A156&lt;&gt;" ",IFERROR(INDEX(Summary!$G$3:$G$1000,SMALL((Summary!$G$3:$G$1000="")/0.1%+ROW($3:$1000),ROW()-2)-2)&amp;"",""),"")</f>
        <v/>
      </c>
      <c r="I156" s="22" t="str">
        <f t="shared" si="10"/>
        <v/>
      </c>
      <c r="J156" s="22" t="str">
        <f t="shared" si="11"/>
        <v/>
      </c>
    </row>
    <row r="157" spans="1:10">
      <c r="A157" s="56" t="str">
        <f>IF(AMS!H177="","",AMS!H177)</f>
        <v/>
      </c>
      <c r="B157" s="22" t="str">
        <f t="shared" si="8"/>
        <v/>
      </c>
      <c r="C157" s="22" t="str">
        <f t="array" ref="C157">IFERROR(INDEX(Summary!$I$3:$I$1000,SMALL((Summary!$I$3:$I$1000="")/0.1%+ROW($3:$1000),ROW()-2)-2)&amp;"","")</f>
        <v/>
      </c>
      <c r="D157" s="22" t="str">
        <v/>
      </c>
      <c r="E157" s="22" t="str">
        <f t="shared" si="9"/>
        <v/>
      </c>
      <c r="F157" s="56" t="str">
        <f>IF(AMS!I177="","",AMS!I177)</f>
        <v/>
      </c>
      <c r="G157" s="56" t="str">
        <f>IF(AMS!J177="","",AMS!J177)</f>
        <v/>
      </c>
      <c r="H157" s="22" t="str">
        <f t="array" ref="H157">IF(A157&lt;&gt;" ",IFERROR(INDEX(Summary!$G$3:$G$1000,SMALL((Summary!$G$3:$G$1000="")/0.1%+ROW($3:$1000),ROW()-2)-2)&amp;"",""),"")</f>
        <v/>
      </c>
      <c r="I157" s="22" t="str">
        <f t="shared" si="10"/>
        <v/>
      </c>
      <c r="J157" s="22" t="str">
        <f t="shared" si="11"/>
        <v/>
      </c>
    </row>
    <row r="158" spans="1:10">
      <c r="A158" s="56" t="str">
        <f>IF(AMS!H178="","",AMS!H178)</f>
        <v/>
      </c>
      <c r="B158" s="22" t="str">
        <f t="shared" si="8"/>
        <v/>
      </c>
      <c r="C158" s="22" t="str">
        <f t="array" ref="C158">IFERROR(INDEX(Summary!$I$3:$I$1000,SMALL((Summary!$I$3:$I$1000="")/0.1%+ROW($3:$1000),ROW()-2)-2)&amp;"","")</f>
        <v/>
      </c>
      <c r="D158" s="22" t="str">
        <v/>
      </c>
      <c r="E158" s="22" t="str">
        <f t="shared" si="9"/>
        <v/>
      </c>
      <c r="F158" s="56" t="str">
        <f>IF(AMS!I178="","",AMS!I178)</f>
        <v/>
      </c>
      <c r="G158" s="56" t="str">
        <f>IF(AMS!J178="","",AMS!J178)</f>
        <v/>
      </c>
      <c r="H158" s="22" t="str">
        <f t="array" ref="H158">IF(A158&lt;&gt;" ",IFERROR(INDEX(Summary!$G$3:$G$1000,SMALL((Summary!$G$3:$G$1000="")/0.1%+ROW($3:$1000),ROW()-2)-2)&amp;"",""),"")</f>
        <v/>
      </c>
      <c r="I158" s="22" t="str">
        <f t="shared" si="10"/>
        <v/>
      </c>
      <c r="J158" s="22" t="str">
        <f t="shared" si="11"/>
        <v/>
      </c>
    </row>
    <row r="159" spans="1:10">
      <c r="A159" s="56" t="str">
        <f>IF(AMS!H179="","",AMS!H179)</f>
        <v/>
      </c>
      <c r="B159" s="22" t="str">
        <f t="shared" si="8"/>
        <v/>
      </c>
      <c r="C159" s="22" t="str">
        <f t="array" ref="C159">IFERROR(INDEX(Summary!$I$3:$I$1000,SMALL((Summary!$I$3:$I$1000="")/0.1%+ROW($3:$1000),ROW()-2)-2)&amp;"","")</f>
        <v/>
      </c>
      <c r="D159" s="22" t="str">
        <v/>
      </c>
      <c r="E159" s="22" t="str">
        <f t="shared" si="9"/>
        <v/>
      </c>
      <c r="F159" s="56" t="str">
        <f>IF(AMS!I179="","",AMS!I179)</f>
        <v/>
      </c>
      <c r="G159" s="56" t="str">
        <f>IF(AMS!J179="","",AMS!J179)</f>
        <v/>
      </c>
      <c r="H159" s="22" t="str">
        <f t="array" ref="H159">IF(A159&lt;&gt;" ",IFERROR(INDEX(Summary!$G$3:$G$1000,SMALL((Summary!$G$3:$G$1000="")/0.1%+ROW($3:$1000),ROW()-2)-2)&amp;"",""),"")</f>
        <v/>
      </c>
      <c r="I159" s="22" t="str">
        <f t="shared" si="10"/>
        <v/>
      </c>
      <c r="J159" s="22" t="str">
        <f t="shared" si="11"/>
        <v/>
      </c>
    </row>
    <row r="160" spans="1:10">
      <c r="A160" s="56" t="str">
        <f>IF(AMS!H180="","",AMS!H180)</f>
        <v/>
      </c>
      <c r="B160" s="22" t="str">
        <f t="shared" si="8"/>
        <v/>
      </c>
      <c r="C160" s="22" t="str">
        <f t="array" ref="C160">IFERROR(INDEX(Summary!$I$3:$I$1000,SMALL((Summary!$I$3:$I$1000="")/0.1%+ROW($3:$1000),ROW()-2)-2)&amp;"","")</f>
        <v/>
      </c>
      <c r="D160" s="22" t="str">
        <v/>
      </c>
      <c r="E160" s="22" t="str">
        <f t="shared" si="9"/>
        <v/>
      </c>
      <c r="F160" s="56" t="str">
        <f>IF(AMS!I180="","",AMS!I180)</f>
        <v/>
      </c>
      <c r="G160" s="56" t="str">
        <f>IF(AMS!J180="","",AMS!J180)</f>
        <v/>
      </c>
      <c r="H160" s="22" t="str">
        <f t="array" ref="H160">IF(A160&lt;&gt;" ",IFERROR(INDEX(Summary!$G$3:$G$1000,SMALL((Summary!$G$3:$G$1000="")/0.1%+ROW($3:$1000),ROW()-2)-2)&amp;"",""),"")</f>
        <v/>
      </c>
      <c r="I160" s="22" t="str">
        <f t="shared" si="10"/>
        <v/>
      </c>
      <c r="J160" s="22" t="str">
        <f t="shared" si="11"/>
        <v/>
      </c>
    </row>
    <row r="161" spans="1:10">
      <c r="A161" s="56" t="str">
        <f>IF(AMS!H181="","",AMS!H181)</f>
        <v/>
      </c>
      <c r="B161" s="22" t="str">
        <f t="shared" si="8"/>
        <v/>
      </c>
      <c r="C161" s="22" t="str">
        <f t="array" ref="C161">IFERROR(INDEX(Summary!$I$3:$I$1000,SMALL((Summary!$I$3:$I$1000="")/0.1%+ROW($3:$1000),ROW()-2)-2)&amp;"","")</f>
        <v/>
      </c>
      <c r="D161" s="22" t="str">
        <v/>
      </c>
      <c r="E161" s="22" t="str">
        <f t="shared" si="9"/>
        <v/>
      </c>
      <c r="F161" s="56" t="str">
        <f>IF(AMS!I181="","",AMS!I181)</f>
        <v/>
      </c>
      <c r="G161" s="56" t="str">
        <f>IF(AMS!J181="","",AMS!J181)</f>
        <v/>
      </c>
      <c r="H161" s="22" t="str">
        <f t="array" ref="H161">IF(A161&lt;&gt;" ",IFERROR(INDEX(Summary!$G$3:$G$1000,SMALL((Summary!$G$3:$G$1000="")/0.1%+ROW($3:$1000),ROW()-2)-2)&amp;"",""),"")</f>
        <v/>
      </c>
      <c r="I161" s="22" t="str">
        <f t="shared" si="10"/>
        <v/>
      </c>
      <c r="J161" s="22" t="str">
        <f t="shared" si="11"/>
        <v/>
      </c>
    </row>
    <row r="162" spans="1:10">
      <c r="A162" s="56" t="str">
        <f>IF(AMS!H182="","",AMS!H182)</f>
        <v/>
      </c>
      <c r="B162" s="22" t="str">
        <f t="shared" si="8"/>
        <v/>
      </c>
      <c r="C162" s="22" t="str">
        <f t="array" ref="C162">IFERROR(INDEX(Summary!$I$3:$I$1000,SMALL((Summary!$I$3:$I$1000="")/0.1%+ROW($3:$1000),ROW()-2)-2)&amp;"","")</f>
        <v/>
      </c>
      <c r="D162" s="22" t="str">
        <v/>
      </c>
      <c r="E162" s="22" t="str">
        <f t="shared" si="9"/>
        <v/>
      </c>
      <c r="F162" s="56" t="str">
        <f>IF(AMS!I182="","",AMS!I182)</f>
        <v/>
      </c>
      <c r="G162" s="56" t="str">
        <f>IF(AMS!J182="","",AMS!J182)</f>
        <v/>
      </c>
      <c r="H162" s="22" t="str">
        <f t="array" ref="H162">IF(A162&lt;&gt;" ",IFERROR(INDEX(Summary!$G$3:$G$1000,SMALL((Summary!$G$3:$G$1000="")/0.1%+ROW($3:$1000),ROW()-2)-2)&amp;"",""),"")</f>
        <v/>
      </c>
      <c r="I162" s="22" t="str">
        <f t="shared" si="10"/>
        <v/>
      </c>
      <c r="J162" s="22" t="str">
        <f t="shared" si="11"/>
        <v/>
      </c>
    </row>
    <row r="163" spans="1:10">
      <c r="A163" s="56" t="str">
        <f>IF(AMS!H183="","",AMS!H183)</f>
        <v/>
      </c>
      <c r="B163" s="22" t="str">
        <f t="shared" si="8"/>
        <v/>
      </c>
      <c r="C163" s="22" t="str">
        <f t="array" ref="C163">IFERROR(INDEX(Summary!$I$3:$I$1000,SMALL((Summary!$I$3:$I$1000="")/0.1%+ROW($3:$1000),ROW()-2)-2)&amp;"","")</f>
        <v/>
      </c>
      <c r="D163" s="22" t="str">
        <v/>
      </c>
      <c r="E163" s="22" t="str">
        <f t="shared" si="9"/>
        <v/>
      </c>
      <c r="F163" s="56" t="str">
        <f>IF(AMS!I183="","",AMS!I183)</f>
        <v/>
      </c>
      <c r="G163" s="56" t="str">
        <f>IF(AMS!J183="","",AMS!J183)</f>
        <v/>
      </c>
      <c r="H163" s="22" t="str">
        <f t="array" ref="H163">IF(A163&lt;&gt;" ",IFERROR(INDEX(Summary!$G$3:$G$1000,SMALL((Summary!$G$3:$G$1000="")/0.1%+ROW($3:$1000),ROW()-2)-2)&amp;"",""),"")</f>
        <v/>
      </c>
      <c r="I163" s="22" t="str">
        <f t="shared" si="10"/>
        <v/>
      </c>
      <c r="J163" s="22" t="str">
        <f t="shared" si="11"/>
        <v/>
      </c>
    </row>
    <row r="164" spans="1:10">
      <c r="A164" s="56" t="str">
        <f>IF(AMS!H184="","",AMS!H184)</f>
        <v/>
      </c>
      <c r="B164" s="22" t="str">
        <f t="shared" si="8"/>
        <v/>
      </c>
      <c r="C164" s="22" t="str">
        <f t="array" ref="C164">IFERROR(INDEX(Summary!$I$3:$I$1000,SMALL((Summary!$I$3:$I$1000="")/0.1%+ROW($3:$1000),ROW()-2)-2)&amp;"","")</f>
        <v/>
      </c>
      <c r="D164" s="22" t="str">
        <v/>
      </c>
      <c r="E164" s="22" t="str">
        <f t="shared" si="9"/>
        <v/>
      </c>
      <c r="F164" s="56" t="str">
        <f>IF(AMS!I184="","",AMS!I184)</f>
        <v/>
      </c>
      <c r="G164" s="56" t="str">
        <f>IF(AMS!J184="","",AMS!J184)</f>
        <v/>
      </c>
      <c r="H164" s="22" t="str">
        <f t="array" ref="H164">IF(A164&lt;&gt;" ",IFERROR(INDEX(Summary!$G$3:$G$1000,SMALL((Summary!$G$3:$G$1000="")/0.1%+ROW($3:$1000),ROW()-2)-2)&amp;"",""),"")</f>
        <v/>
      </c>
      <c r="I164" s="22" t="str">
        <f t="shared" si="10"/>
        <v/>
      </c>
      <c r="J164" s="22" t="str">
        <f t="shared" si="11"/>
        <v/>
      </c>
    </row>
    <row r="165" spans="1:10">
      <c r="A165" s="56" t="str">
        <f>IF(AMS!H185="","",AMS!H185)</f>
        <v/>
      </c>
      <c r="B165" s="22" t="str">
        <f t="shared" si="8"/>
        <v/>
      </c>
      <c r="C165" s="22" t="str">
        <f t="array" ref="C165">IFERROR(INDEX(Summary!$I$3:$I$1000,SMALL((Summary!$I$3:$I$1000="")/0.1%+ROW($3:$1000),ROW()-2)-2)&amp;"","")</f>
        <v/>
      </c>
      <c r="D165" s="22" t="str">
        <v/>
      </c>
      <c r="E165" s="22" t="str">
        <f t="shared" si="9"/>
        <v/>
      </c>
      <c r="F165" s="56" t="str">
        <f>IF(AMS!I185="","",AMS!I185)</f>
        <v/>
      </c>
      <c r="G165" s="56" t="str">
        <f>IF(AMS!J185="","",AMS!J185)</f>
        <v/>
      </c>
      <c r="H165" s="22" t="str">
        <f t="array" ref="H165">IF(A165&lt;&gt;" ",IFERROR(INDEX(Summary!$G$3:$G$1000,SMALL((Summary!$G$3:$G$1000="")/0.1%+ROW($3:$1000),ROW()-2)-2)&amp;"",""),"")</f>
        <v/>
      </c>
      <c r="I165" s="22" t="str">
        <f t="shared" si="10"/>
        <v/>
      </c>
      <c r="J165" s="22" t="str">
        <f t="shared" si="11"/>
        <v/>
      </c>
    </row>
    <row r="166" spans="1:10">
      <c r="A166" s="56" t="str">
        <f>IF(AMS!H186="","",AMS!H186)</f>
        <v/>
      </c>
      <c r="B166" s="22" t="str">
        <f t="shared" si="8"/>
        <v/>
      </c>
      <c r="C166" s="22" t="str">
        <f t="array" ref="C166">IFERROR(INDEX(Summary!$I$3:$I$1000,SMALL((Summary!$I$3:$I$1000="")/0.1%+ROW($3:$1000),ROW()-2)-2)&amp;"","")</f>
        <v/>
      </c>
      <c r="D166" s="22" t="str">
        <v/>
      </c>
      <c r="E166" s="22" t="str">
        <f t="shared" si="9"/>
        <v/>
      </c>
      <c r="F166" s="56" t="str">
        <f>IF(AMS!I186="","",AMS!I186)</f>
        <v/>
      </c>
      <c r="G166" s="56" t="str">
        <f>IF(AMS!J186="","",AMS!J186)</f>
        <v/>
      </c>
      <c r="H166" s="22" t="str">
        <f t="array" ref="H166">IF(A166&lt;&gt;" ",IFERROR(INDEX(Summary!$G$3:$G$1000,SMALL((Summary!$G$3:$G$1000="")/0.1%+ROW($3:$1000),ROW()-2)-2)&amp;"",""),"")</f>
        <v/>
      </c>
      <c r="I166" s="22" t="str">
        <f t="shared" si="10"/>
        <v/>
      </c>
      <c r="J166" s="22" t="str">
        <f t="shared" si="11"/>
        <v/>
      </c>
    </row>
    <row r="167" spans="1:10">
      <c r="A167" s="56" t="str">
        <f>IF(AMS!H187="","",AMS!H187)</f>
        <v/>
      </c>
      <c r="B167" s="22" t="str">
        <f t="shared" si="8"/>
        <v/>
      </c>
      <c r="C167" s="22" t="str">
        <f t="array" ref="C167">IFERROR(INDEX(Summary!$I$3:$I$1000,SMALL((Summary!$I$3:$I$1000="")/0.1%+ROW($3:$1000),ROW()-2)-2)&amp;"","")</f>
        <v/>
      </c>
      <c r="D167" s="22" t="str">
        <v/>
      </c>
      <c r="E167" s="22" t="str">
        <f t="shared" si="9"/>
        <v/>
      </c>
      <c r="F167" s="56" t="str">
        <f>IF(AMS!I187="","",AMS!I187)</f>
        <v/>
      </c>
      <c r="G167" s="56" t="str">
        <f>IF(AMS!J187="","",AMS!J187)</f>
        <v/>
      </c>
      <c r="H167" s="22" t="str">
        <f t="array" ref="H167">IF(A167&lt;&gt;" ",IFERROR(INDEX(Summary!$G$3:$G$1000,SMALL((Summary!$G$3:$G$1000="")/0.1%+ROW($3:$1000),ROW()-2)-2)&amp;"",""),"")</f>
        <v/>
      </c>
      <c r="I167" s="22" t="str">
        <f t="shared" si="10"/>
        <v/>
      </c>
      <c r="J167" s="22" t="str">
        <f t="shared" si="11"/>
        <v/>
      </c>
    </row>
    <row r="168" spans="1:10">
      <c r="A168" s="56" t="str">
        <f>IF(AMS!H188="","",AMS!H188)</f>
        <v/>
      </c>
      <c r="B168" s="22" t="str">
        <f t="shared" si="8"/>
        <v/>
      </c>
      <c r="C168" s="22" t="str">
        <f t="array" ref="C168">IFERROR(INDEX(Summary!$I$3:$I$1000,SMALL((Summary!$I$3:$I$1000="")/0.1%+ROW($3:$1000),ROW()-2)-2)&amp;"","")</f>
        <v/>
      </c>
      <c r="D168" s="22" t="str">
        <v/>
      </c>
      <c r="E168" s="22" t="str">
        <f t="shared" si="9"/>
        <v/>
      </c>
      <c r="F168" s="56" t="str">
        <f>IF(AMS!I188="","",AMS!I188)</f>
        <v/>
      </c>
      <c r="G168" s="56" t="str">
        <f>IF(AMS!J188="","",AMS!J188)</f>
        <v/>
      </c>
      <c r="H168" s="22" t="str">
        <f t="array" ref="H168">IF(A168&lt;&gt;" ",IFERROR(INDEX(Summary!$G$3:$G$1000,SMALL((Summary!$G$3:$G$1000="")/0.1%+ROW($3:$1000),ROW()-2)-2)&amp;"",""),"")</f>
        <v/>
      </c>
      <c r="I168" s="22" t="str">
        <f t="shared" si="10"/>
        <v/>
      </c>
      <c r="J168" s="22" t="str">
        <f t="shared" si="11"/>
        <v/>
      </c>
    </row>
    <row r="169" spans="1:10">
      <c r="A169" s="56" t="str">
        <f>IF(AMS!H189="","",AMS!H189)</f>
        <v/>
      </c>
      <c r="B169" s="22" t="str">
        <f t="shared" si="8"/>
        <v/>
      </c>
      <c r="C169" s="22" t="str">
        <f t="array" ref="C169">IFERROR(INDEX(Summary!$I$3:$I$1000,SMALL((Summary!$I$3:$I$1000="")/0.1%+ROW($3:$1000),ROW()-2)-2)&amp;"","")</f>
        <v/>
      </c>
      <c r="D169" s="22" t="str">
        <v/>
      </c>
      <c r="E169" s="22" t="str">
        <f t="shared" si="9"/>
        <v/>
      </c>
      <c r="F169" s="56" t="str">
        <f>IF(AMS!I189="","",AMS!I189)</f>
        <v/>
      </c>
      <c r="G169" s="56" t="str">
        <f>IF(AMS!J189="","",AMS!J189)</f>
        <v/>
      </c>
      <c r="H169" s="22" t="str">
        <f t="array" ref="H169">IF(A169&lt;&gt;" ",IFERROR(INDEX(Summary!$G$3:$G$1000,SMALL((Summary!$G$3:$G$1000="")/0.1%+ROW($3:$1000),ROW()-2)-2)&amp;"",""),"")</f>
        <v/>
      </c>
      <c r="I169" s="22" t="str">
        <f t="shared" si="10"/>
        <v/>
      </c>
      <c r="J169" s="22" t="str">
        <f t="shared" si="11"/>
        <v/>
      </c>
    </row>
    <row r="170" spans="1:10">
      <c r="A170" s="56" t="str">
        <f>IF(AMS!H190="","",AMS!H190)</f>
        <v/>
      </c>
      <c r="B170" s="22" t="str">
        <f t="shared" si="8"/>
        <v/>
      </c>
      <c r="C170" s="22" t="str">
        <f t="array" ref="C170">IFERROR(INDEX(Summary!$I$3:$I$1000,SMALL((Summary!$I$3:$I$1000="")/0.1%+ROW($3:$1000),ROW()-2)-2)&amp;"","")</f>
        <v/>
      </c>
      <c r="D170" s="22" t="str">
        <v/>
      </c>
      <c r="E170" s="22" t="str">
        <f t="shared" si="9"/>
        <v/>
      </c>
      <c r="F170" s="56" t="str">
        <f>IF(AMS!I190="","",AMS!I190)</f>
        <v/>
      </c>
      <c r="G170" s="56" t="str">
        <f>IF(AMS!J190="","",AMS!J190)</f>
        <v/>
      </c>
      <c r="H170" s="22" t="str">
        <f t="array" ref="H170">IF(A170&lt;&gt;" ",IFERROR(INDEX(Summary!$G$3:$G$1000,SMALL((Summary!$G$3:$G$1000="")/0.1%+ROW($3:$1000),ROW()-2)-2)&amp;"",""),"")</f>
        <v/>
      </c>
      <c r="I170" s="22" t="str">
        <f t="shared" si="10"/>
        <v/>
      </c>
      <c r="J170" s="22" t="str">
        <f t="shared" si="11"/>
        <v/>
      </c>
    </row>
    <row r="171" spans="1:10">
      <c r="A171" s="56" t="str">
        <f>IF(AMS!H191="","",AMS!H191)</f>
        <v/>
      </c>
      <c r="B171" s="22" t="str">
        <f t="shared" si="8"/>
        <v/>
      </c>
      <c r="C171" s="22" t="str">
        <f t="array" ref="C171">IFERROR(INDEX(Summary!$I$3:$I$1000,SMALL((Summary!$I$3:$I$1000="")/0.1%+ROW($3:$1000),ROW()-2)-2)&amp;"","")</f>
        <v/>
      </c>
      <c r="D171" s="22" t="str">
        <v/>
      </c>
      <c r="E171" s="22" t="str">
        <f t="shared" si="9"/>
        <v/>
      </c>
      <c r="F171" s="56" t="str">
        <f>IF(AMS!I191="","",AMS!I191)</f>
        <v/>
      </c>
      <c r="G171" s="56" t="str">
        <f>IF(AMS!J191="","",AMS!J191)</f>
        <v/>
      </c>
      <c r="H171" s="22" t="str">
        <f t="array" ref="H171">IF(A171&lt;&gt;" ",IFERROR(INDEX(Summary!$G$3:$G$1000,SMALL((Summary!$G$3:$G$1000="")/0.1%+ROW($3:$1000),ROW()-2)-2)&amp;"",""),"")</f>
        <v/>
      </c>
      <c r="I171" s="22" t="str">
        <f t="shared" si="10"/>
        <v/>
      </c>
      <c r="J171" s="22" t="str">
        <f t="shared" si="11"/>
        <v/>
      </c>
    </row>
    <row r="172" spans="1:10">
      <c r="A172" s="56" t="str">
        <f>IF(AMS!H192="","",AMS!H192)</f>
        <v/>
      </c>
      <c r="B172" s="22" t="str">
        <f t="shared" si="8"/>
        <v/>
      </c>
      <c r="C172" s="22" t="str">
        <f t="array" ref="C172">IFERROR(INDEX(Summary!$I$3:$I$1000,SMALL((Summary!$I$3:$I$1000="")/0.1%+ROW($3:$1000),ROW()-2)-2)&amp;"","")</f>
        <v/>
      </c>
      <c r="D172" s="22" t="str">
        <v/>
      </c>
      <c r="E172" s="22" t="str">
        <f t="shared" si="9"/>
        <v/>
      </c>
      <c r="F172" s="56" t="str">
        <f>IF(AMS!I192="","",AMS!I192)</f>
        <v/>
      </c>
      <c r="G172" s="56" t="str">
        <f>IF(AMS!J192="","",AMS!J192)</f>
        <v/>
      </c>
      <c r="H172" s="22" t="str">
        <f t="array" ref="H172">IF(A172&lt;&gt;" ",IFERROR(INDEX(Summary!$G$3:$G$1000,SMALL((Summary!$G$3:$G$1000="")/0.1%+ROW($3:$1000),ROW()-2)-2)&amp;"",""),"")</f>
        <v/>
      </c>
      <c r="I172" s="22" t="str">
        <f t="shared" si="10"/>
        <v/>
      </c>
      <c r="J172" s="22" t="str">
        <f t="shared" si="11"/>
        <v/>
      </c>
    </row>
    <row r="173" spans="1:10">
      <c r="A173" s="56" t="str">
        <f>IF(AMS!H193="","",AMS!H193)</f>
        <v/>
      </c>
      <c r="B173" s="22" t="str">
        <f t="shared" si="8"/>
        <v/>
      </c>
      <c r="C173" s="22" t="str">
        <f t="array" ref="C173">IFERROR(INDEX(Summary!$I$3:$I$1000,SMALL((Summary!$I$3:$I$1000="")/0.1%+ROW($3:$1000),ROW()-2)-2)&amp;"","")</f>
        <v/>
      </c>
      <c r="D173" s="22" t="str">
        <v/>
      </c>
      <c r="E173" s="22" t="str">
        <f t="shared" si="9"/>
        <v/>
      </c>
      <c r="F173" s="56" t="str">
        <f>IF(AMS!I193="","",AMS!I193)</f>
        <v/>
      </c>
      <c r="G173" s="56" t="str">
        <f>IF(AMS!J193="","",AMS!J193)</f>
        <v/>
      </c>
      <c r="H173" s="22" t="str">
        <f t="array" ref="H173">IF(A173&lt;&gt;" ",IFERROR(INDEX(Summary!$G$3:$G$1000,SMALL((Summary!$G$3:$G$1000="")/0.1%+ROW($3:$1000),ROW()-2)-2)&amp;"",""),"")</f>
        <v/>
      </c>
      <c r="I173" s="22" t="str">
        <f t="shared" si="10"/>
        <v/>
      </c>
      <c r="J173" s="22" t="str">
        <f t="shared" si="11"/>
        <v/>
      </c>
    </row>
    <row r="174" spans="1:10">
      <c r="A174" s="56" t="str">
        <f>IF(AMS!H194="","",AMS!H194)</f>
        <v/>
      </c>
      <c r="B174" s="22" t="str">
        <f t="shared" si="8"/>
        <v/>
      </c>
      <c r="C174" s="22" t="str">
        <f t="array" ref="C174">IFERROR(INDEX(Summary!$I$3:$I$1000,SMALL((Summary!$I$3:$I$1000="")/0.1%+ROW($3:$1000),ROW()-2)-2)&amp;"","")</f>
        <v/>
      </c>
      <c r="D174" s="22" t="str">
        <v/>
      </c>
      <c r="E174" s="22" t="str">
        <f t="shared" si="9"/>
        <v/>
      </c>
      <c r="F174" s="56" t="str">
        <f>IF(AMS!I194="","",AMS!I194)</f>
        <v/>
      </c>
      <c r="G174" s="56" t="str">
        <f>IF(AMS!J194="","",AMS!J194)</f>
        <v/>
      </c>
      <c r="H174" s="22" t="str">
        <f t="array" ref="H174">IF(A174&lt;&gt;" ",IFERROR(INDEX(Summary!$G$3:$G$1000,SMALL((Summary!$G$3:$G$1000="")/0.1%+ROW($3:$1000),ROW()-2)-2)&amp;"",""),"")</f>
        <v/>
      </c>
      <c r="I174" s="22" t="str">
        <f t="shared" si="10"/>
        <v/>
      </c>
      <c r="J174" s="22" t="str">
        <f t="shared" si="11"/>
        <v/>
      </c>
    </row>
    <row r="175" spans="1:10">
      <c r="A175" s="56" t="str">
        <f>IF(AMS!H195="","",AMS!H195)</f>
        <v/>
      </c>
      <c r="B175" s="22" t="str">
        <f t="shared" si="8"/>
        <v/>
      </c>
      <c r="C175" s="22" t="str">
        <f t="array" ref="C175">IFERROR(INDEX(Summary!$I$3:$I$1000,SMALL((Summary!$I$3:$I$1000="")/0.1%+ROW($3:$1000),ROW()-2)-2)&amp;"","")</f>
        <v/>
      </c>
      <c r="D175" s="22" t="str">
        <v/>
      </c>
      <c r="E175" s="22" t="str">
        <f t="shared" si="9"/>
        <v/>
      </c>
      <c r="F175" s="56" t="str">
        <f>IF(AMS!I195="","",AMS!I195)</f>
        <v/>
      </c>
      <c r="G175" s="56" t="str">
        <f>IF(AMS!J195="","",AMS!J195)</f>
        <v/>
      </c>
      <c r="H175" s="22" t="str">
        <f t="array" ref="H175">IF(A175&lt;&gt;" ",IFERROR(INDEX(Summary!$G$3:$G$1000,SMALL((Summary!$G$3:$G$1000="")/0.1%+ROW($3:$1000),ROW()-2)-2)&amp;"",""),"")</f>
        <v/>
      </c>
      <c r="I175" s="22" t="str">
        <f t="shared" si="10"/>
        <v/>
      </c>
      <c r="J175" s="22" t="str">
        <f t="shared" si="11"/>
        <v/>
      </c>
    </row>
    <row r="176" spans="1:10">
      <c r="A176" s="56" t="str">
        <f>IF(AMS!H196="","",AMS!H196)</f>
        <v/>
      </c>
      <c r="B176" s="22" t="str">
        <f t="shared" si="8"/>
        <v/>
      </c>
      <c r="C176" s="22" t="str">
        <f t="array" ref="C176">IFERROR(INDEX(Summary!$I$3:$I$1000,SMALL((Summary!$I$3:$I$1000="")/0.1%+ROW($3:$1000),ROW()-2)-2)&amp;"","")</f>
        <v/>
      </c>
      <c r="D176" s="22" t="str">
        <v/>
      </c>
      <c r="E176" s="22" t="str">
        <f t="shared" si="9"/>
        <v/>
      </c>
      <c r="F176" s="56" t="str">
        <f>IF(AMS!I196="","",AMS!I196)</f>
        <v/>
      </c>
      <c r="G176" s="56" t="str">
        <f>IF(AMS!J196="","",AMS!J196)</f>
        <v/>
      </c>
      <c r="H176" s="22" t="str">
        <f t="array" ref="H176">IF(A176&lt;&gt;" ",IFERROR(INDEX(Summary!$G$3:$G$1000,SMALL((Summary!$G$3:$G$1000="")/0.1%+ROW($3:$1000),ROW()-2)-2)&amp;"",""),"")</f>
        <v/>
      </c>
      <c r="I176" s="22" t="str">
        <f t="shared" si="10"/>
        <v/>
      </c>
      <c r="J176" s="22" t="str">
        <f t="shared" si="11"/>
        <v/>
      </c>
    </row>
    <row r="177" spans="1:10">
      <c r="A177" s="56" t="str">
        <f>IF(AMS!H197="","",AMS!H197)</f>
        <v/>
      </c>
      <c r="B177" s="22" t="str">
        <f t="shared" si="8"/>
        <v/>
      </c>
      <c r="C177" s="22" t="str">
        <f t="array" ref="C177">IFERROR(INDEX(Summary!$I$3:$I$1000,SMALL((Summary!$I$3:$I$1000="")/0.1%+ROW($3:$1000),ROW()-2)-2)&amp;"","")</f>
        <v/>
      </c>
      <c r="D177" s="22" t="str">
        <v/>
      </c>
      <c r="E177" s="22" t="str">
        <f t="shared" si="9"/>
        <v/>
      </c>
      <c r="F177" s="56" t="str">
        <f>IF(AMS!I197="","",AMS!I197)</f>
        <v/>
      </c>
      <c r="G177" s="56" t="str">
        <f>IF(AMS!J197="","",AMS!J197)</f>
        <v/>
      </c>
      <c r="H177" s="22" t="str">
        <f t="array" ref="H177">IF(A177&lt;&gt;" ",IFERROR(INDEX(Summary!$G$3:$G$1000,SMALL((Summary!$G$3:$G$1000="")/0.1%+ROW($3:$1000),ROW()-2)-2)&amp;"",""),"")</f>
        <v/>
      </c>
      <c r="I177" s="22" t="str">
        <f t="shared" si="10"/>
        <v/>
      </c>
      <c r="J177" s="22" t="str">
        <f t="shared" si="11"/>
        <v/>
      </c>
    </row>
    <row r="178" spans="1:10">
      <c r="A178" s="56" t="str">
        <f>IF(AMS!H198="","",AMS!H198)</f>
        <v/>
      </c>
      <c r="B178" s="22" t="str">
        <f t="shared" si="8"/>
        <v/>
      </c>
      <c r="C178" s="22" t="str">
        <f t="array" ref="C178">IFERROR(INDEX(Summary!$I$3:$I$1000,SMALL((Summary!$I$3:$I$1000="")/0.1%+ROW($3:$1000),ROW()-2)-2)&amp;"","")</f>
        <v/>
      </c>
      <c r="D178" s="22" t="str">
        <v/>
      </c>
      <c r="E178" s="22" t="str">
        <f t="shared" si="9"/>
        <v/>
      </c>
      <c r="F178" s="56" t="str">
        <f>IF(AMS!I198="","",AMS!I198)</f>
        <v/>
      </c>
      <c r="G178" s="56" t="str">
        <f>IF(AMS!J198="","",AMS!J198)</f>
        <v/>
      </c>
      <c r="H178" s="22" t="str">
        <f t="array" ref="H178">IF(A178&lt;&gt;" ",IFERROR(INDEX(Summary!$G$3:$G$1000,SMALL((Summary!$G$3:$G$1000="")/0.1%+ROW($3:$1000),ROW()-2)-2)&amp;"",""),"")</f>
        <v/>
      </c>
      <c r="I178" s="22" t="str">
        <f t="shared" si="10"/>
        <v/>
      </c>
      <c r="J178" s="22" t="str">
        <f t="shared" si="11"/>
        <v/>
      </c>
    </row>
    <row r="179" spans="1:10">
      <c r="A179" s="56" t="str">
        <f>IF(AMS!H199="","",AMS!H199)</f>
        <v/>
      </c>
      <c r="B179" s="22" t="str">
        <f t="shared" si="8"/>
        <v/>
      </c>
      <c r="C179" s="22" t="str">
        <f t="array" ref="C179">IFERROR(INDEX(Summary!$I$3:$I$1000,SMALL((Summary!$I$3:$I$1000="")/0.1%+ROW($3:$1000),ROW()-2)-2)&amp;"","")</f>
        <v/>
      </c>
      <c r="D179" s="22" t="str">
        <v/>
      </c>
      <c r="E179" s="22" t="str">
        <f t="shared" si="9"/>
        <v/>
      </c>
      <c r="F179" s="56" t="str">
        <f>IF(AMS!I199="","",AMS!I199)</f>
        <v/>
      </c>
      <c r="G179" s="56" t="str">
        <f>IF(AMS!J199="","",AMS!J199)</f>
        <v/>
      </c>
      <c r="H179" s="22" t="str">
        <f t="array" ref="H179">IF(A179&lt;&gt;" ",IFERROR(INDEX(Summary!$G$3:$G$1000,SMALL((Summary!$G$3:$G$1000="")/0.1%+ROW($3:$1000),ROW()-2)-2)&amp;"",""),"")</f>
        <v/>
      </c>
      <c r="I179" s="22" t="str">
        <f t="shared" si="10"/>
        <v/>
      </c>
      <c r="J179" s="22" t="str">
        <f t="shared" si="11"/>
        <v/>
      </c>
    </row>
    <row r="180" spans="1:10">
      <c r="A180" s="56" t="str">
        <f>IF(AMS!H200="","",AMS!H200)</f>
        <v/>
      </c>
      <c r="B180" s="22" t="str">
        <f t="shared" si="8"/>
        <v/>
      </c>
      <c r="C180" s="22" t="str">
        <f t="array" ref="C180">IFERROR(INDEX(Summary!$I$3:$I$1000,SMALL((Summary!$I$3:$I$1000="")/0.1%+ROW($3:$1000),ROW()-2)-2)&amp;"","")</f>
        <v/>
      </c>
      <c r="D180" s="22" t="str">
        <v/>
      </c>
      <c r="E180" s="22" t="str">
        <f t="shared" si="9"/>
        <v/>
      </c>
      <c r="F180" s="56" t="str">
        <f>IF(AMS!I200="","",AMS!I200)</f>
        <v/>
      </c>
      <c r="G180" s="56" t="str">
        <f>IF(AMS!J200="","",AMS!J200)</f>
        <v/>
      </c>
      <c r="H180" s="22" t="str">
        <f t="array" ref="H180">IF(A180&lt;&gt;" ",IFERROR(INDEX(Summary!$G$3:$G$1000,SMALL((Summary!$G$3:$G$1000="")/0.1%+ROW($3:$1000),ROW()-2)-2)&amp;"",""),"")</f>
        <v/>
      </c>
      <c r="I180" s="22" t="str">
        <f t="shared" si="10"/>
        <v/>
      </c>
      <c r="J180" s="22" t="str">
        <f t="shared" si="11"/>
        <v/>
      </c>
    </row>
    <row r="181" spans="1:10">
      <c r="A181" s="56" t="str">
        <f>IF(AMS!H201="","",AMS!H201)</f>
        <v/>
      </c>
      <c r="B181" s="22" t="str">
        <f t="shared" si="8"/>
        <v/>
      </c>
      <c r="C181" s="22" t="str">
        <f t="array" ref="C181">IFERROR(INDEX(Summary!$I$3:$I$1000,SMALL((Summary!$I$3:$I$1000="")/0.1%+ROW($3:$1000),ROW()-2)-2)&amp;"","")</f>
        <v/>
      </c>
      <c r="D181" s="22" t="str">
        <v/>
      </c>
      <c r="E181" s="22" t="str">
        <f t="shared" si="9"/>
        <v/>
      </c>
      <c r="F181" s="56" t="str">
        <f>IF(AMS!I201="","",AMS!I201)</f>
        <v/>
      </c>
      <c r="G181" s="56" t="str">
        <f>IF(AMS!J201="","",AMS!J201)</f>
        <v/>
      </c>
      <c r="H181" s="22" t="str">
        <f t="array" ref="H181">IF(A181&lt;&gt;" ",IFERROR(INDEX(Summary!$G$3:$G$1000,SMALL((Summary!$G$3:$G$1000="")/0.1%+ROW($3:$1000),ROW()-2)-2)&amp;"",""),"")</f>
        <v/>
      </c>
      <c r="I181" s="22" t="str">
        <f t="shared" si="10"/>
        <v/>
      </c>
      <c r="J181" s="22" t="str">
        <f t="shared" si="11"/>
        <v/>
      </c>
    </row>
    <row r="182" spans="1:10">
      <c r="A182" s="56" t="str">
        <f>IF(AMS!H202="","",AMS!H202)</f>
        <v/>
      </c>
      <c r="B182" s="22" t="str">
        <f t="shared" si="8"/>
        <v/>
      </c>
      <c r="C182" s="22" t="str">
        <f t="array" ref="C182">IFERROR(INDEX(Summary!$I$3:$I$1000,SMALL((Summary!$I$3:$I$1000="")/0.1%+ROW($3:$1000),ROW()-2)-2)&amp;"","")</f>
        <v/>
      </c>
      <c r="D182" s="22" t="str">
        <v/>
      </c>
      <c r="E182" s="22" t="str">
        <f t="shared" si="9"/>
        <v/>
      </c>
      <c r="F182" s="56" t="str">
        <f>IF(AMS!I202="","",AMS!I202)</f>
        <v/>
      </c>
      <c r="G182" s="56" t="str">
        <f>IF(AMS!J202="","",AMS!J202)</f>
        <v/>
      </c>
      <c r="H182" s="22" t="str">
        <f t="array" ref="H182">IF(A182&lt;&gt;" ",IFERROR(INDEX(Summary!$G$3:$G$1000,SMALL((Summary!$G$3:$G$1000="")/0.1%+ROW($3:$1000),ROW()-2)-2)&amp;"",""),"")</f>
        <v/>
      </c>
      <c r="I182" s="22" t="str">
        <f t="shared" si="10"/>
        <v/>
      </c>
      <c r="J182" s="22" t="str">
        <f t="shared" si="11"/>
        <v/>
      </c>
    </row>
    <row r="183" spans="1:10">
      <c r="A183" s="56" t="str">
        <f>IF(AMS!H203="","",AMS!H203)</f>
        <v/>
      </c>
      <c r="B183" s="22" t="str">
        <f t="shared" si="8"/>
        <v/>
      </c>
      <c r="C183" s="22" t="str">
        <f t="array" ref="C183">IFERROR(INDEX(Summary!$I$3:$I$1000,SMALL((Summary!$I$3:$I$1000="")/0.1%+ROW($3:$1000),ROW()-2)-2)&amp;"","")</f>
        <v/>
      </c>
      <c r="D183" s="22" t="str">
        <v/>
      </c>
      <c r="E183" s="22" t="str">
        <f t="shared" si="9"/>
        <v/>
      </c>
      <c r="F183" s="56" t="str">
        <f>IF(AMS!I203="","",AMS!I203)</f>
        <v/>
      </c>
      <c r="G183" s="56" t="str">
        <f>IF(AMS!J203="","",AMS!J203)</f>
        <v/>
      </c>
      <c r="H183" s="22" t="str">
        <f t="array" ref="H183">IF(A183&lt;&gt;" ",IFERROR(INDEX(Summary!$G$3:$G$1000,SMALL((Summary!$G$3:$G$1000="")/0.1%+ROW($3:$1000),ROW()-2)-2)&amp;"",""),"")</f>
        <v/>
      </c>
      <c r="I183" s="22" t="str">
        <f t="shared" si="10"/>
        <v/>
      </c>
      <c r="J183" s="22" t="str">
        <f t="shared" si="11"/>
        <v/>
      </c>
    </row>
    <row r="184" spans="1:10">
      <c r="A184" s="56" t="str">
        <f>IF(AMS!H204="","",AMS!H204)</f>
        <v/>
      </c>
      <c r="B184" s="22" t="str">
        <f t="shared" si="8"/>
        <v/>
      </c>
      <c r="C184" s="22" t="str">
        <f t="array" ref="C184">IFERROR(INDEX(Summary!$I$3:$I$1000,SMALL((Summary!$I$3:$I$1000="")/0.1%+ROW($3:$1000),ROW()-2)-2)&amp;"","")</f>
        <v/>
      </c>
      <c r="D184" s="22" t="str">
        <v/>
      </c>
      <c r="E184" s="22" t="str">
        <f t="shared" si="9"/>
        <v/>
      </c>
      <c r="F184" s="56" t="str">
        <f>IF(AMS!I204="","",AMS!I204)</f>
        <v/>
      </c>
      <c r="G184" s="56" t="str">
        <f>IF(AMS!J204="","",AMS!J204)</f>
        <v/>
      </c>
      <c r="H184" s="22" t="str">
        <f t="array" ref="H184">IF(A184&lt;&gt;" ",IFERROR(INDEX(Summary!$G$3:$G$1000,SMALL((Summary!$G$3:$G$1000="")/0.1%+ROW($3:$1000),ROW()-2)-2)&amp;"",""),"")</f>
        <v/>
      </c>
      <c r="I184" s="22" t="str">
        <f t="shared" si="10"/>
        <v/>
      </c>
      <c r="J184" s="22" t="str">
        <f t="shared" si="11"/>
        <v/>
      </c>
    </row>
    <row r="185" spans="1:10">
      <c r="A185" s="56" t="str">
        <f>IF(AMS!H205="","",AMS!H205)</f>
        <v/>
      </c>
      <c r="B185" s="22" t="str">
        <f t="shared" si="8"/>
        <v/>
      </c>
      <c r="C185" s="22" t="str">
        <f t="array" ref="C185">IFERROR(INDEX(Summary!$I$3:$I$1000,SMALL((Summary!$I$3:$I$1000="")/0.1%+ROW($3:$1000),ROW()-2)-2)&amp;"","")</f>
        <v/>
      </c>
      <c r="D185" s="22" t="str">
        <v/>
      </c>
      <c r="E185" s="22" t="str">
        <f t="shared" si="9"/>
        <v/>
      </c>
      <c r="F185" s="56" t="str">
        <f>IF(AMS!I205="","",AMS!I205)</f>
        <v/>
      </c>
      <c r="G185" s="56" t="str">
        <f>IF(AMS!J205="","",AMS!J205)</f>
        <v/>
      </c>
      <c r="H185" s="22" t="str">
        <f t="array" ref="H185">IF(A185&lt;&gt;" ",IFERROR(INDEX(Summary!$G$3:$G$1000,SMALL((Summary!$G$3:$G$1000="")/0.1%+ROW($3:$1000),ROW()-2)-2)&amp;"",""),"")</f>
        <v/>
      </c>
      <c r="I185" s="22" t="str">
        <f t="shared" si="10"/>
        <v/>
      </c>
      <c r="J185" s="22" t="str">
        <f t="shared" si="11"/>
        <v/>
      </c>
    </row>
    <row r="186" spans="1:10">
      <c r="A186" s="56" t="str">
        <f>IF(AMS!H206="","",AMS!H206)</f>
        <v/>
      </c>
      <c r="B186" s="22" t="str">
        <f t="shared" si="8"/>
        <v/>
      </c>
      <c r="C186" s="22" t="str">
        <f t="array" ref="C186">IFERROR(INDEX(Summary!$I$3:$I$1000,SMALL((Summary!$I$3:$I$1000="")/0.1%+ROW($3:$1000),ROW()-2)-2)&amp;"","")</f>
        <v/>
      </c>
      <c r="D186" s="22" t="str">
        <v/>
      </c>
      <c r="E186" s="22" t="str">
        <f t="shared" si="9"/>
        <v/>
      </c>
      <c r="F186" s="56" t="str">
        <f>IF(AMS!I206="","",AMS!I206)</f>
        <v/>
      </c>
      <c r="G186" s="56" t="str">
        <f>IF(AMS!J206="","",AMS!J206)</f>
        <v/>
      </c>
      <c r="H186" s="22" t="str">
        <f t="array" ref="H186">IF(A186&lt;&gt;" ",IFERROR(INDEX(Summary!$G$3:$G$1000,SMALL((Summary!$G$3:$G$1000="")/0.1%+ROW($3:$1000),ROW()-2)-2)&amp;"",""),"")</f>
        <v/>
      </c>
      <c r="I186" s="22" t="str">
        <f t="shared" si="10"/>
        <v/>
      </c>
      <c r="J186" s="22" t="str">
        <f t="shared" si="11"/>
        <v/>
      </c>
    </row>
    <row r="187" spans="1:10">
      <c r="A187" s="56" t="str">
        <f>IF(AMS!H207="","",AMS!H207)</f>
        <v/>
      </c>
      <c r="B187" s="22" t="str">
        <f t="shared" si="8"/>
        <v/>
      </c>
      <c r="C187" s="22" t="str">
        <f t="array" ref="C187">IFERROR(INDEX(Summary!$I$3:$I$1000,SMALL((Summary!$I$3:$I$1000="")/0.1%+ROW($3:$1000),ROW()-2)-2)&amp;"","")</f>
        <v/>
      </c>
      <c r="D187" s="22" t="str">
        <v/>
      </c>
      <c r="E187" s="22" t="str">
        <f t="shared" si="9"/>
        <v/>
      </c>
      <c r="F187" s="56" t="str">
        <f>IF(AMS!I207="","",AMS!I207)</f>
        <v/>
      </c>
      <c r="G187" s="56" t="str">
        <f>IF(AMS!J207="","",AMS!J207)</f>
        <v/>
      </c>
      <c r="H187" s="22" t="str">
        <f t="array" ref="H187">IF(A187&lt;&gt;" ",IFERROR(INDEX(Summary!$G$3:$G$1000,SMALL((Summary!$G$3:$G$1000="")/0.1%+ROW($3:$1000),ROW()-2)-2)&amp;"",""),"")</f>
        <v/>
      </c>
      <c r="I187" s="22" t="str">
        <f t="shared" si="10"/>
        <v/>
      </c>
      <c r="J187" s="22" t="str">
        <f t="shared" si="11"/>
        <v/>
      </c>
    </row>
    <row r="188" spans="1:10">
      <c r="A188" s="56" t="str">
        <f>IF(AMS!H208="","",AMS!H208)</f>
        <v/>
      </c>
      <c r="B188" s="22" t="str">
        <f t="shared" si="8"/>
        <v/>
      </c>
      <c r="C188" s="22" t="str">
        <f t="array" ref="C188">IFERROR(INDEX(Summary!$I$3:$I$1000,SMALL((Summary!$I$3:$I$1000="")/0.1%+ROW($3:$1000),ROW()-2)-2)&amp;"","")</f>
        <v/>
      </c>
      <c r="D188" s="22" t="str">
        <v/>
      </c>
      <c r="E188" s="22" t="str">
        <f t="shared" si="9"/>
        <v/>
      </c>
      <c r="F188" s="56" t="str">
        <f>IF(AMS!I208="","",AMS!I208)</f>
        <v/>
      </c>
      <c r="G188" s="56" t="str">
        <f>IF(AMS!J208="","",AMS!J208)</f>
        <v/>
      </c>
      <c r="H188" s="22" t="str">
        <f t="array" ref="H188">IF(A188&lt;&gt;" ",IFERROR(INDEX(Summary!$G$3:$G$1000,SMALL((Summary!$G$3:$G$1000="")/0.1%+ROW($3:$1000),ROW()-2)-2)&amp;"",""),"")</f>
        <v/>
      </c>
      <c r="I188" s="22" t="str">
        <f t="shared" si="10"/>
        <v/>
      </c>
      <c r="J188" s="22" t="str">
        <f t="shared" si="11"/>
        <v/>
      </c>
    </row>
    <row r="189" spans="1:10">
      <c r="A189" s="56" t="str">
        <f>IF(AMS!H209="","",AMS!H209)</f>
        <v/>
      </c>
      <c r="B189" s="22" t="str">
        <f t="shared" si="8"/>
        <v/>
      </c>
      <c r="C189" s="22" t="str">
        <f t="array" ref="C189">IFERROR(INDEX(Summary!$I$3:$I$1000,SMALL((Summary!$I$3:$I$1000="")/0.1%+ROW($3:$1000),ROW()-2)-2)&amp;"","")</f>
        <v/>
      </c>
      <c r="D189" s="22" t="str">
        <v/>
      </c>
      <c r="E189" s="22" t="str">
        <f t="shared" si="9"/>
        <v/>
      </c>
      <c r="F189" s="56" t="str">
        <f>IF(AMS!I209="","",AMS!I209)</f>
        <v/>
      </c>
      <c r="G189" s="56" t="str">
        <f>IF(AMS!J209="","",AMS!J209)</f>
        <v/>
      </c>
      <c r="H189" s="22" t="str">
        <f t="array" ref="H189">IF(A189&lt;&gt;" ",IFERROR(INDEX(Summary!$G$3:$G$1000,SMALL((Summary!$G$3:$G$1000="")/0.1%+ROW($3:$1000),ROW()-2)-2)&amp;"",""),"")</f>
        <v/>
      </c>
      <c r="I189" s="22" t="str">
        <f t="shared" si="10"/>
        <v/>
      </c>
      <c r="J189" s="22" t="str">
        <f t="shared" si="11"/>
        <v/>
      </c>
    </row>
    <row r="190" spans="1:10">
      <c r="A190" s="56" t="str">
        <f>IF(AMS!H210="","",AMS!H210)</f>
        <v/>
      </c>
      <c r="B190" s="22" t="str">
        <f t="shared" si="8"/>
        <v/>
      </c>
      <c r="C190" s="22" t="str">
        <f t="array" ref="C190">IFERROR(INDEX(Summary!$I$3:$I$1000,SMALL((Summary!$I$3:$I$1000="")/0.1%+ROW($3:$1000),ROW()-2)-2)&amp;"","")</f>
        <v/>
      </c>
      <c r="D190" s="22" t="str">
        <v/>
      </c>
      <c r="E190" s="22" t="str">
        <f t="shared" si="9"/>
        <v/>
      </c>
      <c r="F190" s="56" t="str">
        <f>IF(AMS!I210="","",AMS!I210)</f>
        <v/>
      </c>
      <c r="G190" s="56" t="str">
        <f>IF(AMS!J210="","",AMS!J210)</f>
        <v/>
      </c>
      <c r="H190" s="22" t="str">
        <f t="array" ref="H190">IF(A190&lt;&gt;" ",IFERROR(INDEX(Summary!$G$3:$G$1000,SMALL((Summary!$G$3:$G$1000="")/0.1%+ROW($3:$1000),ROW()-2)-2)&amp;"",""),"")</f>
        <v/>
      </c>
      <c r="I190" s="22" t="str">
        <f t="shared" si="10"/>
        <v/>
      </c>
      <c r="J190" s="22" t="str">
        <f t="shared" si="11"/>
        <v/>
      </c>
    </row>
    <row r="191" spans="1:10">
      <c r="A191" s="56" t="str">
        <f>IF(AMS!H211="","",AMS!H211)</f>
        <v/>
      </c>
      <c r="B191" s="22" t="str">
        <f t="shared" si="8"/>
        <v/>
      </c>
      <c r="C191" s="22" t="str">
        <f t="array" ref="C191">IFERROR(INDEX(Summary!$I$3:$I$1000,SMALL((Summary!$I$3:$I$1000="")/0.1%+ROW($3:$1000),ROW()-2)-2)&amp;"","")</f>
        <v/>
      </c>
      <c r="D191" s="22" t="str">
        <v/>
      </c>
      <c r="E191" s="22" t="str">
        <f t="shared" si="9"/>
        <v/>
      </c>
      <c r="F191" s="56" t="str">
        <f>IF(AMS!I211="","",AMS!I211)</f>
        <v/>
      </c>
      <c r="G191" s="56" t="str">
        <f>IF(AMS!J211="","",AMS!J211)</f>
        <v/>
      </c>
      <c r="H191" s="22" t="str">
        <f t="array" ref="H191">IF(A191&lt;&gt;" ",IFERROR(INDEX(Summary!$G$3:$G$1000,SMALL((Summary!$G$3:$G$1000="")/0.1%+ROW($3:$1000),ROW()-2)-2)&amp;"",""),"")</f>
        <v/>
      </c>
      <c r="I191" s="22" t="str">
        <f t="shared" si="10"/>
        <v/>
      </c>
      <c r="J191" s="22" t="str">
        <f t="shared" si="11"/>
        <v/>
      </c>
    </row>
    <row r="192" spans="1:10">
      <c r="A192" s="56" t="str">
        <f>IF(AMS!H212="","",AMS!H212)</f>
        <v/>
      </c>
      <c r="B192" s="22" t="str">
        <f t="shared" si="8"/>
        <v/>
      </c>
      <c r="C192" s="22" t="str">
        <f t="array" ref="C192">IFERROR(INDEX(Summary!$I$3:$I$1000,SMALL((Summary!$I$3:$I$1000="")/0.1%+ROW($3:$1000),ROW()-2)-2)&amp;"","")</f>
        <v/>
      </c>
      <c r="D192" s="22" t="str">
        <v/>
      </c>
      <c r="E192" s="22" t="str">
        <f t="shared" si="9"/>
        <v/>
      </c>
      <c r="F192" s="56" t="str">
        <f>IF(AMS!I212="","",AMS!I212)</f>
        <v/>
      </c>
      <c r="G192" s="56" t="str">
        <f>IF(AMS!J212="","",AMS!J212)</f>
        <v/>
      </c>
      <c r="H192" s="22" t="str">
        <f t="array" ref="H192">IF(A192&lt;&gt;" ",IFERROR(INDEX(Summary!$G$3:$G$1000,SMALL((Summary!$G$3:$G$1000="")/0.1%+ROW($3:$1000),ROW()-2)-2)&amp;"",""),"")</f>
        <v/>
      </c>
      <c r="I192" s="22" t="str">
        <f t="shared" si="10"/>
        <v/>
      </c>
      <c r="J192" s="22" t="str">
        <f t="shared" si="11"/>
        <v/>
      </c>
    </row>
    <row r="193" spans="1:10">
      <c r="A193" s="56" t="str">
        <f>IF(AMS!H213="","",AMS!H213)</f>
        <v/>
      </c>
      <c r="B193" s="22" t="str">
        <f t="shared" si="8"/>
        <v/>
      </c>
      <c r="C193" s="22" t="str">
        <f t="array" ref="C193">IFERROR(INDEX(Summary!$I$3:$I$1000,SMALL((Summary!$I$3:$I$1000="")/0.1%+ROW($3:$1000),ROW()-2)-2)&amp;"","")</f>
        <v/>
      </c>
      <c r="D193" s="22" t="str">
        <v/>
      </c>
      <c r="E193" s="22" t="str">
        <f t="shared" si="9"/>
        <v/>
      </c>
      <c r="F193" s="56" t="str">
        <f>IF(AMS!I213="","",AMS!I213)</f>
        <v/>
      </c>
      <c r="G193" s="56" t="str">
        <f>IF(AMS!J213="","",AMS!J213)</f>
        <v/>
      </c>
      <c r="H193" s="22" t="str">
        <f t="array" ref="H193">IF(A193&lt;&gt;" ",IFERROR(INDEX(Summary!$G$3:$G$1000,SMALL((Summary!$G$3:$G$1000="")/0.1%+ROW($3:$1000),ROW()-2)-2)&amp;"",""),"")</f>
        <v/>
      </c>
      <c r="I193" s="22" t="str">
        <f t="shared" si="10"/>
        <v/>
      </c>
      <c r="J193" s="22" t="str">
        <f t="shared" si="11"/>
        <v/>
      </c>
    </row>
    <row r="194" spans="1:10">
      <c r="A194" s="56" t="str">
        <f>IF(AMS!H214="","",AMS!H214)</f>
        <v/>
      </c>
      <c r="B194" s="22" t="str">
        <f t="shared" si="8"/>
        <v/>
      </c>
      <c r="C194" s="22" t="str">
        <f t="array" ref="C194">IFERROR(INDEX(Summary!$I$3:$I$1000,SMALL((Summary!$I$3:$I$1000="")/0.1%+ROW($3:$1000),ROW()-2)-2)&amp;"","")</f>
        <v/>
      </c>
      <c r="D194" s="22" t="str">
        <v/>
      </c>
      <c r="E194" s="22" t="str">
        <f t="shared" si="9"/>
        <v/>
      </c>
      <c r="F194" s="56" t="str">
        <f>IF(AMS!I214="","",AMS!I214)</f>
        <v/>
      </c>
      <c r="G194" s="56" t="str">
        <f>IF(AMS!J214="","",AMS!J214)</f>
        <v/>
      </c>
      <c r="H194" s="22" t="str">
        <f t="array" ref="H194">IF(A194&lt;&gt;" ",IFERROR(INDEX(Summary!$G$3:$G$1000,SMALL((Summary!$G$3:$G$1000="")/0.1%+ROW($3:$1000),ROW()-2)-2)&amp;"",""),"")</f>
        <v/>
      </c>
      <c r="I194" s="22" t="str">
        <f t="shared" si="10"/>
        <v/>
      </c>
      <c r="J194" s="22" t="str">
        <f t="shared" si="11"/>
        <v/>
      </c>
    </row>
    <row r="195" spans="1:10">
      <c r="A195" s="56" t="str">
        <f>IF(AMS!H215="","",AMS!H215)</f>
        <v/>
      </c>
      <c r="B195" s="22" t="str">
        <f t="shared" ref="B195:B258" si="12">IF(A195&lt;&gt;"",IFERROR(IF(SEARCH(".",A195),LEFT(SUBSTITUTE(A195,".",""),6)),LEFT(SUBSTITUTE(SUBSTITUTE(TRIM(A195)," ","")," ",""),6)),"")</f>
        <v/>
      </c>
      <c r="C195" s="22" t="str">
        <f t="array" ref="C195">IFERROR(INDEX(Summary!$I$3:$I$1000,SMALL((Summary!$I$3:$I$1000="")/0.1%+ROW($3:$1000),ROW()-2)-2)&amp;"","")</f>
        <v/>
      </c>
      <c r="D195" s="22" t="str">
        <v/>
      </c>
      <c r="E195" s="22" t="str">
        <f t="shared" ref="E195:E258" si="13">LEFT(D195,6)</f>
        <v/>
      </c>
      <c r="F195" s="56" t="str">
        <f>IF(AMS!I215="","",AMS!I215)</f>
        <v/>
      </c>
      <c r="G195" s="56" t="str">
        <f>IF(AMS!J215="","",AMS!J215)</f>
        <v/>
      </c>
      <c r="H195" s="22" t="str">
        <f t="array" ref="H195">IF(A195&lt;&gt;" ",IFERROR(INDEX(Summary!$G$3:$G$1000,SMALL((Summary!$G$3:$G$1000="")/0.1%+ROW($3:$1000),ROW()-2)-2)&amp;"",""),"")</f>
        <v/>
      </c>
      <c r="I195" s="22" t="str">
        <f t="shared" ref="I195:I258" si="14">B195&amp;F195</f>
        <v/>
      </c>
      <c r="J195" s="22" t="str">
        <f t="shared" ref="J195:J258" si="15">IF(D195="","",RIGHT(D195,LEN(D195)-6))</f>
        <v/>
      </c>
    </row>
    <row r="196" spans="1:10">
      <c r="A196" s="56" t="str">
        <f>IF(AMS!H216="","",AMS!H216)</f>
        <v/>
      </c>
      <c r="B196" s="22" t="str">
        <f t="shared" si="12"/>
        <v/>
      </c>
      <c r="C196" s="22" t="str">
        <f t="array" ref="C196">IFERROR(INDEX(Summary!$I$3:$I$1000,SMALL((Summary!$I$3:$I$1000="")/0.1%+ROW($3:$1000),ROW()-2)-2)&amp;"","")</f>
        <v/>
      </c>
      <c r="D196" s="22" t="str">
        <v/>
      </c>
      <c r="E196" s="22" t="str">
        <f t="shared" si="13"/>
        <v/>
      </c>
      <c r="F196" s="56" t="str">
        <f>IF(AMS!I216="","",AMS!I216)</f>
        <v/>
      </c>
      <c r="G196" s="56" t="str">
        <f>IF(AMS!J216="","",AMS!J216)</f>
        <v/>
      </c>
      <c r="H196" s="22" t="str">
        <f t="array" ref="H196">IF(A196&lt;&gt;" ",IFERROR(INDEX(Summary!$G$3:$G$1000,SMALL((Summary!$G$3:$G$1000="")/0.1%+ROW($3:$1000),ROW()-2)-2)&amp;"",""),"")</f>
        <v/>
      </c>
      <c r="I196" s="22" t="str">
        <f t="shared" si="14"/>
        <v/>
      </c>
      <c r="J196" s="22" t="str">
        <f t="shared" si="15"/>
        <v/>
      </c>
    </row>
    <row r="197" spans="1:10">
      <c r="A197" s="56" t="str">
        <f>IF(AMS!H217="","",AMS!H217)</f>
        <v/>
      </c>
      <c r="B197" s="22" t="str">
        <f t="shared" si="12"/>
        <v/>
      </c>
      <c r="C197" s="22" t="str">
        <f t="array" ref="C197">IFERROR(INDEX(Summary!$I$3:$I$1000,SMALL((Summary!$I$3:$I$1000="")/0.1%+ROW($3:$1000),ROW()-2)-2)&amp;"","")</f>
        <v/>
      </c>
      <c r="D197" s="22" t="str">
        <v/>
      </c>
      <c r="E197" s="22" t="str">
        <f t="shared" si="13"/>
        <v/>
      </c>
      <c r="F197" s="56" t="str">
        <f>IF(AMS!I217="","",AMS!I217)</f>
        <v/>
      </c>
      <c r="G197" s="56" t="str">
        <f>IF(AMS!J217="","",AMS!J217)</f>
        <v/>
      </c>
      <c r="H197" s="22" t="str">
        <f t="array" ref="H197">IF(A197&lt;&gt;" ",IFERROR(INDEX(Summary!$G$3:$G$1000,SMALL((Summary!$G$3:$G$1000="")/0.1%+ROW($3:$1000),ROW()-2)-2)&amp;"",""),"")</f>
        <v/>
      </c>
      <c r="I197" s="22" t="str">
        <f t="shared" si="14"/>
        <v/>
      </c>
      <c r="J197" s="22" t="str">
        <f t="shared" si="15"/>
        <v/>
      </c>
    </row>
    <row r="198" spans="1:10">
      <c r="A198" s="56" t="str">
        <f>IF(AMS!H218="","",AMS!H218)</f>
        <v/>
      </c>
      <c r="B198" s="22" t="str">
        <f t="shared" si="12"/>
        <v/>
      </c>
      <c r="C198" s="22" t="str">
        <f t="array" ref="C198">IFERROR(INDEX(Summary!$I$3:$I$1000,SMALL((Summary!$I$3:$I$1000="")/0.1%+ROW($3:$1000),ROW()-2)-2)&amp;"","")</f>
        <v/>
      </c>
      <c r="D198" s="22" t="str">
        <v/>
      </c>
      <c r="E198" s="22" t="str">
        <f t="shared" si="13"/>
        <v/>
      </c>
      <c r="F198" s="56" t="str">
        <f>IF(AMS!I218="","",AMS!I218)</f>
        <v/>
      </c>
      <c r="G198" s="56" t="str">
        <f>IF(AMS!J218="","",AMS!J218)</f>
        <v/>
      </c>
      <c r="H198" s="22" t="str">
        <f t="array" ref="H198">IF(A198&lt;&gt;" ",IFERROR(INDEX(Summary!$G$3:$G$1000,SMALL((Summary!$G$3:$G$1000="")/0.1%+ROW($3:$1000),ROW()-2)-2)&amp;"",""),"")</f>
        <v/>
      </c>
      <c r="I198" s="22" t="str">
        <f t="shared" si="14"/>
        <v/>
      </c>
      <c r="J198" s="22" t="str">
        <f t="shared" si="15"/>
        <v/>
      </c>
    </row>
    <row r="199" spans="1:10">
      <c r="A199" s="56" t="str">
        <f>IF(AMS!H219="","",AMS!H219)</f>
        <v/>
      </c>
      <c r="B199" s="22" t="str">
        <f t="shared" si="12"/>
        <v/>
      </c>
      <c r="C199" s="22" t="str">
        <f t="array" ref="C199">IFERROR(INDEX(Summary!$I$3:$I$1000,SMALL((Summary!$I$3:$I$1000="")/0.1%+ROW($3:$1000),ROW()-2)-2)&amp;"","")</f>
        <v/>
      </c>
      <c r="D199" s="22" t="str">
        <v/>
      </c>
      <c r="E199" s="22" t="str">
        <f t="shared" si="13"/>
        <v/>
      </c>
      <c r="F199" s="56" t="str">
        <f>IF(AMS!I219="","",AMS!I219)</f>
        <v/>
      </c>
      <c r="G199" s="56" t="str">
        <f>IF(AMS!J219="","",AMS!J219)</f>
        <v/>
      </c>
      <c r="H199" s="22" t="str">
        <f t="array" ref="H199">IF(A199&lt;&gt;" ",IFERROR(INDEX(Summary!$G$3:$G$1000,SMALL((Summary!$G$3:$G$1000="")/0.1%+ROW($3:$1000),ROW()-2)-2)&amp;"",""),"")</f>
        <v/>
      </c>
      <c r="I199" s="22" t="str">
        <f t="shared" si="14"/>
        <v/>
      </c>
      <c r="J199" s="22" t="str">
        <f t="shared" si="15"/>
        <v/>
      </c>
    </row>
    <row r="200" spans="1:10">
      <c r="A200" s="56" t="str">
        <f>IF(AMS!H220="","",AMS!H220)</f>
        <v/>
      </c>
      <c r="B200" s="22" t="str">
        <f t="shared" si="12"/>
        <v/>
      </c>
      <c r="C200" s="22" t="str">
        <f t="array" ref="C200">IFERROR(INDEX(Summary!$I$3:$I$1000,SMALL((Summary!$I$3:$I$1000="")/0.1%+ROW($3:$1000),ROW()-2)-2)&amp;"","")</f>
        <v/>
      </c>
      <c r="D200" s="22" t="str">
        <v/>
      </c>
      <c r="E200" s="22" t="str">
        <f t="shared" si="13"/>
        <v/>
      </c>
      <c r="F200" s="56" t="str">
        <f>IF(AMS!I220="","",AMS!I220)</f>
        <v/>
      </c>
      <c r="G200" s="56" t="str">
        <f>IF(AMS!J220="","",AMS!J220)</f>
        <v/>
      </c>
      <c r="H200" s="22" t="str">
        <f t="array" ref="H200">IF(A200&lt;&gt;" ",IFERROR(INDEX(Summary!$G$3:$G$1000,SMALL((Summary!$G$3:$G$1000="")/0.1%+ROW($3:$1000),ROW()-2)-2)&amp;"",""),"")</f>
        <v/>
      </c>
      <c r="I200" s="22" t="str">
        <f t="shared" si="14"/>
        <v/>
      </c>
      <c r="J200" s="22" t="str">
        <f t="shared" si="15"/>
        <v/>
      </c>
    </row>
    <row r="201" spans="1:10">
      <c r="A201" s="56" t="str">
        <f>IF(AMS!H221="","",AMS!H221)</f>
        <v/>
      </c>
      <c r="B201" s="22" t="str">
        <f t="shared" si="12"/>
        <v/>
      </c>
      <c r="C201" s="22" t="str">
        <f t="array" ref="C201">IFERROR(INDEX(Summary!$I$3:$I$1000,SMALL((Summary!$I$3:$I$1000="")/0.1%+ROW($3:$1000),ROW()-2)-2)&amp;"","")</f>
        <v/>
      </c>
      <c r="D201" s="22" t="str">
        <v/>
      </c>
      <c r="E201" s="22" t="str">
        <f t="shared" si="13"/>
        <v/>
      </c>
      <c r="F201" s="56" t="str">
        <f>IF(AMS!I221="","",AMS!I221)</f>
        <v/>
      </c>
      <c r="G201" s="56" t="str">
        <f>IF(AMS!J221="","",AMS!J221)</f>
        <v/>
      </c>
      <c r="H201" s="22" t="str">
        <f t="array" ref="H201">IF(A201&lt;&gt;" ",IFERROR(INDEX(Summary!$G$3:$G$1000,SMALL((Summary!$G$3:$G$1000="")/0.1%+ROW($3:$1000),ROW()-2)-2)&amp;"",""),"")</f>
        <v/>
      </c>
      <c r="I201" s="22" t="str">
        <f t="shared" si="14"/>
        <v/>
      </c>
      <c r="J201" s="22" t="str">
        <f t="shared" si="15"/>
        <v/>
      </c>
    </row>
    <row r="202" spans="1:10">
      <c r="A202" s="56" t="str">
        <f>IF(AMS!H222="","",AMS!H222)</f>
        <v/>
      </c>
      <c r="B202" s="22" t="str">
        <f t="shared" si="12"/>
        <v/>
      </c>
      <c r="C202" s="22" t="str">
        <f t="array" ref="C202">IFERROR(INDEX(Summary!$I$3:$I$1000,SMALL((Summary!$I$3:$I$1000="")/0.1%+ROW($3:$1000),ROW()-2)-2)&amp;"","")</f>
        <v/>
      </c>
      <c r="D202" s="22" t="str">
        <v/>
      </c>
      <c r="E202" s="22" t="str">
        <f t="shared" si="13"/>
        <v/>
      </c>
      <c r="F202" s="56" t="str">
        <f>IF(AMS!I222="","",AMS!I222)</f>
        <v/>
      </c>
      <c r="G202" s="56" t="str">
        <f>IF(AMS!J222="","",AMS!J222)</f>
        <v/>
      </c>
      <c r="H202" s="22" t="str">
        <f t="array" ref="H202">IF(A202&lt;&gt;" ",IFERROR(INDEX(Summary!$G$3:$G$1000,SMALL((Summary!$G$3:$G$1000="")/0.1%+ROW($3:$1000),ROW()-2)-2)&amp;"",""),"")</f>
        <v/>
      </c>
      <c r="I202" s="22" t="str">
        <f t="shared" si="14"/>
        <v/>
      </c>
      <c r="J202" s="22" t="str">
        <f t="shared" si="15"/>
        <v/>
      </c>
    </row>
    <row r="203" spans="1:10">
      <c r="A203" s="56" t="str">
        <f>IF(AMS!H223="","",AMS!H223)</f>
        <v/>
      </c>
      <c r="B203" s="22" t="str">
        <f t="shared" si="12"/>
        <v/>
      </c>
      <c r="C203" s="22" t="str">
        <f t="array" ref="C203">IFERROR(INDEX(Summary!$I$3:$I$1000,SMALL((Summary!$I$3:$I$1000="")/0.1%+ROW($3:$1000),ROW()-2)-2)&amp;"","")</f>
        <v/>
      </c>
      <c r="D203" s="22" t="str">
        <v/>
      </c>
      <c r="E203" s="22" t="str">
        <f t="shared" si="13"/>
        <v/>
      </c>
      <c r="F203" s="56" t="str">
        <f>IF(AMS!I223="","",AMS!I223)</f>
        <v/>
      </c>
      <c r="G203" s="56" t="str">
        <f>IF(AMS!J223="","",AMS!J223)</f>
        <v/>
      </c>
      <c r="H203" s="22" t="str">
        <f t="array" ref="H203">IF(A203&lt;&gt;" ",IFERROR(INDEX(Summary!$G$3:$G$1000,SMALL((Summary!$G$3:$G$1000="")/0.1%+ROW($3:$1000),ROW()-2)-2)&amp;"",""),"")</f>
        <v/>
      </c>
      <c r="I203" s="22" t="str">
        <f t="shared" si="14"/>
        <v/>
      </c>
      <c r="J203" s="22" t="str">
        <f t="shared" si="15"/>
        <v/>
      </c>
    </row>
    <row r="204" spans="1:10">
      <c r="A204" s="56" t="str">
        <f>IF(AMS!H224="","",AMS!H224)</f>
        <v/>
      </c>
      <c r="B204" s="22" t="str">
        <f t="shared" si="12"/>
        <v/>
      </c>
      <c r="C204" s="22" t="str">
        <f t="array" ref="C204">IFERROR(INDEX(Summary!$I$3:$I$1000,SMALL((Summary!$I$3:$I$1000="")/0.1%+ROW($3:$1000),ROW()-2)-2)&amp;"","")</f>
        <v/>
      </c>
      <c r="D204" s="22" t="str">
        <v/>
      </c>
      <c r="E204" s="22" t="str">
        <f t="shared" si="13"/>
        <v/>
      </c>
      <c r="F204" s="56" t="str">
        <f>IF(AMS!I224="","",AMS!I224)</f>
        <v/>
      </c>
      <c r="G204" s="56" t="str">
        <f>IF(AMS!J224="","",AMS!J224)</f>
        <v/>
      </c>
      <c r="H204" s="22" t="str">
        <f t="array" ref="H204">IF(A204&lt;&gt;" ",IFERROR(INDEX(Summary!$G$3:$G$1000,SMALL((Summary!$G$3:$G$1000="")/0.1%+ROW($3:$1000),ROW()-2)-2)&amp;"",""),"")</f>
        <v/>
      </c>
      <c r="I204" s="22" t="str">
        <f t="shared" si="14"/>
        <v/>
      </c>
      <c r="J204" s="22" t="str">
        <f t="shared" si="15"/>
        <v/>
      </c>
    </row>
    <row r="205" spans="1:10">
      <c r="A205" s="56" t="str">
        <f>IF(AMS!H225="","",AMS!H225)</f>
        <v/>
      </c>
      <c r="B205" s="22" t="str">
        <f t="shared" si="12"/>
        <v/>
      </c>
      <c r="C205" s="22" t="str">
        <f t="array" ref="C205">IFERROR(INDEX(Summary!$I$3:$I$1000,SMALL((Summary!$I$3:$I$1000="")/0.1%+ROW($3:$1000),ROW()-2)-2)&amp;"","")</f>
        <v/>
      </c>
      <c r="D205" s="22" t="str">
        <v/>
      </c>
      <c r="E205" s="22" t="str">
        <f t="shared" si="13"/>
        <v/>
      </c>
      <c r="F205" s="56" t="str">
        <f>IF(AMS!I225="","",AMS!I225)</f>
        <v/>
      </c>
      <c r="G205" s="56" t="str">
        <f>IF(AMS!J225="","",AMS!J225)</f>
        <v/>
      </c>
      <c r="H205" s="22" t="str">
        <f t="array" ref="H205">IF(A205&lt;&gt;" ",IFERROR(INDEX(Summary!$G$3:$G$1000,SMALL((Summary!$G$3:$G$1000="")/0.1%+ROW($3:$1000),ROW()-2)-2)&amp;"",""),"")</f>
        <v/>
      </c>
      <c r="I205" s="22" t="str">
        <f t="shared" si="14"/>
        <v/>
      </c>
      <c r="J205" s="22" t="str">
        <f t="shared" si="15"/>
        <v/>
      </c>
    </row>
    <row r="206" spans="1:10">
      <c r="A206" s="56" t="str">
        <f>IF(AMS!H226="","",AMS!H226)</f>
        <v/>
      </c>
      <c r="B206" s="22" t="str">
        <f t="shared" si="12"/>
        <v/>
      </c>
      <c r="C206" s="22" t="str">
        <f t="array" ref="C206">IFERROR(INDEX(Summary!$I$3:$I$1000,SMALL((Summary!$I$3:$I$1000="")/0.1%+ROW($3:$1000),ROW()-2)-2)&amp;"","")</f>
        <v/>
      </c>
      <c r="D206" s="22" t="str">
        <v/>
      </c>
      <c r="E206" s="22" t="str">
        <f t="shared" si="13"/>
        <v/>
      </c>
      <c r="F206" s="56" t="str">
        <f>IF(AMS!I226="","",AMS!I226)</f>
        <v/>
      </c>
      <c r="G206" s="56" t="str">
        <f>IF(AMS!J226="","",AMS!J226)</f>
        <v/>
      </c>
      <c r="H206" s="22" t="str">
        <f t="array" ref="H206">IF(A206&lt;&gt;" ",IFERROR(INDEX(Summary!$G$3:$G$1000,SMALL((Summary!$G$3:$G$1000="")/0.1%+ROW($3:$1000),ROW()-2)-2)&amp;"",""),"")</f>
        <v/>
      </c>
      <c r="I206" s="22" t="str">
        <f t="shared" si="14"/>
        <v/>
      </c>
      <c r="J206" s="22" t="str">
        <f t="shared" si="15"/>
        <v/>
      </c>
    </row>
    <row r="207" spans="1:10">
      <c r="A207" s="56" t="str">
        <f>IF(AMS!H227="","",AMS!H227)</f>
        <v/>
      </c>
      <c r="B207" s="22" t="str">
        <f t="shared" si="12"/>
        <v/>
      </c>
      <c r="C207" s="22" t="str">
        <f t="array" ref="C207">IFERROR(INDEX(Summary!$I$3:$I$1000,SMALL((Summary!$I$3:$I$1000="")/0.1%+ROW($3:$1000),ROW()-2)-2)&amp;"","")</f>
        <v/>
      </c>
      <c r="D207" s="22" t="str">
        <v/>
      </c>
      <c r="E207" s="22" t="str">
        <f t="shared" si="13"/>
        <v/>
      </c>
      <c r="F207" s="56" t="str">
        <f>IF(AMS!I227="","",AMS!I227)</f>
        <v/>
      </c>
      <c r="G207" s="56" t="str">
        <f>IF(AMS!J227="","",AMS!J227)</f>
        <v/>
      </c>
      <c r="H207" s="22" t="str">
        <f t="array" ref="H207">IF(A207&lt;&gt;" ",IFERROR(INDEX(Summary!$G$3:$G$1000,SMALL((Summary!$G$3:$G$1000="")/0.1%+ROW($3:$1000),ROW()-2)-2)&amp;"",""),"")</f>
        <v/>
      </c>
      <c r="I207" s="22" t="str">
        <f t="shared" si="14"/>
        <v/>
      </c>
      <c r="J207" s="22" t="str">
        <f t="shared" si="15"/>
        <v/>
      </c>
    </row>
    <row r="208" spans="1:10">
      <c r="A208" s="56" t="str">
        <f>IF(AMS!H228="","",AMS!H228)</f>
        <v/>
      </c>
      <c r="B208" s="22" t="str">
        <f t="shared" si="12"/>
        <v/>
      </c>
      <c r="C208" s="22" t="str">
        <f t="array" ref="C208">IFERROR(INDEX(Summary!$I$3:$I$1000,SMALL((Summary!$I$3:$I$1000="")/0.1%+ROW($3:$1000),ROW()-2)-2)&amp;"","")</f>
        <v/>
      </c>
      <c r="D208" s="22" t="str">
        <v/>
      </c>
      <c r="E208" s="22" t="str">
        <f t="shared" si="13"/>
        <v/>
      </c>
      <c r="F208" s="56" t="str">
        <f>IF(AMS!I228="","",AMS!I228)</f>
        <v/>
      </c>
      <c r="G208" s="56" t="str">
        <f>IF(AMS!J228="","",AMS!J228)</f>
        <v/>
      </c>
      <c r="H208" s="22" t="str">
        <f t="array" ref="H208">IF(A208&lt;&gt;" ",IFERROR(INDEX(Summary!$G$3:$G$1000,SMALL((Summary!$G$3:$G$1000="")/0.1%+ROW($3:$1000),ROW()-2)-2)&amp;"",""),"")</f>
        <v/>
      </c>
      <c r="I208" s="22" t="str">
        <f t="shared" si="14"/>
        <v/>
      </c>
      <c r="J208" s="22" t="str">
        <f t="shared" si="15"/>
        <v/>
      </c>
    </row>
    <row r="209" spans="1:10">
      <c r="A209" s="56" t="str">
        <f>IF(AMS!H229="","",AMS!H229)</f>
        <v/>
      </c>
      <c r="B209" s="22" t="str">
        <f t="shared" si="12"/>
        <v/>
      </c>
      <c r="C209" s="22" t="str">
        <f t="array" ref="C209">IFERROR(INDEX(Summary!$I$3:$I$1000,SMALL((Summary!$I$3:$I$1000="")/0.1%+ROW($3:$1000),ROW()-2)-2)&amp;"","")</f>
        <v/>
      </c>
      <c r="D209" s="22" t="str">
        <v/>
      </c>
      <c r="E209" s="22" t="str">
        <f t="shared" si="13"/>
        <v/>
      </c>
      <c r="F209" s="56" t="str">
        <f>IF(AMS!I229="","",AMS!I229)</f>
        <v/>
      </c>
      <c r="G209" s="56" t="str">
        <f>IF(AMS!J229="","",AMS!J229)</f>
        <v/>
      </c>
      <c r="H209" s="22" t="str">
        <f t="array" ref="H209">IF(A209&lt;&gt;" ",IFERROR(INDEX(Summary!$G$3:$G$1000,SMALL((Summary!$G$3:$G$1000="")/0.1%+ROW($3:$1000),ROW()-2)-2)&amp;"",""),"")</f>
        <v/>
      </c>
      <c r="I209" s="22" t="str">
        <f t="shared" si="14"/>
        <v/>
      </c>
      <c r="J209" s="22" t="str">
        <f t="shared" si="15"/>
        <v/>
      </c>
    </row>
    <row r="210" spans="1:10">
      <c r="A210" s="56" t="str">
        <f>IF(AMS!H230="","",AMS!H230)</f>
        <v/>
      </c>
      <c r="B210" s="22" t="str">
        <f t="shared" si="12"/>
        <v/>
      </c>
      <c r="C210" s="22" t="str">
        <f t="array" ref="C210">IFERROR(INDEX(Summary!$I$3:$I$1000,SMALL((Summary!$I$3:$I$1000="")/0.1%+ROW($3:$1000),ROW()-2)-2)&amp;"","")</f>
        <v/>
      </c>
      <c r="D210" s="22" t="str">
        <v/>
      </c>
      <c r="E210" s="22" t="str">
        <f t="shared" si="13"/>
        <v/>
      </c>
      <c r="F210" s="56" t="str">
        <f>IF(AMS!I230="","",AMS!I230)</f>
        <v/>
      </c>
      <c r="G210" s="56" t="str">
        <f>IF(AMS!J230="","",AMS!J230)</f>
        <v/>
      </c>
      <c r="H210" s="22" t="str">
        <f t="array" ref="H210">IF(A210&lt;&gt;" ",IFERROR(INDEX(Summary!$G$3:$G$1000,SMALL((Summary!$G$3:$G$1000="")/0.1%+ROW($3:$1000),ROW()-2)-2)&amp;"",""),"")</f>
        <v/>
      </c>
      <c r="I210" s="22" t="str">
        <f t="shared" si="14"/>
        <v/>
      </c>
      <c r="J210" s="22" t="str">
        <f t="shared" si="15"/>
        <v/>
      </c>
    </row>
    <row r="211" spans="1:10">
      <c r="A211" s="56" t="str">
        <f>IF(AMS!H231="","",AMS!H231)</f>
        <v/>
      </c>
      <c r="B211" s="22" t="str">
        <f t="shared" si="12"/>
        <v/>
      </c>
      <c r="C211" s="22" t="str">
        <f t="array" ref="C211">IFERROR(INDEX(Summary!$I$3:$I$1000,SMALL((Summary!$I$3:$I$1000="")/0.1%+ROW($3:$1000),ROW()-2)-2)&amp;"","")</f>
        <v/>
      </c>
      <c r="D211" s="22" t="str">
        <v/>
      </c>
      <c r="E211" s="22" t="str">
        <f t="shared" si="13"/>
        <v/>
      </c>
      <c r="F211" s="56" t="str">
        <f>IF(AMS!I231="","",AMS!I231)</f>
        <v/>
      </c>
      <c r="G211" s="56" t="str">
        <f>IF(AMS!J231="","",AMS!J231)</f>
        <v/>
      </c>
      <c r="H211" s="22" t="str">
        <f t="array" ref="H211">IF(A211&lt;&gt;" ",IFERROR(INDEX(Summary!$G$3:$G$1000,SMALL((Summary!$G$3:$G$1000="")/0.1%+ROW($3:$1000),ROW()-2)-2)&amp;"",""),"")</f>
        <v/>
      </c>
      <c r="I211" s="22" t="str">
        <f t="shared" si="14"/>
        <v/>
      </c>
      <c r="J211" s="22" t="str">
        <f t="shared" si="15"/>
        <v/>
      </c>
    </row>
    <row r="212" spans="1:10">
      <c r="A212" s="56" t="str">
        <f>IF(AMS!H232="","",AMS!H232)</f>
        <v/>
      </c>
      <c r="B212" s="22" t="str">
        <f t="shared" si="12"/>
        <v/>
      </c>
      <c r="C212" s="22" t="str">
        <f t="array" ref="C212">IFERROR(INDEX(Summary!$I$3:$I$1000,SMALL((Summary!$I$3:$I$1000="")/0.1%+ROW($3:$1000),ROW()-2)-2)&amp;"","")</f>
        <v/>
      </c>
      <c r="D212" s="22" t="str">
        <v/>
      </c>
      <c r="E212" s="22" t="str">
        <f t="shared" si="13"/>
        <v/>
      </c>
      <c r="F212" s="56" t="str">
        <f>IF(AMS!I232="","",AMS!I232)</f>
        <v/>
      </c>
      <c r="G212" s="56" t="str">
        <f>IF(AMS!J232="","",AMS!J232)</f>
        <v/>
      </c>
      <c r="H212" s="22" t="str">
        <f t="array" ref="H212">IF(A212&lt;&gt;" ",IFERROR(INDEX(Summary!$G$3:$G$1000,SMALL((Summary!$G$3:$G$1000="")/0.1%+ROW($3:$1000),ROW()-2)-2)&amp;"",""),"")</f>
        <v/>
      </c>
      <c r="I212" s="22" t="str">
        <f t="shared" si="14"/>
        <v/>
      </c>
      <c r="J212" s="22" t="str">
        <f t="shared" si="15"/>
        <v/>
      </c>
    </row>
    <row r="213" spans="1:10">
      <c r="A213" s="56" t="str">
        <f>IF(AMS!H233="","",AMS!H233)</f>
        <v/>
      </c>
      <c r="B213" s="22" t="str">
        <f t="shared" si="12"/>
        <v/>
      </c>
      <c r="C213" s="22" t="str">
        <f t="array" ref="C213">IFERROR(INDEX(Summary!$I$3:$I$1000,SMALL((Summary!$I$3:$I$1000="")/0.1%+ROW($3:$1000),ROW()-2)-2)&amp;"","")</f>
        <v/>
      </c>
      <c r="D213" s="22" t="str">
        <v/>
      </c>
      <c r="E213" s="22" t="str">
        <f t="shared" si="13"/>
        <v/>
      </c>
      <c r="F213" s="56" t="str">
        <f>IF(AMS!I233="","",AMS!I233)</f>
        <v/>
      </c>
      <c r="G213" s="56" t="str">
        <f>IF(AMS!J233="","",AMS!J233)</f>
        <v/>
      </c>
      <c r="H213" s="22" t="str">
        <f t="array" ref="H213">IF(A213&lt;&gt;" ",IFERROR(INDEX(Summary!$G$3:$G$1000,SMALL((Summary!$G$3:$G$1000="")/0.1%+ROW($3:$1000),ROW()-2)-2)&amp;"",""),"")</f>
        <v/>
      </c>
      <c r="I213" s="22" t="str">
        <f t="shared" si="14"/>
        <v/>
      </c>
      <c r="J213" s="22" t="str">
        <f t="shared" si="15"/>
        <v/>
      </c>
    </row>
    <row r="214" spans="1:10">
      <c r="A214" s="56" t="str">
        <f>IF(AMS!H234="","",AMS!H234)</f>
        <v/>
      </c>
      <c r="B214" s="22" t="str">
        <f t="shared" si="12"/>
        <v/>
      </c>
      <c r="C214" s="22" t="str">
        <f t="array" ref="C214">IFERROR(INDEX(Summary!$I$3:$I$1000,SMALL((Summary!$I$3:$I$1000="")/0.1%+ROW($3:$1000),ROW()-2)-2)&amp;"","")</f>
        <v/>
      </c>
      <c r="D214" s="22" t="str">
        <v/>
      </c>
      <c r="E214" s="22" t="str">
        <f t="shared" si="13"/>
        <v/>
      </c>
      <c r="F214" s="56" t="str">
        <f>IF(AMS!I234="","",AMS!I234)</f>
        <v/>
      </c>
      <c r="G214" s="56" t="str">
        <f>IF(AMS!J234="","",AMS!J234)</f>
        <v/>
      </c>
      <c r="H214" s="22" t="str">
        <f t="array" ref="H214">IF(A214&lt;&gt;" ",IFERROR(INDEX(Summary!$G$3:$G$1000,SMALL((Summary!$G$3:$G$1000="")/0.1%+ROW($3:$1000),ROW()-2)-2)&amp;"",""),"")</f>
        <v/>
      </c>
      <c r="I214" s="22" t="str">
        <f t="shared" si="14"/>
        <v/>
      </c>
      <c r="J214" s="22" t="str">
        <f t="shared" si="15"/>
        <v/>
      </c>
    </row>
    <row r="215" spans="1:10">
      <c r="A215" s="56" t="str">
        <f>IF(AMS!H235="","",AMS!H235)</f>
        <v/>
      </c>
      <c r="B215" s="22" t="str">
        <f t="shared" si="12"/>
        <v/>
      </c>
      <c r="C215" s="22" t="str">
        <f t="array" ref="C215">IFERROR(INDEX(Summary!$I$3:$I$1000,SMALL((Summary!$I$3:$I$1000="")/0.1%+ROW($3:$1000),ROW()-2)-2)&amp;"","")</f>
        <v/>
      </c>
      <c r="D215" s="22" t="str">
        <v/>
      </c>
      <c r="E215" s="22" t="str">
        <f t="shared" si="13"/>
        <v/>
      </c>
      <c r="F215" s="56" t="str">
        <f>IF(AMS!I235="","",AMS!I235)</f>
        <v/>
      </c>
      <c r="G215" s="56" t="str">
        <f>IF(AMS!J235="","",AMS!J235)</f>
        <v/>
      </c>
      <c r="H215" s="22" t="str">
        <f t="array" ref="H215">IF(A215&lt;&gt;" ",IFERROR(INDEX(Summary!$G$3:$G$1000,SMALL((Summary!$G$3:$G$1000="")/0.1%+ROW($3:$1000),ROW()-2)-2)&amp;"",""),"")</f>
        <v/>
      </c>
      <c r="I215" s="22" t="str">
        <f t="shared" si="14"/>
        <v/>
      </c>
      <c r="J215" s="22" t="str">
        <f t="shared" si="15"/>
        <v/>
      </c>
    </row>
    <row r="216" spans="1:10">
      <c r="A216" s="56" t="str">
        <f>IF(AMS!H236="","",AMS!H236)</f>
        <v/>
      </c>
      <c r="B216" s="22" t="str">
        <f t="shared" si="12"/>
        <v/>
      </c>
      <c r="C216" s="22" t="str">
        <f t="array" ref="C216">IFERROR(INDEX(Summary!$I$3:$I$1000,SMALL((Summary!$I$3:$I$1000="")/0.1%+ROW($3:$1000),ROW()-2)-2)&amp;"","")</f>
        <v/>
      </c>
      <c r="D216" s="22" t="str">
        <v/>
      </c>
      <c r="E216" s="22" t="str">
        <f t="shared" si="13"/>
        <v/>
      </c>
      <c r="F216" s="56" t="str">
        <f>IF(AMS!I236="","",AMS!I236)</f>
        <v/>
      </c>
      <c r="G216" s="56" t="str">
        <f>IF(AMS!J236="","",AMS!J236)</f>
        <v/>
      </c>
      <c r="H216" s="22" t="str">
        <f t="array" ref="H216">IF(A216&lt;&gt;" ",IFERROR(INDEX(Summary!$G$3:$G$1000,SMALL((Summary!$G$3:$G$1000="")/0.1%+ROW($3:$1000),ROW()-2)-2)&amp;"",""),"")</f>
        <v/>
      </c>
      <c r="I216" s="22" t="str">
        <f t="shared" si="14"/>
        <v/>
      </c>
      <c r="J216" s="22" t="str">
        <f t="shared" si="15"/>
        <v/>
      </c>
    </row>
    <row r="217" spans="1:10">
      <c r="A217" s="56" t="str">
        <f>IF(AMS!H237="","",AMS!H237)</f>
        <v/>
      </c>
      <c r="B217" s="22" t="str">
        <f t="shared" si="12"/>
        <v/>
      </c>
      <c r="C217" s="22" t="str">
        <f t="array" ref="C217">IFERROR(INDEX(Summary!$I$3:$I$1000,SMALL((Summary!$I$3:$I$1000="")/0.1%+ROW($3:$1000),ROW()-2)-2)&amp;"","")</f>
        <v/>
      </c>
      <c r="D217" s="22" t="str">
        <v/>
      </c>
      <c r="E217" s="22" t="str">
        <f t="shared" si="13"/>
        <v/>
      </c>
      <c r="F217" s="56" t="str">
        <f>IF(AMS!I237="","",AMS!I237)</f>
        <v/>
      </c>
      <c r="G217" s="56" t="str">
        <f>IF(AMS!J237="","",AMS!J237)</f>
        <v/>
      </c>
      <c r="H217" s="22" t="str">
        <f t="array" ref="H217">IF(A217&lt;&gt;" ",IFERROR(INDEX(Summary!$G$3:$G$1000,SMALL((Summary!$G$3:$G$1000="")/0.1%+ROW($3:$1000),ROW()-2)-2)&amp;"",""),"")</f>
        <v/>
      </c>
      <c r="I217" s="22" t="str">
        <f t="shared" si="14"/>
        <v/>
      </c>
      <c r="J217" s="22" t="str">
        <f t="shared" si="15"/>
        <v/>
      </c>
    </row>
    <row r="218" spans="1:10">
      <c r="A218" s="56" t="str">
        <f>IF(AMS!H238="","",AMS!H238)</f>
        <v/>
      </c>
      <c r="B218" s="22" t="str">
        <f t="shared" si="12"/>
        <v/>
      </c>
      <c r="C218" s="22" t="str">
        <f t="array" ref="C218">IFERROR(INDEX(Summary!$I$3:$I$1000,SMALL((Summary!$I$3:$I$1000="")/0.1%+ROW($3:$1000),ROW()-2)-2)&amp;"","")</f>
        <v/>
      </c>
      <c r="D218" s="22" t="str">
        <v/>
      </c>
      <c r="E218" s="22" t="str">
        <f t="shared" si="13"/>
        <v/>
      </c>
      <c r="F218" s="56" t="str">
        <f>IF(AMS!I238="","",AMS!I238)</f>
        <v/>
      </c>
      <c r="G218" s="56" t="str">
        <f>IF(AMS!J238="","",AMS!J238)</f>
        <v/>
      </c>
      <c r="H218" s="22" t="str">
        <f t="array" ref="H218">IF(A218&lt;&gt;" ",IFERROR(INDEX(Summary!$G$3:$G$1000,SMALL((Summary!$G$3:$G$1000="")/0.1%+ROW($3:$1000),ROW()-2)-2)&amp;"",""),"")</f>
        <v/>
      </c>
      <c r="I218" s="22" t="str">
        <f t="shared" si="14"/>
        <v/>
      </c>
      <c r="J218" s="22" t="str">
        <f t="shared" si="15"/>
        <v/>
      </c>
    </row>
    <row r="219" spans="1:10">
      <c r="A219" s="56" t="str">
        <f>IF(AMS!H239="","",AMS!H239)</f>
        <v/>
      </c>
      <c r="B219" s="22" t="str">
        <f t="shared" si="12"/>
        <v/>
      </c>
      <c r="C219" s="22" t="str">
        <f t="array" ref="C219">IFERROR(INDEX(Summary!$I$3:$I$1000,SMALL((Summary!$I$3:$I$1000="")/0.1%+ROW($3:$1000),ROW()-2)-2)&amp;"","")</f>
        <v/>
      </c>
      <c r="D219" s="22" t="str">
        <v/>
      </c>
      <c r="E219" s="22" t="str">
        <f t="shared" si="13"/>
        <v/>
      </c>
      <c r="F219" s="56" t="str">
        <f>IF(AMS!I239="","",AMS!I239)</f>
        <v/>
      </c>
      <c r="G219" s="56" t="str">
        <f>IF(AMS!J239="","",AMS!J239)</f>
        <v/>
      </c>
      <c r="H219" s="22" t="str">
        <f t="array" ref="H219">IF(A219&lt;&gt;" ",IFERROR(INDEX(Summary!$G$3:$G$1000,SMALL((Summary!$G$3:$G$1000="")/0.1%+ROW($3:$1000),ROW()-2)-2)&amp;"",""),"")</f>
        <v/>
      </c>
      <c r="I219" s="22" t="str">
        <f t="shared" si="14"/>
        <v/>
      </c>
      <c r="J219" s="22" t="str">
        <f t="shared" si="15"/>
        <v/>
      </c>
    </row>
    <row r="220" spans="1:10">
      <c r="A220" s="56" t="str">
        <f>IF(AMS!H240="","",AMS!H240)</f>
        <v/>
      </c>
      <c r="B220" s="22" t="str">
        <f t="shared" si="12"/>
        <v/>
      </c>
      <c r="C220" s="22" t="str">
        <f t="array" ref="C220">IFERROR(INDEX(Summary!$I$3:$I$1000,SMALL((Summary!$I$3:$I$1000="")/0.1%+ROW($3:$1000),ROW()-2)-2)&amp;"","")</f>
        <v/>
      </c>
      <c r="D220" s="22" t="str">
        <v/>
      </c>
      <c r="E220" s="22" t="str">
        <f t="shared" si="13"/>
        <v/>
      </c>
      <c r="F220" s="56" t="str">
        <f>IF(AMS!I240="","",AMS!I240)</f>
        <v/>
      </c>
      <c r="G220" s="56" t="str">
        <f>IF(AMS!J240="","",AMS!J240)</f>
        <v/>
      </c>
      <c r="H220" s="22" t="str">
        <f t="array" ref="H220">IF(A220&lt;&gt;" ",IFERROR(INDEX(Summary!$G$3:$G$1000,SMALL((Summary!$G$3:$G$1000="")/0.1%+ROW($3:$1000),ROW()-2)-2)&amp;"",""),"")</f>
        <v/>
      </c>
      <c r="I220" s="22" t="str">
        <f t="shared" si="14"/>
        <v/>
      </c>
      <c r="J220" s="22" t="str">
        <f t="shared" si="15"/>
        <v/>
      </c>
    </row>
    <row r="221" spans="1:10">
      <c r="A221" s="56" t="str">
        <f>IF(AMS!H241="","",AMS!H241)</f>
        <v/>
      </c>
      <c r="B221" s="22" t="str">
        <f t="shared" si="12"/>
        <v/>
      </c>
      <c r="C221" s="22" t="str">
        <f t="array" ref="C221">IFERROR(INDEX(Summary!$I$3:$I$1000,SMALL((Summary!$I$3:$I$1000="")/0.1%+ROW($3:$1000),ROW()-2)-2)&amp;"","")</f>
        <v/>
      </c>
      <c r="D221" s="22" t="str">
        <v/>
      </c>
      <c r="E221" s="22" t="str">
        <f t="shared" si="13"/>
        <v/>
      </c>
      <c r="F221" s="56" t="str">
        <f>IF(AMS!I241="","",AMS!I241)</f>
        <v/>
      </c>
      <c r="G221" s="56" t="str">
        <f>IF(AMS!J241="","",AMS!J241)</f>
        <v/>
      </c>
      <c r="H221" s="22" t="str">
        <f t="array" ref="H221">IF(A221&lt;&gt;" ",IFERROR(INDEX(Summary!$G$3:$G$1000,SMALL((Summary!$G$3:$G$1000="")/0.1%+ROW($3:$1000),ROW()-2)-2)&amp;"",""),"")</f>
        <v/>
      </c>
      <c r="I221" s="22" t="str">
        <f t="shared" si="14"/>
        <v/>
      </c>
      <c r="J221" s="22" t="str">
        <f t="shared" si="15"/>
        <v/>
      </c>
    </row>
    <row r="222" spans="1:10">
      <c r="A222" s="56" t="str">
        <f>IF(AMS!H242="","",AMS!H242)</f>
        <v/>
      </c>
      <c r="B222" s="22" t="str">
        <f t="shared" si="12"/>
        <v/>
      </c>
      <c r="C222" s="22" t="str">
        <f t="array" ref="C222">IFERROR(INDEX(Summary!$I$3:$I$1000,SMALL((Summary!$I$3:$I$1000="")/0.1%+ROW($3:$1000),ROW()-2)-2)&amp;"","")</f>
        <v/>
      </c>
      <c r="D222" s="22" t="str">
        <v/>
      </c>
      <c r="E222" s="22" t="str">
        <f t="shared" si="13"/>
        <v/>
      </c>
      <c r="F222" s="56" t="str">
        <f>IF(AMS!I242="","",AMS!I242)</f>
        <v/>
      </c>
      <c r="G222" s="56" t="str">
        <f>IF(AMS!J242="","",AMS!J242)</f>
        <v/>
      </c>
      <c r="H222" s="22" t="str">
        <f t="array" ref="H222">IF(A222&lt;&gt;" ",IFERROR(INDEX(Summary!$G$3:$G$1000,SMALL((Summary!$G$3:$G$1000="")/0.1%+ROW($3:$1000),ROW()-2)-2)&amp;"",""),"")</f>
        <v/>
      </c>
      <c r="I222" s="22" t="str">
        <f t="shared" si="14"/>
        <v/>
      </c>
      <c r="J222" s="22" t="str">
        <f t="shared" si="15"/>
        <v/>
      </c>
    </row>
    <row r="223" spans="1:10">
      <c r="A223" s="56" t="str">
        <f>IF(AMS!H243="","",AMS!H243)</f>
        <v/>
      </c>
      <c r="B223" s="22" t="str">
        <f t="shared" si="12"/>
        <v/>
      </c>
      <c r="C223" s="22" t="str">
        <f t="array" ref="C223">IFERROR(INDEX(Summary!$I$3:$I$1000,SMALL((Summary!$I$3:$I$1000="")/0.1%+ROW($3:$1000),ROW()-2)-2)&amp;"","")</f>
        <v/>
      </c>
      <c r="D223" s="22" t="str">
        <v/>
      </c>
      <c r="E223" s="22" t="str">
        <f t="shared" si="13"/>
        <v/>
      </c>
      <c r="F223" s="56" t="str">
        <f>IF(AMS!I243="","",AMS!I243)</f>
        <v/>
      </c>
      <c r="G223" s="56" t="str">
        <f>IF(AMS!J243="","",AMS!J243)</f>
        <v/>
      </c>
      <c r="H223" s="22" t="str">
        <f t="array" ref="H223">IF(A223&lt;&gt;" ",IFERROR(INDEX(Summary!$G$3:$G$1000,SMALL((Summary!$G$3:$G$1000="")/0.1%+ROW($3:$1000),ROW()-2)-2)&amp;"",""),"")</f>
        <v/>
      </c>
      <c r="I223" s="22" t="str">
        <f t="shared" si="14"/>
        <v/>
      </c>
      <c r="J223" s="22" t="str">
        <f t="shared" si="15"/>
        <v/>
      </c>
    </row>
    <row r="224" spans="1:10">
      <c r="A224" s="56" t="str">
        <f>IF(AMS!H244="","",AMS!H244)</f>
        <v/>
      </c>
      <c r="B224" s="22" t="str">
        <f t="shared" si="12"/>
        <v/>
      </c>
      <c r="C224" s="22" t="str">
        <f t="array" ref="C224">IFERROR(INDEX(Summary!$I$3:$I$1000,SMALL((Summary!$I$3:$I$1000="")/0.1%+ROW($3:$1000),ROW()-2)-2)&amp;"","")</f>
        <v/>
      </c>
      <c r="D224" s="22" t="str">
        <v/>
      </c>
      <c r="E224" s="22" t="str">
        <f t="shared" si="13"/>
        <v/>
      </c>
      <c r="F224" s="56" t="str">
        <f>IF(AMS!I244="","",AMS!I244)</f>
        <v/>
      </c>
      <c r="G224" s="56" t="str">
        <f>IF(AMS!J244="","",AMS!J244)</f>
        <v/>
      </c>
      <c r="H224" s="22" t="str">
        <f t="array" ref="H224">IF(A224&lt;&gt;" ",IFERROR(INDEX(Summary!$G$3:$G$1000,SMALL((Summary!$G$3:$G$1000="")/0.1%+ROW($3:$1000),ROW()-2)-2)&amp;"",""),"")</f>
        <v/>
      </c>
      <c r="I224" s="22" t="str">
        <f t="shared" si="14"/>
        <v/>
      </c>
      <c r="J224" s="22" t="str">
        <f t="shared" si="15"/>
        <v/>
      </c>
    </row>
    <row r="225" spans="1:10">
      <c r="A225" s="56" t="str">
        <f>IF(AMS!H245="","",AMS!H245)</f>
        <v/>
      </c>
      <c r="B225" s="22" t="str">
        <f t="shared" si="12"/>
        <v/>
      </c>
      <c r="C225" s="22" t="str">
        <f t="array" ref="C225">IFERROR(INDEX(Summary!$I$3:$I$1000,SMALL((Summary!$I$3:$I$1000="")/0.1%+ROW($3:$1000),ROW()-2)-2)&amp;"","")</f>
        <v/>
      </c>
      <c r="D225" s="22" t="str">
        <v/>
      </c>
      <c r="E225" s="22" t="str">
        <f t="shared" si="13"/>
        <v/>
      </c>
      <c r="F225" s="56" t="str">
        <f>IF(AMS!I245="","",AMS!I245)</f>
        <v/>
      </c>
      <c r="G225" s="56" t="str">
        <f>IF(AMS!J245="","",AMS!J245)</f>
        <v/>
      </c>
      <c r="H225" s="22" t="str">
        <f t="array" ref="H225">IF(A225&lt;&gt;" ",IFERROR(INDEX(Summary!$G$3:$G$1000,SMALL((Summary!$G$3:$G$1000="")/0.1%+ROW($3:$1000),ROW()-2)-2)&amp;"",""),"")</f>
        <v/>
      </c>
      <c r="I225" s="22" t="str">
        <f t="shared" si="14"/>
        <v/>
      </c>
      <c r="J225" s="22" t="str">
        <f t="shared" si="15"/>
        <v/>
      </c>
    </row>
    <row r="226" spans="1:10">
      <c r="A226" s="56" t="str">
        <f>IF(AMS!H246="","",AMS!H246)</f>
        <v/>
      </c>
      <c r="B226" s="22" t="str">
        <f t="shared" si="12"/>
        <v/>
      </c>
      <c r="C226" s="22" t="str">
        <f t="array" ref="C226">IFERROR(INDEX(Summary!$I$3:$I$1000,SMALL((Summary!$I$3:$I$1000="")/0.1%+ROW($3:$1000),ROW()-2)-2)&amp;"","")</f>
        <v/>
      </c>
      <c r="D226" s="22" t="str">
        <v/>
      </c>
      <c r="E226" s="22" t="str">
        <f t="shared" si="13"/>
        <v/>
      </c>
      <c r="F226" s="56" t="str">
        <f>IF(AMS!I246="","",AMS!I246)</f>
        <v/>
      </c>
      <c r="G226" s="56" t="str">
        <f>IF(AMS!J246="","",AMS!J246)</f>
        <v/>
      </c>
      <c r="H226" s="22" t="str">
        <f t="array" ref="H226">IF(A226&lt;&gt;" ",IFERROR(INDEX(Summary!$G$3:$G$1000,SMALL((Summary!$G$3:$G$1000="")/0.1%+ROW($3:$1000),ROW()-2)-2)&amp;"",""),"")</f>
        <v/>
      </c>
      <c r="I226" s="22" t="str">
        <f t="shared" si="14"/>
        <v/>
      </c>
      <c r="J226" s="22" t="str">
        <f t="shared" si="15"/>
        <v/>
      </c>
    </row>
    <row r="227" spans="1:10">
      <c r="A227" s="56" t="str">
        <f>IF(AMS!H247="","",AMS!H247)</f>
        <v/>
      </c>
      <c r="B227" s="22" t="str">
        <f t="shared" si="12"/>
        <v/>
      </c>
      <c r="C227" s="22" t="str">
        <f t="array" ref="C227">IFERROR(INDEX(Summary!$I$3:$I$1000,SMALL((Summary!$I$3:$I$1000="")/0.1%+ROW($3:$1000),ROW()-2)-2)&amp;"","")</f>
        <v/>
      </c>
      <c r="D227" s="22" t="str">
        <v/>
      </c>
      <c r="E227" s="22" t="str">
        <f t="shared" si="13"/>
        <v/>
      </c>
      <c r="F227" s="56" t="str">
        <f>IF(AMS!I247="","",AMS!I247)</f>
        <v/>
      </c>
      <c r="G227" s="56" t="str">
        <f>IF(AMS!J247="","",AMS!J247)</f>
        <v/>
      </c>
      <c r="H227" s="22" t="str">
        <f t="array" ref="H227">IF(A227&lt;&gt;" ",IFERROR(INDEX(Summary!$G$3:$G$1000,SMALL((Summary!$G$3:$G$1000="")/0.1%+ROW($3:$1000),ROW()-2)-2)&amp;"",""),"")</f>
        <v/>
      </c>
      <c r="I227" s="22" t="str">
        <f t="shared" si="14"/>
        <v/>
      </c>
      <c r="J227" s="22" t="str">
        <f t="shared" si="15"/>
        <v/>
      </c>
    </row>
    <row r="228" spans="1:10">
      <c r="A228" s="56" t="str">
        <f>IF(AMS!H248="","",AMS!H248)</f>
        <v/>
      </c>
      <c r="B228" s="22" t="str">
        <f t="shared" si="12"/>
        <v/>
      </c>
      <c r="C228" s="22" t="str">
        <f t="array" ref="C228">IFERROR(INDEX(Summary!$I$3:$I$1000,SMALL((Summary!$I$3:$I$1000="")/0.1%+ROW($3:$1000),ROW()-2)-2)&amp;"","")</f>
        <v/>
      </c>
      <c r="D228" s="22" t="str">
        <v/>
      </c>
      <c r="E228" s="22" t="str">
        <f t="shared" si="13"/>
        <v/>
      </c>
      <c r="F228" s="56" t="str">
        <f>IF(AMS!I248="","",AMS!I248)</f>
        <v/>
      </c>
      <c r="G228" s="56" t="str">
        <f>IF(AMS!J248="","",AMS!J248)</f>
        <v/>
      </c>
      <c r="H228" s="22" t="str">
        <f t="array" ref="H228">IF(A228&lt;&gt;" ",IFERROR(INDEX(Summary!$G$3:$G$1000,SMALL((Summary!$G$3:$G$1000="")/0.1%+ROW($3:$1000),ROW()-2)-2)&amp;"",""),"")</f>
        <v/>
      </c>
      <c r="I228" s="22" t="str">
        <f t="shared" si="14"/>
        <v/>
      </c>
      <c r="J228" s="22" t="str">
        <f t="shared" si="15"/>
        <v/>
      </c>
    </row>
    <row r="229" spans="1:10">
      <c r="A229" s="56" t="str">
        <f>IF(AMS!H249="","",AMS!H249)</f>
        <v/>
      </c>
      <c r="B229" s="22" t="str">
        <f t="shared" si="12"/>
        <v/>
      </c>
      <c r="C229" s="22" t="str">
        <f t="array" ref="C229">IFERROR(INDEX(Summary!$I$3:$I$1000,SMALL((Summary!$I$3:$I$1000="")/0.1%+ROW($3:$1000),ROW()-2)-2)&amp;"","")</f>
        <v/>
      </c>
      <c r="D229" s="22" t="str">
        <v/>
      </c>
      <c r="E229" s="22" t="str">
        <f t="shared" si="13"/>
        <v/>
      </c>
      <c r="F229" s="56" t="str">
        <f>IF(AMS!I249="","",AMS!I249)</f>
        <v/>
      </c>
      <c r="G229" s="56" t="str">
        <f>IF(AMS!J249="","",AMS!J249)</f>
        <v/>
      </c>
      <c r="H229" s="22" t="str">
        <f t="array" ref="H229">IF(A229&lt;&gt;" ",IFERROR(INDEX(Summary!$G$3:$G$1000,SMALL((Summary!$G$3:$G$1000="")/0.1%+ROW($3:$1000),ROW()-2)-2)&amp;"",""),"")</f>
        <v/>
      </c>
      <c r="I229" s="22" t="str">
        <f t="shared" si="14"/>
        <v/>
      </c>
      <c r="J229" s="22" t="str">
        <f t="shared" si="15"/>
        <v/>
      </c>
    </row>
    <row r="230" spans="1:10">
      <c r="A230" s="56" t="str">
        <f>IF(AMS!H250="","",AMS!H250)</f>
        <v/>
      </c>
      <c r="B230" s="22" t="str">
        <f t="shared" si="12"/>
        <v/>
      </c>
      <c r="C230" s="22" t="str">
        <f t="array" ref="C230">IFERROR(INDEX(Summary!$I$3:$I$1000,SMALL((Summary!$I$3:$I$1000="")/0.1%+ROW($3:$1000),ROW()-2)-2)&amp;"","")</f>
        <v/>
      </c>
      <c r="D230" s="22" t="str">
        <v/>
      </c>
      <c r="E230" s="22" t="str">
        <f t="shared" si="13"/>
        <v/>
      </c>
      <c r="F230" s="56" t="str">
        <f>IF(AMS!I250="","",AMS!I250)</f>
        <v/>
      </c>
      <c r="G230" s="56" t="str">
        <f>IF(AMS!J250="","",AMS!J250)</f>
        <v/>
      </c>
      <c r="H230" s="22" t="str">
        <f t="array" ref="H230">IF(A230&lt;&gt;" ",IFERROR(INDEX(Summary!$G$3:$G$1000,SMALL((Summary!$G$3:$G$1000="")/0.1%+ROW($3:$1000),ROW()-2)-2)&amp;"",""),"")</f>
        <v/>
      </c>
      <c r="I230" s="22" t="str">
        <f t="shared" si="14"/>
        <v/>
      </c>
      <c r="J230" s="22" t="str">
        <f t="shared" si="15"/>
        <v/>
      </c>
    </row>
    <row r="231" spans="1:10">
      <c r="A231" s="56" t="str">
        <f>IF(AMS!H251="","",AMS!H251)</f>
        <v/>
      </c>
      <c r="B231" s="22" t="str">
        <f t="shared" si="12"/>
        <v/>
      </c>
      <c r="C231" s="22" t="str">
        <f t="array" ref="C231">IFERROR(INDEX(Summary!$I$3:$I$1000,SMALL((Summary!$I$3:$I$1000="")/0.1%+ROW($3:$1000),ROW()-2)-2)&amp;"","")</f>
        <v/>
      </c>
      <c r="D231" s="22" t="str">
        <v/>
      </c>
      <c r="E231" s="22" t="str">
        <f t="shared" si="13"/>
        <v/>
      </c>
      <c r="F231" s="56" t="str">
        <f>IF(AMS!I251="","",AMS!I251)</f>
        <v/>
      </c>
      <c r="G231" s="56" t="str">
        <f>IF(AMS!J251="","",AMS!J251)</f>
        <v/>
      </c>
      <c r="H231" s="22" t="str">
        <f t="array" ref="H231">IF(A231&lt;&gt;" ",IFERROR(INDEX(Summary!$G$3:$G$1000,SMALL((Summary!$G$3:$G$1000="")/0.1%+ROW($3:$1000),ROW()-2)-2)&amp;"",""),"")</f>
        <v/>
      </c>
      <c r="I231" s="22" t="str">
        <f t="shared" si="14"/>
        <v/>
      </c>
      <c r="J231" s="22" t="str">
        <f t="shared" si="15"/>
        <v/>
      </c>
    </row>
    <row r="232" spans="1:10">
      <c r="A232" s="56" t="str">
        <f>IF(AMS!H252="","",AMS!H252)</f>
        <v/>
      </c>
      <c r="B232" s="22" t="str">
        <f t="shared" si="12"/>
        <v/>
      </c>
      <c r="C232" s="22" t="str">
        <f t="array" ref="C232">IFERROR(INDEX(Summary!$I$3:$I$1000,SMALL((Summary!$I$3:$I$1000="")/0.1%+ROW($3:$1000),ROW()-2)-2)&amp;"","")</f>
        <v/>
      </c>
      <c r="D232" s="22" t="str">
        <v/>
      </c>
      <c r="E232" s="22" t="str">
        <f t="shared" si="13"/>
        <v/>
      </c>
      <c r="F232" s="56" t="str">
        <f>IF(AMS!I252="","",AMS!I252)</f>
        <v/>
      </c>
      <c r="G232" s="56" t="str">
        <f>IF(AMS!J252="","",AMS!J252)</f>
        <v/>
      </c>
      <c r="H232" s="22" t="str">
        <f t="array" ref="H232">IF(A232&lt;&gt;" ",IFERROR(INDEX(Summary!$G$3:$G$1000,SMALL((Summary!$G$3:$G$1000="")/0.1%+ROW($3:$1000),ROW()-2)-2)&amp;"",""),"")</f>
        <v/>
      </c>
      <c r="I232" s="22" t="str">
        <f t="shared" si="14"/>
        <v/>
      </c>
      <c r="J232" s="22" t="str">
        <f t="shared" si="15"/>
        <v/>
      </c>
    </row>
    <row r="233" spans="1:10">
      <c r="A233" s="56" t="str">
        <f>IF(AMS!H253="","",AMS!H253)</f>
        <v/>
      </c>
      <c r="B233" s="22" t="str">
        <f t="shared" si="12"/>
        <v/>
      </c>
      <c r="C233" s="22" t="str">
        <f t="array" ref="C233">IFERROR(INDEX(Summary!$I$3:$I$1000,SMALL((Summary!$I$3:$I$1000="")/0.1%+ROW($3:$1000),ROW()-2)-2)&amp;"","")</f>
        <v/>
      </c>
      <c r="D233" s="22" t="str">
        <v/>
      </c>
      <c r="E233" s="22" t="str">
        <f t="shared" si="13"/>
        <v/>
      </c>
      <c r="F233" s="56" t="str">
        <f>IF(AMS!I253="","",AMS!I253)</f>
        <v/>
      </c>
      <c r="G233" s="56" t="str">
        <f>IF(AMS!J253="","",AMS!J253)</f>
        <v/>
      </c>
      <c r="H233" s="22" t="str">
        <f t="array" ref="H233">IF(A233&lt;&gt;" ",IFERROR(INDEX(Summary!$G$3:$G$1000,SMALL((Summary!$G$3:$G$1000="")/0.1%+ROW($3:$1000),ROW()-2)-2)&amp;"",""),"")</f>
        <v/>
      </c>
      <c r="I233" s="22" t="str">
        <f t="shared" si="14"/>
        <v/>
      </c>
      <c r="J233" s="22" t="str">
        <f t="shared" si="15"/>
        <v/>
      </c>
    </row>
    <row r="234" spans="1:10">
      <c r="A234" s="56" t="str">
        <f>IF(AMS!H254="","",AMS!H254)</f>
        <v/>
      </c>
      <c r="B234" s="22" t="str">
        <f t="shared" si="12"/>
        <v/>
      </c>
      <c r="C234" s="22" t="str">
        <f t="array" ref="C234">IFERROR(INDEX(Summary!$I$3:$I$1000,SMALL((Summary!$I$3:$I$1000="")/0.1%+ROW($3:$1000),ROW()-2)-2)&amp;"","")</f>
        <v/>
      </c>
      <c r="D234" s="22" t="str">
        <v/>
      </c>
      <c r="E234" s="22" t="str">
        <f t="shared" si="13"/>
        <v/>
      </c>
      <c r="F234" s="56" t="str">
        <f>IF(AMS!I254="","",AMS!I254)</f>
        <v/>
      </c>
      <c r="G234" s="56" t="str">
        <f>IF(AMS!J254="","",AMS!J254)</f>
        <v/>
      </c>
      <c r="H234" s="22" t="str">
        <f t="array" ref="H234">IF(A234&lt;&gt;" ",IFERROR(INDEX(Summary!$G$3:$G$1000,SMALL((Summary!$G$3:$G$1000="")/0.1%+ROW($3:$1000),ROW()-2)-2)&amp;"",""),"")</f>
        <v/>
      </c>
      <c r="I234" s="22" t="str">
        <f t="shared" si="14"/>
        <v/>
      </c>
      <c r="J234" s="22" t="str">
        <f t="shared" si="15"/>
        <v/>
      </c>
    </row>
    <row r="235" spans="1:10">
      <c r="A235" s="56" t="str">
        <f>IF(AMS!H255="","",AMS!H255)</f>
        <v/>
      </c>
      <c r="B235" s="22" t="str">
        <f t="shared" si="12"/>
        <v/>
      </c>
      <c r="C235" s="22" t="str">
        <f t="array" ref="C235">IFERROR(INDEX(Summary!$I$3:$I$1000,SMALL((Summary!$I$3:$I$1000="")/0.1%+ROW($3:$1000),ROW()-2)-2)&amp;"","")</f>
        <v/>
      </c>
      <c r="D235" s="22" t="str">
        <v/>
      </c>
      <c r="E235" s="22" t="str">
        <f t="shared" si="13"/>
        <v/>
      </c>
      <c r="F235" s="56" t="str">
        <f>IF(AMS!I255="","",AMS!I255)</f>
        <v/>
      </c>
      <c r="G235" s="56" t="str">
        <f>IF(AMS!J255="","",AMS!J255)</f>
        <v/>
      </c>
      <c r="H235" s="22" t="str">
        <f t="array" ref="H235">IF(A235&lt;&gt;" ",IFERROR(INDEX(Summary!$G$3:$G$1000,SMALL((Summary!$G$3:$G$1000="")/0.1%+ROW($3:$1000),ROW()-2)-2)&amp;"",""),"")</f>
        <v/>
      </c>
      <c r="I235" s="22" t="str">
        <f t="shared" si="14"/>
        <v/>
      </c>
      <c r="J235" s="22" t="str">
        <f t="shared" si="15"/>
        <v/>
      </c>
    </row>
    <row r="236" spans="1:10">
      <c r="A236" s="56" t="str">
        <f>IF(AMS!H256="","",AMS!H256)</f>
        <v/>
      </c>
      <c r="B236" s="22" t="str">
        <f t="shared" si="12"/>
        <v/>
      </c>
      <c r="C236" s="22" t="str">
        <f t="array" ref="C236">IFERROR(INDEX(Summary!$I$3:$I$1000,SMALL((Summary!$I$3:$I$1000="")/0.1%+ROW($3:$1000),ROW()-2)-2)&amp;"","")</f>
        <v/>
      </c>
      <c r="D236" s="22" t="str">
        <v/>
      </c>
      <c r="E236" s="22" t="str">
        <f t="shared" si="13"/>
        <v/>
      </c>
      <c r="F236" s="56" t="str">
        <f>IF(AMS!I256="","",AMS!I256)</f>
        <v/>
      </c>
      <c r="G236" s="56" t="str">
        <f>IF(AMS!J256="","",AMS!J256)</f>
        <v/>
      </c>
      <c r="H236" s="22" t="str">
        <f t="array" ref="H236">IF(A236&lt;&gt;" ",IFERROR(INDEX(Summary!$G$3:$G$1000,SMALL((Summary!$G$3:$G$1000="")/0.1%+ROW($3:$1000),ROW()-2)-2)&amp;"",""),"")</f>
        <v/>
      </c>
      <c r="I236" s="22" t="str">
        <f t="shared" si="14"/>
        <v/>
      </c>
      <c r="J236" s="22" t="str">
        <f t="shared" si="15"/>
        <v/>
      </c>
    </row>
    <row r="237" spans="1:10">
      <c r="A237" s="56" t="str">
        <f>IF(AMS!H257="","",AMS!H257)</f>
        <v/>
      </c>
      <c r="B237" s="22" t="str">
        <f t="shared" si="12"/>
        <v/>
      </c>
      <c r="C237" s="22" t="str">
        <f t="array" ref="C237">IFERROR(INDEX(Summary!$I$3:$I$1000,SMALL((Summary!$I$3:$I$1000="")/0.1%+ROW($3:$1000),ROW()-2)-2)&amp;"","")</f>
        <v/>
      </c>
      <c r="D237" s="22" t="str">
        <v/>
      </c>
      <c r="E237" s="22" t="str">
        <f t="shared" si="13"/>
        <v/>
      </c>
      <c r="F237" s="56" t="str">
        <f>IF(AMS!I257="","",AMS!I257)</f>
        <v/>
      </c>
      <c r="G237" s="56" t="str">
        <f>IF(AMS!J257="","",AMS!J257)</f>
        <v/>
      </c>
      <c r="H237" s="22" t="str">
        <f t="array" ref="H237">IF(A237&lt;&gt;" ",IFERROR(INDEX(Summary!$G$3:$G$1000,SMALL((Summary!$G$3:$G$1000="")/0.1%+ROW($3:$1000),ROW()-2)-2)&amp;"",""),"")</f>
        <v/>
      </c>
      <c r="I237" s="22" t="str">
        <f t="shared" si="14"/>
        <v/>
      </c>
      <c r="J237" s="22" t="str">
        <f t="shared" si="15"/>
        <v/>
      </c>
    </row>
    <row r="238" spans="1:10">
      <c r="A238" s="56" t="str">
        <f>IF(AMS!H258="","",AMS!H258)</f>
        <v/>
      </c>
      <c r="B238" s="22" t="str">
        <f t="shared" si="12"/>
        <v/>
      </c>
      <c r="C238" s="22" t="str">
        <f t="array" ref="C238">IFERROR(INDEX(Summary!$I$3:$I$1000,SMALL((Summary!$I$3:$I$1000="")/0.1%+ROW($3:$1000),ROW()-2)-2)&amp;"","")</f>
        <v/>
      </c>
      <c r="D238" s="22" t="str">
        <v/>
      </c>
      <c r="E238" s="22" t="str">
        <f t="shared" si="13"/>
        <v/>
      </c>
      <c r="F238" s="56" t="str">
        <f>IF(AMS!I258="","",AMS!I258)</f>
        <v/>
      </c>
      <c r="G238" s="56" t="str">
        <f>IF(AMS!J258="","",AMS!J258)</f>
        <v/>
      </c>
      <c r="H238" s="22" t="str">
        <f t="array" ref="H238">IF(A238&lt;&gt;" ",IFERROR(INDEX(Summary!$G$3:$G$1000,SMALL((Summary!$G$3:$G$1000="")/0.1%+ROW($3:$1000),ROW()-2)-2)&amp;"",""),"")</f>
        <v/>
      </c>
      <c r="I238" s="22" t="str">
        <f t="shared" si="14"/>
        <v/>
      </c>
      <c r="J238" s="22" t="str">
        <f t="shared" si="15"/>
        <v/>
      </c>
    </row>
    <row r="239" spans="1:10">
      <c r="A239" s="56" t="str">
        <f>IF(AMS!H259="","",AMS!H259)</f>
        <v/>
      </c>
      <c r="B239" s="22" t="str">
        <f t="shared" si="12"/>
        <v/>
      </c>
      <c r="C239" s="22" t="str">
        <f t="array" ref="C239">IFERROR(INDEX(Summary!$I$3:$I$1000,SMALL((Summary!$I$3:$I$1000="")/0.1%+ROW($3:$1000),ROW()-2)-2)&amp;"","")</f>
        <v/>
      </c>
      <c r="D239" s="22" t="str">
        <v/>
      </c>
      <c r="E239" s="22" t="str">
        <f t="shared" si="13"/>
        <v/>
      </c>
      <c r="F239" s="56" t="str">
        <f>IF(AMS!I259="","",AMS!I259)</f>
        <v/>
      </c>
      <c r="G239" s="56" t="str">
        <f>IF(AMS!J259="","",AMS!J259)</f>
        <v/>
      </c>
      <c r="H239" s="22" t="str">
        <f t="array" ref="H239">IF(A239&lt;&gt;" ",IFERROR(INDEX(Summary!$G$3:$G$1000,SMALL((Summary!$G$3:$G$1000="")/0.1%+ROW($3:$1000),ROW()-2)-2)&amp;"",""),"")</f>
        <v/>
      </c>
      <c r="I239" s="22" t="str">
        <f t="shared" si="14"/>
        <v/>
      </c>
      <c r="J239" s="22" t="str">
        <f t="shared" si="15"/>
        <v/>
      </c>
    </row>
    <row r="240" spans="1:10">
      <c r="A240" s="56" t="str">
        <f>IF(AMS!H260="","",AMS!H260)</f>
        <v/>
      </c>
      <c r="B240" s="22" t="str">
        <f t="shared" si="12"/>
        <v/>
      </c>
      <c r="C240" s="22" t="str">
        <f t="array" ref="C240">IFERROR(INDEX(Summary!$I$3:$I$1000,SMALL((Summary!$I$3:$I$1000="")/0.1%+ROW($3:$1000),ROW()-2)-2)&amp;"","")</f>
        <v/>
      </c>
      <c r="D240" s="22" t="str">
        <v/>
      </c>
      <c r="E240" s="22" t="str">
        <f t="shared" si="13"/>
        <v/>
      </c>
      <c r="F240" s="56" t="str">
        <f>IF(AMS!I260="","",AMS!I260)</f>
        <v/>
      </c>
      <c r="G240" s="56" t="str">
        <f>IF(AMS!J260="","",AMS!J260)</f>
        <v/>
      </c>
      <c r="H240" s="22" t="str">
        <f t="array" ref="H240">IF(A240&lt;&gt;" ",IFERROR(INDEX(Summary!$G$3:$G$1000,SMALL((Summary!$G$3:$G$1000="")/0.1%+ROW($3:$1000),ROW()-2)-2)&amp;"",""),"")</f>
        <v/>
      </c>
      <c r="I240" s="22" t="str">
        <f t="shared" si="14"/>
        <v/>
      </c>
      <c r="J240" s="22" t="str">
        <f t="shared" si="15"/>
        <v/>
      </c>
    </row>
    <row r="241" spans="1:10">
      <c r="A241" s="56" t="str">
        <f>IF(AMS!H261="","",AMS!H261)</f>
        <v/>
      </c>
      <c r="B241" s="22" t="str">
        <f t="shared" si="12"/>
        <v/>
      </c>
      <c r="C241" s="22" t="str">
        <f t="array" ref="C241">IFERROR(INDEX(Summary!$I$3:$I$1000,SMALL((Summary!$I$3:$I$1000="")/0.1%+ROW($3:$1000),ROW()-2)-2)&amp;"","")</f>
        <v/>
      </c>
      <c r="D241" s="22" t="str">
        <v/>
      </c>
      <c r="E241" s="22" t="str">
        <f t="shared" si="13"/>
        <v/>
      </c>
      <c r="F241" s="56" t="str">
        <f>IF(AMS!I261="","",AMS!I261)</f>
        <v/>
      </c>
      <c r="G241" s="56" t="str">
        <f>IF(AMS!J261="","",AMS!J261)</f>
        <v/>
      </c>
      <c r="H241" s="22" t="str">
        <f t="array" ref="H241">IF(A241&lt;&gt;" ",IFERROR(INDEX(Summary!$G$3:$G$1000,SMALL((Summary!$G$3:$G$1000="")/0.1%+ROW($3:$1000),ROW()-2)-2)&amp;"",""),"")</f>
        <v/>
      </c>
      <c r="I241" s="22" t="str">
        <f t="shared" si="14"/>
        <v/>
      </c>
      <c r="J241" s="22" t="str">
        <f t="shared" si="15"/>
        <v/>
      </c>
    </row>
    <row r="242" spans="1:10">
      <c r="A242" s="56" t="str">
        <f>IF(AMS!H262="","",AMS!H262)</f>
        <v/>
      </c>
      <c r="B242" s="22" t="str">
        <f t="shared" si="12"/>
        <v/>
      </c>
      <c r="C242" s="22" t="str">
        <f t="array" ref="C242">IFERROR(INDEX(Summary!$I$3:$I$1000,SMALL((Summary!$I$3:$I$1000="")/0.1%+ROW($3:$1000),ROW()-2)-2)&amp;"","")</f>
        <v/>
      </c>
      <c r="D242" s="22" t="str">
        <v/>
      </c>
      <c r="E242" s="22" t="str">
        <f t="shared" si="13"/>
        <v/>
      </c>
      <c r="F242" s="56" t="str">
        <f>IF(AMS!I262="","",AMS!I262)</f>
        <v/>
      </c>
      <c r="G242" s="56" t="str">
        <f>IF(AMS!J262="","",AMS!J262)</f>
        <v/>
      </c>
      <c r="H242" s="22" t="str">
        <f t="array" ref="H242">IF(A242&lt;&gt;" ",IFERROR(INDEX(Summary!$G$3:$G$1000,SMALL((Summary!$G$3:$G$1000="")/0.1%+ROW($3:$1000),ROW()-2)-2)&amp;"",""),"")</f>
        <v/>
      </c>
      <c r="I242" s="22" t="str">
        <f t="shared" si="14"/>
        <v/>
      </c>
      <c r="J242" s="22" t="str">
        <f t="shared" si="15"/>
        <v/>
      </c>
    </row>
    <row r="243" spans="1:10">
      <c r="A243" s="56" t="str">
        <f>IF(AMS!H263="","",AMS!H263)</f>
        <v/>
      </c>
      <c r="B243" s="22" t="str">
        <f t="shared" si="12"/>
        <v/>
      </c>
      <c r="C243" s="22" t="str">
        <f t="array" ref="C243">IFERROR(INDEX(Summary!$I$3:$I$1000,SMALL((Summary!$I$3:$I$1000="")/0.1%+ROW($3:$1000),ROW()-2)-2)&amp;"","")</f>
        <v/>
      </c>
      <c r="D243" s="22" t="str">
        <v/>
      </c>
      <c r="E243" s="22" t="str">
        <f t="shared" si="13"/>
        <v/>
      </c>
      <c r="F243" s="56" t="str">
        <f>IF(AMS!I263="","",AMS!I263)</f>
        <v/>
      </c>
      <c r="G243" s="56" t="str">
        <f>IF(AMS!J263="","",AMS!J263)</f>
        <v/>
      </c>
      <c r="H243" s="22" t="str">
        <f t="array" ref="H243">IF(A243&lt;&gt;" ",IFERROR(INDEX(Summary!$G$3:$G$1000,SMALL((Summary!$G$3:$G$1000="")/0.1%+ROW($3:$1000),ROW()-2)-2)&amp;"",""),"")</f>
        <v/>
      </c>
      <c r="I243" s="22" t="str">
        <f t="shared" si="14"/>
        <v/>
      </c>
      <c r="J243" s="22" t="str">
        <f t="shared" si="15"/>
        <v/>
      </c>
    </row>
    <row r="244" spans="1:10">
      <c r="A244" s="56" t="str">
        <f>IF(AMS!H264="","",AMS!H264)</f>
        <v/>
      </c>
      <c r="B244" s="22" t="str">
        <f t="shared" si="12"/>
        <v/>
      </c>
      <c r="C244" s="22" t="str">
        <f t="array" ref="C244">IFERROR(INDEX(Summary!$I$3:$I$1000,SMALL((Summary!$I$3:$I$1000="")/0.1%+ROW($3:$1000),ROW()-2)-2)&amp;"","")</f>
        <v/>
      </c>
      <c r="D244" s="22" t="str">
        <v/>
      </c>
      <c r="E244" s="22" t="str">
        <f t="shared" si="13"/>
        <v/>
      </c>
      <c r="F244" s="56" t="str">
        <f>IF(AMS!I264="","",AMS!I264)</f>
        <v/>
      </c>
      <c r="G244" s="56" t="str">
        <f>IF(AMS!J264="","",AMS!J264)</f>
        <v/>
      </c>
      <c r="H244" s="22" t="str">
        <f t="array" ref="H244">IF(A244&lt;&gt;" ",IFERROR(INDEX(Summary!$G$3:$G$1000,SMALL((Summary!$G$3:$G$1000="")/0.1%+ROW($3:$1000),ROW()-2)-2)&amp;"",""),"")</f>
        <v/>
      </c>
      <c r="I244" s="22" t="str">
        <f t="shared" si="14"/>
        <v/>
      </c>
      <c r="J244" s="22" t="str">
        <f t="shared" si="15"/>
        <v/>
      </c>
    </row>
    <row r="245" spans="1:10">
      <c r="A245" s="56" t="str">
        <f>IF(AMS!H265="","",AMS!H265)</f>
        <v/>
      </c>
      <c r="B245" s="22" t="str">
        <f t="shared" si="12"/>
        <v/>
      </c>
      <c r="C245" s="22" t="str">
        <f t="array" ref="C245">IFERROR(INDEX(Summary!$I$3:$I$1000,SMALL((Summary!$I$3:$I$1000="")/0.1%+ROW($3:$1000),ROW()-2)-2)&amp;"","")</f>
        <v/>
      </c>
      <c r="D245" s="22" t="str">
        <v/>
      </c>
      <c r="E245" s="22" t="str">
        <f t="shared" si="13"/>
        <v/>
      </c>
      <c r="F245" s="56" t="str">
        <f>IF(AMS!I265="","",AMS!I265)</f>
        <v/>
      </c>
      <c r="G245" s="56" t="str">
        <f>IF(AMS!J265="","",AMS!J265)</f>
        <v/>
      </c>
      <c r="H245" s="22" t="str">
        <f t="array" ref="H245">IF(A245&lt;&gt;" ",IFERROR(INDEX(Summary!$G$3:$G$1000,SMALL((Summary!$G$3:$G$1000="")/0.1%+ROW($3:$1000),ROW()-2)-2)&amp;"",""),"")</f>
        <v/>
      </c>
      <c r="I245" s="22" t="str">
        <f t="shared" si="14"/>
        <v/>
      </c>
      <c r="J245" s="22" t="str">
        <f t="shared" si="15"/>
        <v/>
      </c>
    </row>
    <row r="246" spans="1:10">
      <c r="A246" s="56" t="str">
        <f>IF(AMS!H266="","",AMS!H266)</f>
        <v/>
      </c>
      <c r="B246" s="22" t="str">
        <f t="shared" si="12"/>
        <v/>
      </c>
      <c r="C246" s="22" t="str">
        <f t="array" ref="C246">IFERROR(INDEX(Summary!$I$3:$I$1000,SMALL((Summary!$I$3:$I$1000="")/0.1%+ROW($3:$1000),ROW()-2)-2)&amp;"","")</f>
        <v/>
      </c>
      <c r="D246" s="22" t="str">
        <v/>
      </c>
      <c r="E246" s="22" t="str">
        <f t="shared" si="13"/>
        <v/>
      </c>
      <c r="F246" s="56" t="str">
        <f>IF(AMS!I266="","",AMS!I266)</f>
        <v/>
      </c>
      <c r="G246" s="56" t="str">
        <f>IF(AMS!J266="","",AMS!J266)</f>
        <v/>
      </c>
      <c r="H246" s="22" t="str">
        <f t="array" ref="H246">IF(A246&lt;&gt;" ",IFERROR(INDEX(Summary!$G$3:$G$1000,SMALL((Summary!$G$3:$G$1000="")/0.1%+ROW($3:$1000),ROW()-2)-2)&amp;"",""),"")</f>
        <v/>
      </c>
      <c r="I246" s="22" t="str">
        <f t="shared" si="14"/>
        <v/>
      </c>
      <c r="J246" s="22" t="str">
        <f t="shared" si="15"/>
        <v/>
      </c>
    </row>
    <row r="247" spans="1:10">
      <c r="A247" s="56" t="str">
        <f>IF(AMS!H267="","",AMS!H267)</f>
        <v/>
      </c>
      <c r="B247" s="22" t="str">
        <f t="shared" si="12"/>
        <v/>
      </c>
      <c r="C247" s="22" t="str">
        <f t="array" ref="C247">IFERROR(INDEX(Summary!$I$3:$I$1000,SMALL((Summary!$I$3:$I$1000="")/0.1%+ROW($3:$1000),ROW()-2)-2)&amp;"","")</f>
        <v/>
      </c>
      <c r="D247" s="22" t="str">
        <v/>
      </c>
      <c r="E247" s="22" t="str">
        <f t="shared" si="13"/>
        <v/>
      </c>
      <c r="F247" s="56" t="str">
        <f>IF(AMS!I267="","",AMS!I267)</f>
        <v/>
      </c>
      <c r="G247" s="56" t="str">
        <f>IF(AMS!J267="","",AMS!J267)</f>
        <v/>
      </c>
      <c r="H247" s="22" t="str">
        <f t="array" ref="H247">IF(A247&lt;&gt;" ",IFERROR(INDEX(Summary!$G$3:$G$1000,SMALL((Summary!$G$3:$G$1000="")/0.1%+ROW($3:$1000),ROW()-2)-2)&amp;"",""),"")</f>
        <v/>
      </c>
      <c r="I247" s="22" t="str">
        <f t="shared" si="14"/>
        <v/>
      </c>
      <c r="J247" s="22" t="str">
        <f t="shared" si="15"/>
        <v/>
      </c>
    </row>
    <row r="248" spans="1:10">
      <c r="A248" s="56" t="str">
        <f>IF(AMS!H268="","",AMS!H268)</f>
        <v/>
      </c>
      <c r="B248" s="22" t="str">
        <f t="shared" si="12"/>
        <v/>
      </c>
      <c r="C248" s="22" t="str">
        <f t="array" ref="C248">IFERROR(INDEX(Summary!$I$3:$I$1000,SMALL((Summary!$I$3:$I$1000="")/0.1%+ROW($3:$1000),ROW()-2)-2)&amp;"","")</f>
        <v/>
      </c>
      <c r="D248" s="22" t="str">
        <v/>
      </c>
      <c r="E248" s="22" t="str">
        <f t="shared" si="13"/>
        <v/>
      </c>
      <c r="F248" s="56" t="str">
        <f>IF(AMS!I268="","",AMS!I268)</f>
        <v/>
      </c>
      <c r="G248" s="56" t="str">
        <f>IF(AMS!J268="","",AMS!J268)</f>
        <v/>
      </c>
      <c r="H248" s="22" t="str">
        <f t="array" ref="H248">IF(A248&lt;&gt;" ",IFERROR(INDEX(Summary!$G$3:$G$1000,SMALL((Summary!$G$3:$G$1000="")/0.1%+ROW($3:$1000),ROW()-2)-2)&amp;"",""),"")</f>
        <v/>
      </c>
      <c r="I248" s="22" t="str">
        <f t="shared" si="14"/>
        <v/>
      </c>
      <c r="J248" s="22" t="str">
        <f t="shared" si="15"/>
        <v/>
      </c>
    </row>
    <row r="249" spans="1:10">
      <c r="A249" s="56" t="str">
        <f>IF(AMS!H269="","",AMS!H269)</f>
        <v/>
      </c>
      <c r="B249" s="22" t="str">
        <f t="shared" si="12"/>
        <v/>
      </c>
      <c r="C249" s="22" t="str">
        <f t="array" ref="C249">IFERROR(INDEX(Summary!$I$3:$I$1000,SMALL((Summary!$I$3:$I$1000="")/0.1%+ROW($3:$1000),ROW()-2)-2)&amp;"","")</f>
        <v/>
      </c>
      <c r="D249" s="22" t="str">
        <v/>
      </c>
      <c r="E249" s="22" t="str">
        <f t="shared" si="13"/>
        <v/>
      </c>
      <c r="F249" s="56" t="str">
        <f>IF(AMS!I269="","",AMS!I269)</f>
        <v/>
      </c>
      <c r="G249" s="56" t="str">
        <f>IF(AMS!J269="","",AMS!J269)</f>
        <v/>
      </c>
      <c r="H249" s="22" t="str">
        <f t="array" ref="H249">IF(A249&lt;&gt;" ",IFERROR(INDEX(Summary!$G$3:$G$1000,SMALL((Summary!$G$3:$G$1000="")/0.1%+ROW($3:$1000),ROW()-2)-2)&amp;"",""),"")</f>
        <v/>
      </c>
      <c r="I249" s="22" t="str">
        <f t="shared" si="14"/>
        <v/>
      </c>
      <c r="J249" s="22" t="str">
        <f t="shared" si="15"/>
        <v/>
      </c>
    </row>
    <row r="250" spans="1:10">
      <c r="A250" s="56" t="str">
        <f>IF(AMS!H270="","",AMS!H270)</f>
        <v/>
      </c>
      <c r="B250" s="22" t="str">
        <f t="shared" si="12"/>
        <v/>
      </c>
      <c r="C250" s="22" t="str">
        <f t="array" ref="C250">IFERROR(INDEX(Summary!$I$3:$I$1000,SMALL((Summary!$I$3:$I$1000="")/0.1%+ROW($3:$1000),ROW()-2)-2)&amp;"","")</f>
        <v/>
      </c>
      <c r="D250" s="22" t="str">
        <v/>
      </c>
      <c r="E250" s="22" t="str">
        <f t="shared" si="13"/>
        <v/>
      </c>
      <c r="F250" s="56" t="str">
        <f>IF(AMS!I270="","",AMS!I270)</f>
        <v/>
      </c>
      <c r="G250" s="56" t="str">
        <f>IF(AMS!J270="","",AMS!J270)</f>
        <v/>
      </c>
      <c r="H250" s="22" t="str">
        <f t="array" ref="H250">IF(A250&lt;&gt;" ",IFERROR(INDEX(Summary!$G$3:$G$1000,SMALL((Summary!$G$3:$G$1000="")/0.1%+ROW($3:$1000),ROW()-2)-2)&amp;"",""),"")</f>
        <v/>
      </c>
      <c r="I250" s="22" t="str">
        <f t="shared" si="14"/>
        <v/>
      </c>
      <c r="J250" s="22" t="str">
        <f t="shared" si="15"/>
        <v/>
      </c>
    </row>
    <row r="251" spans="1:10">
      <c r="A251" s="56" t="str">
        <f>IF(AMS!H271="","",AMS!H271)</f>
        <v/>
      </c>
      <c r="B251" s="22" t="str">
        <f t="shared" si="12"/>
        <v/>
      </c>
      <c r="C251" s="22" t="str">
        <f t="array" ref="C251">IFERROR(INDEX(Summary!$I$3:$I$1000,SMALL((Summary!$I$3:$I$1000="")/0.1%+ROW($3:$1000),ROW()-2)-2)&amp;"","")</f>
        <v/>
      </c>
      <c r="D251" s="22" t="str">
        <v/>
      </c>
      <c r="E251" s="22" t="str">
        <f t="shared" si="13"/>
        <v/>
      </c>
      <c r="F251" s="56" t="str">
        <f>IF(AMS!I271="","",AMS!I271)</f>
        <v/>
      </c>
      <c r="G251" s="56" t="str">
        <f>IF(AMS!J271="","",AMS!J271)</f>
        <v/>
      </c>
      <c r="H251" s="22" t="str">
        <f t="array" ref="H251">IF(A251&lt;&gt;" ",IFERROR(INDEX(Summary!$G$3:$G$1000,SMALL((Summary!$G$3:$G$1000="")/0.1%+ROW($3:$1000),ROW()-2)-2)&amp;"",""),"")</f>
        <v/>
      </c>
      <c r="I251" s="22" t="str">
        <f t="shared" si="14"/>
        <v/>
      </c>
      <c r="J251" s="22" t="str">
        <f t="shared" si="15"/>
        <v/>
      </c>
    </row>
    <row r="252" spans="1:10">
      <c r="A252" s="56" t="str">
        <f>IF(AMS!H272="","",AMS!H272)</f>
        <v/>
      </c>
      <c r="B252" s="22" t="str">
        <f t="shared" si="12"/>
        <v/>
      </c>
      <c r="C252" s="22" t="str">
        <f t="array" ref="C252">IFERROR(INDEX(Summary!$I$3:$I$1000,SMALL((Summary!$I$3:$I$1000="")/0.1%+ROW($3:$1000),ROW()-2)-2)&amp;"","")</f>
        <v/>
      </c>
      <c r="D252" s="22" t="str">
        <v/>
      </c>
      <c r="E252" s="22" t="str">
        <f t="shared" si="13"/>
        <v/>
      </c>
      <c r="F252" s="56" t="str">
        <f>IF(AMS!I272="","",AMS!I272)</f>
        <v/>
      </c>
      <c r="G252" s="56" t="str">
        <f>IF(AMS!J272="","",AMS!J272)</f>
        <v/>
      </c>
      <c r="H252" s="22" t="str">
        <f t="array" ref="H252">IF(A252&lt;&gt;" ",IFERROR(INDEX(Summary!$G$3:$G$1000,SMALL((Summary!$G$3:$G$1000="")/0.1%+ROW($3:$1000),ROW()-2)-2)&amp;"",""),"")</f>
        <v/>
      </c>
      <c r="I252" s="22" t="str">
        <f t="shared" si="14"/>
        <v/>
      </c>
      <c r="J252" s="22" t="str">
        <f t="shared" si="15"/>
        <v/>
      </c>
    </row>
    <row r="253" spans="1:10">
      <c r="A253" s="56" t="str">
        <f>IF(AMS!H273="","",AMS!H273)</f>
        <v/>
      </c>
      <c r="B253" s="22" t="str">
        <f t="shared" si="12"/>
        <v/>
      </c>
      <c r="C253" s="22" t="str">
        <f t="array" ref="C253">IFERROR(INDEX(Summary!$I$3:$I$1000,SMALL((Summary!$I$3:$I$1000="")/0.1%+ROW($3:$1000),ROW()-2)-2)&amp;"","")</f>
        <v/>
      </c>
      <c r="D253" s="22" t="str">
        <v/>
      </c>
      <c r="E253" s="22" t="str">
        <f t="shared" si="13"/>
        <v/>
      </c>
      <c r="F253" s="56" t="str">
        <f>IF(AMS!I273="","",AMS!I273)</f>
        <v/>
      </c>
      <c r="G253" s="56" t="str">
        <f>IF(AMS!J273="","",AMS!J273)</f>
        <v/>
      </c>
      <c r="H253" s="22" t="str">
        <f t="array" ref="H253">IF(A253&lt;&gt;" ",IFERROR(INDEX(Summary!$G$3:$G$1000,SMALL((Summary!$G$3:$G$1000="")/0.1%+ROW($3:$1000),ROW()-2)-2)&amp;"",""),"")</f>
        <v/>
      </c>
      <c r="I253" s="22" t="str">
        <f t="shared" si="14"/>
        <v/>
      </c>
      <c r="J253" s="22" t="str">
        <f t="shared" si="15"/>
        <v/>
      </c>
    </row>
    <row r="254" spans="1:10">
      <c r="A254" s="56" t="str">
        <f>IF(AMS!H274="","",AMS!H274)</f>
        <v/>
      </c>
      <c r="B254" s="22" t="str">
        <f t="shared" si="12"/>
        <v/>
      </c>
      <c r="C254" s="22" t="str">
        <f t="array" ref="C254">IFERROR(INDEX(Summary!$I$3:$I$1000,SMALL((Summary!$I$3:$I$1000="")/0.1%+ROW($3:$1000),ROW()-2)-2)&amp;"","")</f>
        <v/>
      </c>
      <c r="D254" s="22" t="str">
        <v/>
      </c>
      <c r="E254" s="22" t="str">
        <f t="shared" si="13"/>
        <v/>
      </c>
      <c r="F254" s="56" t="str">
        <f>IF(AMS!I274="","",AMS!I274)</f>
        <v/>
      </c>
      <c r="G254" s="56" t="str">
        <f>IF(AMS!J274="","",AMS!J274)</f>
        <v/>
      </c>
      <c r="H254" s="22" t="str">
        <f t="array" ref="H254">IF(A254&lt;&gt;" ",IFERROR(INDEX(Summary!$G$3:$G$1000,SMALL((Summary!$G$3:$G$1000="")/0.1%+ROW($3:$1000),ROW()-2)-2)&amp;"",""),"")</f>
        <v/>
      </c>
      <c r="I254" s="22" t="str">
        <f t="shared" si="14"/>
        <v/>
      </c>
      <c r="J254" s="22" t="str">
        <f t="shared" si="15"/>
        <v/>
      </c>
    </row>
    <row r="255" spans="1:10">
      <c r="A255" s="56" t="str">
        <f>IF(AMS!H275="","",AMS!H275)</f>
        <v/>
      </c>
      <c r="B255" s="22" t="str">
        <f t="shared" si="12"/>
        <v/>
      </c>
      <c r="C255" s="22" t="str">
        <f t="array" ref="C255">IFERROR(INDEX(Summary!$I$3:$I$1000,SMALL((Summary!$I$3:$I$1000="")/0.1%+ROW($3:$1000),ROW()-2)-2)&amp;"","")</f>
        <v/>
      </c>
      <c r="D255" s="22" t="str">
        <v/>
      </c>
      <c r="E255" s="22" t="str">
        <f t="shared" si="13"/>
        <v/>
      </c>
      <c r="F255" s="56" t="str">
        <f>IF(AMS!I275="","",AMS!I275)</f>
        <v/>
      </c>
      <c r="G255" s="56" t="str">
        <f>IF(AMS!J275="","",AMS!J275)</f>
        <v/>
      </c>
      <c r="H255" s="22" t="str">
        <f t="array" ref="H255">IF(A255&lt;&gt;" ",IFERROR(INDEX(Summary!$G$3:$G$1000,SMALL((Summary!$G$3:$G$1000="")/0.1%+ROW($3:$1000),ROW()-2)-2)&amp;"",""),"")</f>
        <v/>
      </c>
      <c r="I255" s="22" t="str">
        <f t="shared" si="14"/>
        <v/>
      </c>
      <c r="J255" s="22" t="str">
        <f t="shared" si="15"/>
        <v/>
      </c>
    </row>
    <row r="256" spans="1:10">
      <c r="A256" s="56" t="str">
        <f>IF(AMS!H276="","",AMS!H276)</f>
        <v/>
      </c>
      <c r="B256" s="22" t="str">
        <f t="shared" si="12"/>
        <v/>
      </c>
      <c r="C256" s="22" t="str">
        <f t="array" ref="C256">IFERROR(INDEX(Summary!$I$3:$I$1000,SMALL((Summary!$I$3:$I$1000="")/0.1%+ROW($3:$1000),ROW()-2)-2)&amp;"","")</f>
        <v/>
      </c>
      <c r="D256" s="22" t="str">
        <v/>
      </c>
      <c r="E256" s="22" t="str">
        <f t="shared" si="13"/>
        <v/>
      </c>
      <c r="F256" s="56" t="str">
        <f>IF(AMS!I276="","",AMS!I276)</f>
        <v/>
      </c>
      <c r="G256" s="56" t="str">
        <f>IF(AMS!J276="","",AMS!J276)</f>
        <v/>
      </c>
      <c r="H256" s="22" t="str">
        <f t="array" ref="H256">IF(A256&lt;&gt;" ",IFERROR(INDEX(Summary!$G$3:$G$1000,SMALL((Summary!$G$3:$G$1000="")/0.1%+ROW($3:$1000),ROW()-2)-2)&amp;"",""),"")</f>
        <v/>
      </c>
      <c r="I256" s="22" t="str">
        <f t="shared" si="14"/>
        <v/>
      </c>
      <c r="J256" s="22" t="str">
        <f t="shared" si="15"/>
        <v/>
      </c>
    </row>
    <row r="257" spans="1:10">
      <c r="A257" s="56" t="str">
        <f>IF(AMS!H277="","",AMS!H277)</f>
        <v/>
      </c>
      <c r="B257" s="22" t="str">
        <f t="shared" si="12"/>
        <v/>
      </c>
      <c r="C257" s="22" t="str">
        <f t="array" ref="C257">IFERROR(INDEX(Summary!$I$3:$I$1000,SMALL((Summary!$I$3:$I$1000="")/0.1%+ROW($3:$1000),ROW()-2)-2)&amp;"","")</f>
        <v/>
      </c>
      <c r="D257" s="22" t="str">
        <v/>
      </c>
      <c r="E257" s="22" t="str">
        <f t="shared" si="13"/>
        <v/>
      </c>
      <c r="F257" s="56" t="str">
        <f>IF(AMS!I277="","",AMS!I277)</f>
        <v/>
      </c>
      <c r="G257" s="56" t="str">
        <f>IF(AMS!J277="","",AMS!J277)</f>
        <v/>
      </c>
      <c r="H257" s="22" t="str">
        <f t="array" ref="H257">IF(A257&lt;&gt;" ",IFERROR(INDEX(Summary!$G$3:$G$1000,SMALL((Summary!$G$3:$G$1000="")/0.1%+ROW($3:$1000),ROW()-2)-2)&amp;"",""),"")</f>
        <v/>
      </c>
      <c r="I257" s="22" t="str">
        <f t="shared" si="14"/>
        <v/>
      </c>
      <c r="J257" s="22" t="str">
        <f t="shared" si="15"/>
        <v/>
      </c>
    </row>
    <row r="258" spans="1:10">
      <c r="A258" s="56" t="str">
        <f>IF(AMS!H278="","",AMS!H278)</f>
        <v/>
      </c>
      <c r="B258" s="22" t="str">
        <f t="shared" si="12"/>
        <v/>
      </c>
      <c r="C258" s="22" t="str">
        <f t="array" ref="C258">IFERROR(INDEX(Summary!$I$3:$I$1000,SMALL((Summary!$I$3:$I$1000="")/0.1%+ROW($3:$1000),ROW()-2)-2)&amp;"","")</f>
        <v/>
      </c>
      <c r="D258" s="22" t="str">
        <v/>
      </c>
      <c r="E258" s="22" t="str">
        <f t="shared" si="13"/>
        <v/>
      </c>
      <c r="F258" s="56" t="str">
        <f>IF(AMS!I278="","",AMS!I278)</f>
        <v/>
      </c>
      <c r="G258" s="56" t="str">
        <f>IF(AMS!J278="","",AMS!J278)</f>
        <v/>
      </c>
      <c r="H258" s="22" t="str">
        <f t="array" ref="H258">IF(A258&lt;&gt;" ",IFERROR(INDEX(Summary!$G$3:$G$1000,SMALL((Summary!$G$3:$G$1000="")/0.1%+ROW($3:$1000),ROW()-2)-2)&amp;"",""),"")</f>
        <v/>
      </c>
      <c r="I258" s="22" t="str">
        <f t="shared" si="14"/>
        <v/>
      </c>
      <c r="J258" s="22" t="str">
        <f t="shared" si="15"/>
        <v/>
      </c>
    </row>
    <row r="259" spans="1:10">
      <c r="A259" s="56" t="str">
        <f>IF(AMS!H279="","",AMS!H279)</f>
        <v/>
      </c>
      <c r="B259" s="22" t="str">
        <f t="shared" ref="B259:B322" si="16">IF(A259&lt;&gt;"",IFERROR(IF(SEARCH(".",A259),LEFT(SUBSTITUTE(A259,".",""),6)),LEFT(SUBSTITUTE(SUBSTITUTE(TRIM(A259)," ","")," ",""),6)),"")</f>
        <v/>
      </c>
      <c r="C259" s="22" t="str">
        <f t="array" ref="C259">IFERROR(INDEX(Summary!$I$3:$I$1000,SMALL((Summary!$I$3:$I$1000="")/0.1%+ROW($3:$1000),ROW()-2)-2)&amp;"","")</f>
        <v/>
      </c>
      <c r="D259" s="22" t="str">
        <v/>
      </c>
      <c r="E259" s="22" t="str">
        <f t="shared" ref="E259:E322" si="17">LEFT(D259,6)</f>
        <v/>
      </c>
      <c r="F259" s="56" t="str">
        <f>IF(AMS!I279="","",AMS!I279)</f>
        <v/>
      </c>
      <c r="G259" s="56" t="str">
        <f>IF(AMS!J279="","",AMS!J279)</f>
        <v/>
      </c>
      <c r="H259" s="22" t="str">
        <f t="array" ref="H259">IF(A259&lt;&gt;" ",IFERROR(INDEX(Summary!$G$3:$G$1000,SMALL((Summary!$G$3:$G$1000="")/0.1%+ROW($3:$1000),ROW()-2)-2)&amp;"",""),"")</f>
        <v/>
      </c>
      <c r="I259" s="22" t="str">
        <f t="shared" ref="I259:I322" si="18">B259&amp;F259</f>
        <v/>
      </c>
      <c r="J259" s="22" t="str">
        <f t="shared" ref="J259:J322" si="19">IF(D259="","",RIGHT(D259,LEN(D259)-6))</f>
        <v/>
      </c>
    </row>
    <row r="260" spans="1:10">
      <c r="A260" s="56" t="str">
        <f>IF(AMS!H280="","",AMS!H280)</f>
        <v/>
      </c>
      <c r="B260" s="22" t="str">
        <f t="shared" si="16"/>
        <v/>
      </c>
      <c r="C260" s="22" t="str">
        <f t="array" ref="C260">IFERROR(INDEX(Summary!$I$3:$I$1000,SMALL((Summary!$I$3:$I$1000="")/0.1%+ROW($3:$1000),ROW()-2)-2)&amp;"","")</f>
        <v/>
      </c>
      <c r="D260" s="22" t="str">
        <v/>
      </c>
      <c r="E260" s="22" t="str">
        <f t="shared" si="17"/>
        <v/>
      </c>
      <c r="F260" s="56" t="str">
        <f>IF(AMS!I280="","",AMS!I280)</f>
        <v/>
      </c>
      <c r="G260" s="56" t="str">
        <f>IF(AMS!J280="","",AMS!J280)</f>
        <v/>
      </c>
      <c r="H260" s="22" t="str">
        <f t="array" ref="H260">IF(A260&lt;&gt;" ",IFERROR(INDEX(Summary!$G$3:$G$1000,SMALL((Summary!$G$3:$G$1000="")/0.1%+ROW($3:$1000),ROW()-2)-2)&amp;"",""),"")</f>
        <v/>
      </c>
      <c r="I260" s="22" t="str">
        <f t="shared" si="18"/>
        <v/>
      </c>
      <c r="J260" s="22" t="str">
        <f t="shared" si="19"/>
        <v/>
      </c>
    </row>
    <row r="261" spans="1:10">
      <c r="A261" s="56" t="str">
        <f>IF(AMS!H281="","",AMS!H281)</f>
        <v/>
      </c>
      <c r="B261" s="22" t="str">
        <f t="shared" si="16"/>
        <v/>
      </c>
      <c r="C261" s="22" t="str">
        <f t="array" ref="C261">IFERROR(INDEX(Summary!$I$3:$I$1000,SMALL((Summary!$I$3:$I$1000="")/0.1%+ROW($3:$1000),ROW()-2)-2)&amp;"","")</f>
        <v/>
      </c>
      <c r="D261" s="22" t="str">
        <v/>
      </c>
      <c r="E261" s="22" t="str">
        <f t="shared" si="17"/>
        <v/>
      </c>
      <c r="F261" s="56" t="str">
        <f>IF(AMS!I281="","",AMS!I281)</f>
        <v/>
      </c>
      <c r="G261" s="56" t="str">
        <f>IF(AMS!J281="","",AMS!J281)</f>
        <v/>
      </c>
      <c r="H261" s="22" t="str">
        <f t="array" ref="H261">IF(A261&lt;&gt;" ",IFERROR(INDEX(Summary!$G$3:$G$1000,SMALL((Summary!$G$3:$G$1000="")/0.1%+ROW($3:$1000),ROW()-2)-2)&amp;"",""),"")</f>
        <v/>
      </c>
      <c r="I261" s="22" t="str">
        <f t="shared" si="18"/>
        <v/>
      </c>
      <c r="J261" s="22" t="str">
        <f t="shared" si="19"/>
        <v/>
      </c>
    </row>
    <row r="262" spans="1:10">
      <c r="A262" s="56" t="str">
        <f>IF(AMS!H282="","",AMS!H282)</f>
        <v/>
      </c>
      <c r="B262" s="22" t="str">
        <f t="shared" si="16"/>
        <v/>
      </c>
      <c r="C262" s="22" t="str">
        <f t="array" ref="C262">IFERROR(INDEX(Summary!$I$3:$I$1000,SMALL((Summary!$I$3:$I$1000="")/0.1%+ROW($3:$1000),ROW()-2)-2)&amp;"","")</f>
        <v/>
      </c>
      <c r="D262" s="22" t="str">
        <v/>
      </c>
      <c r="E262" s="22" t="str">
        <f t="shared" si="17"/>
        <v/>
      </c>
      <c r="F262" s="56" t="str">
        <f>IF(AMS!I282="","",AMS!I282)</f>
        <v/>
      </c>
      <c r="G262" s="56" t="str">
        <f>IF(AMS!J282="","",AMS!J282)</f>
        <v/>
      </c>
      <c r="H262" s="22" t="str">
        <f t="array" ref="H262">IF(A262&lt;&gt;" ",IFERROR(INDEX(Summary!$G$3:$G$1000,SMALL((Summary!$G$3:$G$1000="")/0.1%+ROW($3:$1000),ROW()-2)-2)&amp;"",""),"")</f>
        <v/>
      </c>
      <c r="I262" s="22" t="str">
        <f t="shared" si="18"/>
        <v/>
      </c>
      <c r="J262" s="22" t="str">
        <f t="shared" si="19"/>
        <v/>
      </c>
    </row>
    <row r="263" spans="1:10">
      <c r="A263" s="56" t="str">
        <f>IF(AMS!H283="","",AMS!H283)</f>
        <v/>
      </c>
      <c r="B263" s="22" t="str">
        <f t="shared" si="16"/>
        <v/>
      </c>
      <c r="C263" s="22" t="str">
        <f t="array" ref="C263">IFERROR(INDEX(Summary!$I$3:$I$1000,SMALL((Summary!$I$3:$I$1000="")/0.1%+ROW($3:$1000),ROW()-2)-2)&amp;"","")</f>
        <v/>
      </c>
      <c r="D263" s="22" t="str">
        <v/>
      </c>
      <c r="E263" s="22" t="str">
        <f t="shared" si="17"/>
        <v/>
      </c>
      <c r="F263" s="56" t="str">
        <f>IF(AMS!I283="","",AMS!I283)</f>
        <v/>
      </c>
      <c r="G263" s="56" t="str">
        <f>IF(AMS!J283="","",AMS!J283)</f>
        <v/>
      </c>
      <c r="H263" s="22" t="str">
        <f t="array" ref="H263">IF(A263&lt;&gt;" ",IFERROR(INDEX(Summary!$G$3:$G$1000,SMALL((Summary!$G$3:$G$1000="")/0.1%+ROW($3:$1000),ROW()-2)-2)&amp;"",""),"")</f>
        <v/>
      </c>
      <c r="I263" s="22" t="str">
        <f t="shared" si="18"/>
        <v/>
      </c>
      <c r="J263" s="22" t="str">
        <f t="shared" si="19"/>
        <v/>
      </c>
    </row>
    <row r="264" spans="1:10">
      <c r="A264" s="56" t="str">
        <f>IF(AMS!H284="","",AMS!H284)</f>
        <v/>
      </c>
      <c r="B264" s="22" t="str">
        <f t="shared" si="16"/>
        <v/>
      </c>
      <c r="C264" s="22" t="str">
        <f t="array" ref="C264">IFERROR(INDEX(Summary!$I$3:$I$1000,SMALL((Summary!$I$3:$I$1000="")/0.1%+ROW($3:$1000),ROW()-2)-2)&amp;"","")</f>
        <v/>
      </c>
      <c r="D264" s="22" t="str">
        <v/>
      </c>
      <c r="E264" s="22" t="str">
        <f t="shared" si="17"/>
        <v/>
      </c>
      <c r="F264" s="56" t="str">
        <f>IF(AMS!I284="","",AMS!I284)</f>
        <v/>
      </c>
      <c r="G264" s="56" t="str">
        <f>IF(AMS!J284="","",AMS!J284)</f>
        <v/>
      </c>
      <c r="H264" s="22" t="str">
        <f t="array" ref="H264">IF(A264&lt;&gt;" ",IFERROR(INDEX(Summary!$G$3:$G$1000,SMALL((Summary!$G$3:$G$1000="")/0.1%+ROW($3:$1000),ROW()-2)-2)&amp;"",""),"")</f>
        <v/>
      </c>
      <c r="I264" s="22" t="str">
        <f t="shared" si="18"/>
        <v/>
      </c>
      <c r="J264" s="22" t="str">
        <f t="shared" si="19"/>
        <v/>
      </c>
    </row>
    <row r="265" spans="1:10">
      <c r="A265" s="56" t="str">
        <f>IF(AMS!H285="","",AMS!H285)</f>
        <v/>
      </c>
      <c r="B265" s="22" t="str">
        <f t="shared" si="16"/>
        <v/>
      </c>
      <c r="C265" s="22" t="str">
        <f t="array" ref="C265">IFERROR(INDEX(Summary!$I$3:$I$1000,SMALL((Summary!$I$3:$I$1000="")/0.1%+ROW($3:$1000),ROW()-2)-2)&amp;"","")</f>
        <v/>
      </c>
      <c r="D265" s="22" t="str">
        <v/>
      </c>
      <c r="E265" s="22" t="str">
        <f t="shared" si="17"/>
        <v/>
      </c>
      <c r="F265" s="56" t="str">
        <f>IF(AMS!I285="","",AMS!I285)</f>
        <v/>
      </c>
      <c r="G265" s="56" t="str">
        <f>IF(AMS!J285="","",AMS!J285)</f>
        <v/>
      </c>
      <c r="H265" s="22" t="str">
        <f t="array" ref="H265">IF(A265&lt;&gt;" ",IFERROR(INDEX(Summary!$G$3:$G$1000,SMALL((Summary!$G$3:$G$1000="")/0.1%+ROW($3:$1000),ROW()-2)-2)&amp;"",""),"")</f>
        <v/>
      </c>
      <c r="I265" s="22" t="str">
        <f t="shared" si="18"/>
        <v/>
      </c>
      <c r="J265" s="22" t="str">
        <f t="shared" si="19"/>
        <v/>
      </c>
    </row>
    <row r="266" spans="1:10">
      <c r="A266" s="56" t="str">
        <f>IF(AMS!H286="","",AMS!H286)</f>
        <v/>
      </c>
      <c r="B266" s="22" t="str">
        <f t="shared" si="16"/>
        <v/>
      </c>
      <c r="C266" s="22" t="str">
        <f t="array" ref="C266">IFERROR(INDEX(Summary!$I$3:$I$1000,SMALL((Summary!$I$3:$I$1000="")/0.1%+ROW($3:$1000),ROW()-2)-2)&amp;"","")</f>
        <v/>
      </c>
      <c r="D266" s="22" t="str">
        <v/>
      </c>
      <c r="E266" s="22" t="str">
        <f t="shared" si="17"/>
        <v/>
      </c>
      <c r="F266" s="56" t="str">
        <f>IF(AMS!I286="","",AMS!I286)</f>
        <v/>
      </c>
      <c r="G266" s="56" t="str">
        <f>IF(AMS!J286="","",AMS!J286)</f>
        <v/>
      </c>
      <c r="H266" s="22" t="str">
        <f t="array" ref="H266">IF(A266&lt;&gt;" ",IFERROR(INDEX(Summary!$G$3:$G$1000,SMALL((Summary!$G$3:$G$1000="")/0.1%+ROW($3:$1000),ROW()-2)-2)&amp;"",""),"")</f>
        <v/>
      </c>
      <c r="I266" s="22" t="str">
        <f t="shared" si="18"/>
        <v/>
      </c>
      <c r="J266" s="22" t="str">
        <f t="shared" si="19"/>
        <v/>
      </c>
    </row>
    <row r="267" spans="1:10">
      <c r="A267" s="56" t="str">
        <f>IF(AMS!H287="","",AMS!H287)</f>
        <v/>
      </c>
      <c r="B267" s="22" t="str">
        <f t="shared" si="16"/>
        <v/>
      </c>
      <c r="C267" s="22" t="str">
        <f t="array" ref="C267">IFERROR(INDEX(Summary!$I$3:$I$1000,SMALL((Summary!$I$3:$I$1000="")/0.1%+ROW($3:$1000),ROW()-2)-2)&amp;"","")</f>
        <v/>
      </c>
      <c r="D267" s="22" t="str">
        <v/>
      </c>
      <c r="E267" s="22" t="str">
        <f t="shared" si="17"/>
        <v/>
      </c>
      <c r="F267" s="56" t="str">
        <f>IF(AMS!I287="","",AMS!I287)</f>
        <v/>
      </c>
      <c r="G267" s="56" t="str">
        <f>IF(AMS!J287="","",AMS!J287)</f>
        <v/>
      </c>
      <c r="H267" s="22" t="str">
        <f t="array" ref="H267">IF(A267&lt;&gt;" ",IFERROR(INDEX(Summary!$G$3:$G$1000,SMALL((Summary!$G$3:$G$1000="")/0.1%+ROW($3:$1000),ROW()-2)-2)&amp;"",""),"")</f>
        <v/>
      </c>
      <c r="I267" s="22" t="str">
        <f t="shared" si="18"/>
        <v/>
      </c>
      <c r="J267" s="22" t="str">
        <f t="shared" si="19"/>
        <v/>
      </c>
    </row>
    <row r="268" spans="1:10">
      <c r="A268" s="56" t="str">
        <f>IF(AMS!H288="","",AMS!H288)</f>
        <v/>
      </c>
      <c r="B268" s="22" t="str">
        <f t="shared" si="16"/>
        <v/>
      </c>
      <c r="C268" s="22" t="str">
        <f t="array" ref="C268">IFERROR(INDEX(Summary!$I$3:$I$1000,SMALL((Summary!$I$3:$I$1000="")/0.1%+ROW($3:$1000),ROW()-2)-2)&amp;"","")</f>
        <v/>
      </c>
      <c r="D268" s="22" t="str">
        <v/>
      </c>
      <c r="E268" s="22" t="str">
        <f t="shared" si="17"/>
        <v/>
      </c>
      <c r="F268" s="56" t="str">
        <f>IF(AMS!I288="","",AMS!I288)</f>
        <v/>
      </c>
      <c r="G268" s="56" t="str">
        <f>IF(AMS!J288="","",AMS!J288)</f>
        <v/>
      </c>
      <c r="H268" s="22" t="str">
        <f t="array" ref="H268">IF(A268&lt;&gt;" ",IFERROR(INDEX(Summary!$G$3:$G$1000,SMALL((Summary!$G$3:$G$1000="")/0.1%+ROW($3:$1000),ROW()-2)-2)&amp;"",""),"")</f>
        <v/>
      </c>
      <c r="I268" s="22" t="str">
        <f t="shared" si="18"/>
        <v/>
      </c>
      <c r="J268" s="22" t="str">
        <f t="shared" si="19"/>
        <v/>
      </c>
    </row>
    <row r="269" spans="1:10">
      <c r="A269" s="56" t="str">
        <f>IF(AMS!H289="","",AMS!H289)</f>
        <v/>
      </c>
      <c r="B269" s="22" t="str">
        <f t="shared" si="16"/>
        <v/>
      </c>
      <c r="C269" s="22" t="str">
        <f t="array" ref="C269">IFERROR(INDEX(Summary!$I$3:$I$1000,SMALL((Summary!$I$3:$I$1000="")/0.1%+ROW($3:$1000),ROW()-2)-2)&amp;"","")</f>
        <v/>
      </c>
      <c r="D269" s="22" t="str">
        <v/>
      </c>
      <c r="E269" s="22" t="str">
        <f t="shared" si="17"/>
        <v/>
      </c>
      <c r="F269" s="56" t="str">
        <f>IF(AMS!I289="","",AMS!I289)</f>
        <v/>
      </c>
      <c r="G269" s="56" t="str">
        <f>IF(AMS!J289="","",AMS!J289)</f>
        <v/>
      </c>
      <c r="H269" s="22" t="str">
        <f t="array" ref="H269">IF(A269&lt;&gt;" ",IFERROR(INDEX(Summary!$G$3:$G$1000,SMALL((Summary!$G$3:$G$1000="")/0.1%+ROW($3:$1000),ROW()-2)-2)&amp;"",""),"")</f>
        <v/>
      </c>
      <c r="I269" s="22" t="str">
        <f t="shared" si="18"/>
        <v/>
      </c>
      <c r="J269" s="22" t="str">
        <f t="shared" si="19"/>
        <v/>
      </c>
    </row>
    <row r="270" spans="1:10">
      <c r="A270" s="56" t="str">
        <f>IF(AMS!H290="","",AMS!H290)</f>
        <v/>
      </c>
      <c r="B270" s="22" t="str">
        <f t="shared" si="16"/>
        <v/>
      </c>
      <c r="C270" s="22" t="str">
        <f t="array" ref="C270">IFERROR(INDEX(Summary!$I$3:$I$1000,SMALL((Summary!$I$3:$I$1000="")/0.1%+ROW($3:$1000),ROW()-2)-2)&amp;"","")</f>
        <v/>
      </c>
      <c r="D270" s="22" t="str">
        <v/>
      </c>
      <c r="E270" s="22" t="str">
        <f t="shared" si="17"/>
        <v/>
      </c>
      <c r="F270" s="56" t="str">
        <f>IF(AMS!I290="","",AMS!I290)</f>
        <v/>
      </c>
      <c r="G270" s="56" t="str">
        <f>IF(AMS!J290="","",AMS!J290)</f>
        <v/>
      </c>
      <c r="H270" s="22" t="str">
        <f t="array" ref="H270">IF(A270&lt;&gt;" ",IFERROR(INDEX(Summary!$G$3:$G$1000,SMALL((Summary!$G$3:$G$1000="")/0.1%+ROW($3:$1000),ROW()-2)-2)&amp;"",""),"")</f>
        <v/>
      </c>
      <c r="I270" s="22" t="str">
        <f t="shared" si="18"/>
        <v/>
      </c>
      <c r="J270" s="22" t="str">
        <f t="shared" si="19"/>
        <v/>
      </c>
    </row>
    <row r="271" spans="1:10">
      <c r="A271" s="56" t="str">
        <f>IF(AMS!H291="","",AMS!H291)</f>
        <v/>
      </c>
      <c r="B271" s="22" t="str">
        <f t="shared" si="16"/>
        <v/>
      </c>
      <c r="C271" s="22" t="str">
        <f t="array" ref="C271">IFERROR(INDEX(Summary!$I$3:$I$1000,SMALL((Summary!$I$3:$I$1000="")/0.1%+ROW($3:$1000),ROW()-2)-2)&amp;"","")</f>
        <v/>
      </c>
      <c r="D271" s="22" t="str">
        <v/>
      </c>
      <c r="E271" s="22" t="str">
        <f t="shared" si="17"/>
        <v/>
      </c>
      <c r="F271" s="56" t="str">
        <f>IF(AMS!I291="","",AMS!I291)</f>
        <v/>
      </c>
      <c r="G271" s="56" t="str">
        <f>IF(AMS!J291="","",AMS!J291)</f>
        <v/>
      </c>
      <c r="H271" s="22" t="str">
        <f t="array" ref="H271">IF(A271&lt;&gt;" ",IFERROR(INDEX(Summary!$G$3:$G$1000,SMALL((Summary!$G$3:$G$1000="")/0.1%+ROW($3:$1000),ROW()-2)-2)&amp;"",""),"")</f>
        <v/>
      </c>
      <c r="I271" s="22" t="str">
        <f t="shared" si="18"/>
        <v/>
      </c>
      <c r="J271" s="22" t="str">
        <f t="shared" si="19"/>
        <v/>
      </c>
    </row>
    <row r="272" spans="1:10">
      <c r="A272" s="56" t="str">
        <f>IF(AMS!H292="","",AMS!H292)</f>
        <v/>
      </c>
      <c r="B272" s="22" t="str">
        <f t="shared" si="16"/>
        <v/>
      </c>
      <c r="C272" s="22" t="str">
        <f t="array" ref="C272">IFERROR(INDEX(Summary!$I$3:$I$1000,SMALL((Summary!$I$3:$I$1000="")/0.1%+ROW($3:$1000),ROW()-2)-2)&amp;"","")</f>
        <v/>
      </c>
      <c r="D272" s="22" t="str">
        <v/>
      </c>
      <c r="E272" s="22" t="str">
        <f t="shared" si="17"/>
        <v/>
      </c>
      <c r="F272" s="56" t="str">
        <f>IF(AMS!I292="","",AMS!I292)</f>
        <v/>
      </c>
      <c r="G272" s="56" t="str">
        <f>IF(AMS!J292="","",AMS!J292)</f>
        <v/>
      </c>
      <c r="H272" s="22" t="str">
        <f t="array" ref="H272">IF(A272&lt;&gt;" ",IFERROR(INDEX(Summary!$G$3:$G$1000,SMALL((Summary!$G$3:$G$1000="")/0.1%+ROW($3:$1000),ROW()-2)-2)&amp;"",""),"")</f>
        <v/>
      </c>
      <c r="I272" s="22" t="str">
        <f t="shared" si="18"/>
        <v/>
      </c>
      <c r="J272" s="22" t="str">
        <f t="shared" si="19"/>
        <v/>
      </c>
    </row>
    <row r="273" spans="1:10">
      <c r="A273" s="56" t="str">
        <f>IF(AMS!H293="","",AMS!H293)</f>
        <v/>
      </c>
      <c r="B273" s="22" t="str">
        <f t="shared" si="16"/>
        <v/>
      </c>
      <c r="C273" s="22" t="str">
        <f t="array" ref="C273">IFERROR(INDEX(Summary!$I$3:$I$1000,SMALL((Summary!$I$3:$I$1000="")/0.1%+ROW($3:$1000),ROW()-2)-2)&amp;"","")</f>
        <v/>
      </c>
      <c r="D273" s="22" t="str">
        <v/>
      </c>
      <c r="E273" s="22" t="str">
        <f t="shared" si="17"/>
        <v/>
      </c>
      <c r="F273" s="56" t="str">
        <f>IF(AMS!I293="","",AMS!I293)</f>
        <v/>
      </c>
      <c r="G273" s="56" t="str">
        <f>IF(AMS!J293="","",AMS!J293)</f>
        <v/>
      </c>
      <c r="H273" s="22" t="str">
        <f t="array" ref="H273">IF(A273&lt;&gt;" ",IFERROR(INDEX(Summary!$G$3:$G$1000,SMALL((Summary!$G$3:$G$1000="")/0.1%+ROW($3:$1000),ROW()-2)-2)&amp;"",""),"")</f>
        <v/>
      </c>
      <c r="I273" s="22" t="str">
        <f t="shared" si="18"/>
        <v/>
      </c>
      <c r="J273" s="22" t="str">
        <f t="shared" si="19"/>
        <v/>
      </c>
    </row>
    <row r="274" spans="1:10">
      <c r="A274" s="56" t="str">
        <f>IF(AMS!H294="","",AMS!H294)</f>
        <v/>
      </c>
      <c r="B274" s="22" t="str">
        <f t="shared" si="16"/>
        <v/>
      </c>
      <c r="C274" s="22" t="str">
        <f t="array" ref="C274">IFERROR(INDEX(Summary!$I$3:$I$1000,SMALL((Summary!$I$3:$I$1000="")/0.1%+ROW($3:$1000),ROW()-2)-2)&amp;"","")</f>
        <v/>
      </c>
      <c r="D274" s="22" t="str">
        <v/>
      </c>
      <c r="E274" s="22" t="str">
        <f t="shared" si="17"/>
        <v/>
      </c>
      <c r="F274" s="56" t="str">
        <f>IF(AMS!I294="","",AMS!I294)</f>
        <v/>
      </c>
      <c r="G274" s="56" t="str">
        <f>IF(AMS!J294="","",AMS!J294)</f>
        <v/>
      </c>
      <c r="H274" s="22" t="str">
        <f t="array" ref="H274">IF(A274&lt;&gt;" ",IFERROR(INDEX(Summary!$G$3:$G$1000,SMALL((Summary!$G$3:$G$1000="")/0.1%+ROW($3:$1000),ROW()-2)-2)&amp;"",""),"")</f>
        <v/>
      </c>
      <c r="I274" s="22" t="str">
        <f t="shared" si="18"/>
        <v/>
      </c>
      <c r="J274" s="22" t="str">
        <f t="shared" si="19"/>
        <v/>
      </c>
    </row>
    <row r="275" spans="1:10">
      <c r="A275" s="56" t="str">
        <f>IF(AMS!H295="","",AMS!H295)</f>
        <v/>
      </c>
      <c r="B275" s="22" t="str">
        <f t="shared" si="16"/>
        <v/>
      </c>
      <c r="C275" s="22" t="str">
        <f t="array" ref="C275">IFERROR(INDEX(Summary!$I$3:$I$1000,SMALL((Summary!$I$3:$I$1000="")/0.1%+ROW($3:$1000),ROW()-2)-2)&amp;"","")</f>
        <v/>
      </c>
      <c r="D275" s="22" t="str">
        <v/>
      </c>
      <c r="E275" s="22" t="str">
        <f t="shared" si="17"/>
        <v/>
      </c>
      <c r="F275" s="56" t="str">
        <f>IF(AMS!I295="","",AMS!I295)</f>
        <v/>
      </c>
      <c r="G275" s="56" t="str">
        <f>IF(AMS!J295="","",AMS!J295)</f>
        <v/>
      </c>
      <c r="H275" s="22" t="str">
        <f t="array" ref="H275">IF(A275&lt;&gt;" ",IFERROR(INDEX(Summary!$G$3:$G$1000,SMALL((Summary!$G$3:$G$1000="")/0.1%+ROW($3:$1000),ROW()-2)-2)&amp;"",""),"")</f>
        <v/>
      </c>
      <c r="I275" s="22" t="str">
        <f t="shared" si="18"/>
        <v/>
      </c>
      <c r="J275" s="22" t="str">
        <f t="shared" si="19"/>
        <v/>
      </c>
    </row>
    <row r="276" spans="1:10">
      <c r="A276" s="56" t="str">
        <f>IF(AMS!H296="","",AMS!H296)</f>
        <v/>
      </c>
      <c r="B276" s="22" t="str">
        <f t="shared" si="16"/>
        <v/>
      </c>
      <c r="C276" s="22" t="str">
        <f t="array" ref="C276">IFERROR(INDEX(Summary!$I$3:$I$1000,SMALL((Summary!$I$3:$I$1000="")/0.1%+ROW($3:$1000),ROW()-2)-2)&amp;"","")</f>
        <v/>
      </c>
      <c r="D276" s="22" t="str">
        <v/>
      </c>
      <c r="E276" s="22" t="str">
        <f t="shared" si="17"/>
        <v/>
      </c>
      <c r="F276" s="56" t="str">
        <f>IF(AMS!I296="","",AMS!I296)</f>
        <v/>
      </c>
      <c r="G276" s="56" t="str">
        <f>IF(AMS!J296="","",AMS!J296)</f>
        <v/>
      </c>
      <c r="H276" s="22" t="str">
        <f t="array" ref="H276">IF(A276&lt;&gt;" ",IFERROR(INDEX(Summary!$G$3:$G$1000,SMALL((Summary!$G$3:$G$1000="")/0.1%+ROW($3:$1000),ROW()-2)-2)&amp;"",""),"")</f>
        <v/>
      </c>
      <c r="I276" s="22" t="str">
        <f t="shared" si="18"/>
        <v/>
      </c>
      <c r="J276" s="22" t="str">
        <f t="shared" si="19"/>
        <v/>
      </c>
    </row>
    <row r="277" spans="1:10">
      <c r="A277" s="56" t="str">
        <f>IF(AMS!H297="","",AMS!H297)</f>
        <v/>
      </c>
      <c r="B277" s="22" t="str">
        <f t="shared" si="16"/>
        <v/>
      </c>
      <c r="C277" s="22" t="str">
        <f t="array" ref="C277">IFERROR(INDEX(Summary!$I$3:$I$1000,SMALL((Summary!$I$3:$I$1000="")/0.1%+ROW($3:$1000),ROW()-2)-2)&amp;"","")</f>
        <v/>
      </c>
      <c r="D277" s="22" t="str">
        <v/>
      </c>
      <c r="E277" s="22" t="str">
        <f t="shared" si="17"/>
        <v/>
      </c>
      <c r="F277" s="56" t="str">
        <f>IF(AMS!I297="","",AMS!I297)</f>
        <v/>
      </c>
      <c r="G277" s="56" t="str">
        <f>IF(AMS!J297="","",AMS!J297)</f>
        <v/>
      </c>
      <c r="H277" s="22" t="str">
        <f t="array" ref="H277">IF(A277&lt;&gt;" ",IFERROR(INDEX(Summary!$G$3:$G$1000,SMALL((Summary!$G$3:$G$1000="")/0.1%+ROW($3:$1000),ROW()-2)-2)&amp;"",""),"")</f>
        <v/>
      </c>
      <c r="I277" s="22" t="str">
        <f t="shared" si="18"/>
        <v/>
      </c>
      <c r="J277" s="22" t="str">
        <f t="shared" si="19"/>
        <v/>
      </c>
    </row>
    <row r="278" spans="1:10">
      <c r="A278" s="56" t="str">
        <f>IF(AMS!H298="","",AMS!H298)</f>
        <v/>
      </c>
      <c r="B278" s="22" t="str">
        <f t="shared" si="16"/>
        <v/>
      </c>
      <c r="C278" s="22" t="str">
        <f t="array" ref="C278">IFERROR(INDEX(Summary!$I$3:$I$1000,SMALL((Summary!$I$3:$I$1000="")/0.1%+ROW($3:$1000),ROW()-2)-2)&amp;"","")</f>
        <v/>
      </c>
      <c r="D278" s="22" t="str">
        <v/>
      </c>
      <c r="E278" s="22" t="str">
        <f t="shared" si="17"/>
        <v/>
      </c>
      <c r="F278" s="56" t="str">
        <f>IF(AMS!I298="","",AMS!I298)</f>
        <v/>
      </c>
      <c r="G278" s="56" t="str">
        <f>IF(AMS!J298="","",AMS!J298)</f>
        <v/>
      </c>
      <c r="H278" s="22" t="str">
        <f t="array" ref="H278">IF(A278&lt;&gt;" ",IFERROR(INDEX(Summary!$G$3:$G$1000,SMALL((Summary!$G$3:$G$1000="")/0.1%+ROW($3:$1000),ROW()-2)-2)&amp;"",""),"")</f>
        <v/>
      </c>
      <c r="I278" s="22" t="str">
        <f t="shared" si="18"/>
        <v/>
      </c>
      <c r="J278" s="22" t="str">
        <f t="shared" si="19"/>
        <v/>
      </c>
    </row>
    <row r="279" spans="1:10">
      <c r="A279" s="56" t="str">
        <f>IF(AMS!H299="","",AMS!H299)</f>
        <v/>
      </c>
      <c r="B279" s="22" t="str">
        <f t="shared" si="16"/>
        <v/>
      </c>
      <c r="C279" s="22" t="str">
        <f t="array" ref="C279">IFERROR(INDEX(Summary!$I$3:$I$1000,SMALL((Summary!$I$3:$I$1000="")/0.1%+ROW($3:$1000),ROW()-2)-2)&amp;"","")</f>
        <v/>
      </c>
      <c r="D279" s="22" t="str">
        <v/>
      </c>
      <c r="E279" s="22" t="str">
        <f t="shared" si="17"/>
        <v/>
      </c>
      <c r="F279" s="56" t="str">
        <f>IF(AMS!I299="","",AMS!I299)</f>
        <v/>
      </c>
      <c r="G279" s="56" t="str">
        <f>IF(AMS!J299="","",AMS!J299)</f>
        <v/>
      </c>
      <c r="H279" s="22" t="str">
        <f t="array" ref="H279">IF(A279&lt;&gt;" ",IFERROR(INDEX(Summary!$G$3:$G$1000,SMALL((Summary!$G$3:$G$1000="")/0.1%+ROW($3:$1000),ROW()-2)-2)&amp;"",""),"")</f>
        <v/>
      </c>
      <c r="I279" s="22" t="str">
        <f t="shared" si="18"/>
        <v/>
      </c>
      <c r="J279" s="22" t="str">
        <f t="shared" si="19"/>
        <v/>
      </c>
    </row>
    <row r="280" spans="1:10">
      <c r="A280" s="56" t="str">
        <f>IF(AMS!H300="","",AMS!H300)</f>
        <v/>
      </c>
      <c r="B280" s="22" t="str">
        <f t="shared" si="16"/>
        <v/>
      </c>
      <c r="C280" s="22" t="str">
        <f t="array" ref="C280">IFERROR(INDEX(Summary!$I$3:$I$1000,SMALL((Summary!$I$3:$I$1000="")/0.1%+ROW($3:$1000),ROW()-2)-2)&amp;"","")</f>
        <v/>
      </c>
      <c r="D280" s="22" t="str">
        <v/>
      </c>
      <c r="E280" s="22" t="str">
        <f t="shared" si="17"/>
        <v/>
      </c>
      <c r="F280" s="56" t="str">
        <f>IF(AMS!I300="","",AMS!I300)</f>
        <v/>
      </c>
      <c r="G280" s="56" t="str">
        <f>IF(AMS!J300="","",AMS!J300)</f>
        <v/>
      </c>
      <c r="H280" s="22" t="str">
        <f t="array" ref="H280">IF(A280&lt;&gt;" ",IFERROR(INDEX(Summary!$G$3:$G$1000,SMALL((Summary!$G$3:$G$1000="")/0.1%+ROW($3:$1000),ROW()-2)-2)&amp;"",""),"")</f>
        <v/>
      </c>
      <c r="I280" s="22" t="str">
        <f t="shared" si="18"/>
        <v/>
      </c>
      <c r="J280" s="22" t="str">
        <f t="shared" si="19"/>
        <v/>
      </c>
    </row>
    <row r="281" spans="1:10">
      <c r="A281" s="56" t="str">
        <f>IF(AMS!H301="","",AMS!H301)</f>
        <v/>
      </c>
      <c r="B281" s="22" t="str">
        <f t="shared" si="16"/>
        <v/>
      </c>
      <c r="C281" s="22" t="str">
        <f t="array" ref="C281">IFERROR(INDEX(Summary!$I$3:$I$1000,SMALL((Summary!$I$3:$I$1000="")/0.1%+ROW($3:$1000),ROW()-2)-2)&amp;"","")</f>
        <v/>
      </c>
      <c r="D281" s="22" t="str">
        <v/>
      </c>
      <c r="E281" s="22" t="str">
        <f t="shared" si="17"/>
        <v/>
      </c>
      <c r="F281" s="56" t="str">
        <f>IF(AMS!I301="","",AMS!I301)</f>
        <v/>
      </c>
      <c r="G281" s="56" t="str">
        <f>IF(AMS!J301="","",AMS!J301)</f>
        <v/>
      </c>
      <c r="H281" s="22" t="str">
        <f t="array" ref="H281">IF(A281&lt;&gt;" ",IFERROR(INDEX(Summary!$G$3:$G$1000,SMALL((Summary!$G$3:$G$1000="")/0.1%+ROW($3:$1000),ROW()-2)-2)&amp;"",""),"")</f>
        <v/>
      </c>
      <c r="I281" s="22" t="str">
        <f t="shared" si="18"/>
        <v/>
      </c>
      <c r="J281" s="22" t="str">
        <f t="shared" si="19"/>
        <v/>
      </c>
    </row>
    <row r="282" spans="1:10">
      <c r="A282" s="56" t="str">
        <f>IF(AMS!H302="","",AMS!H302)</f>
        <v/>
      </c>
      <c r="B282" s="22" t="str">
        <f t="shared" si="16"/>
        <v/>
      </c>
      <c r="C282" s="22" t="str">
        <f t="array" ref="C282">IFERROR(INDEX(Summary!$I$3:$I$1000,SMALL((Summary!$I$3:$I$1000="")/0.1%+ROW($3:$1000),ROW()-2)-2)&amp;"","")</f>
        <v/>
      </c>
      <c r="D282" s="22" t="str">
        <v/>
      </c>
      <c r="E282" s="22" t="str">
        <f t="shared" si="17"/>
        <v/>
      </c>
      <c r="F282" s="56" t="str">
        <f>IF(AMS!I302="","",AMS!I302)</f>
        <v/>
      </c>
      <c r="G282" s="56" t="str">
        <f>IF(AMS!J302="","",AMS!J302)</f>
        <v/>
      </c>
      <c r="H282" s="22" t="str">
        <f t="array" ref="H282">IF(A282&lt;&gt;" ",IFERROR(INDEX(Summary!$G$3:$G$1000,SMALL((Summary!$G$3:$G$1000="")/0.1%+ROW($3:$1000),ROW()-2)-2)&amp;"",""),"")</f>
        <v/>
      </c>
      <c r="I282" s="22" t="str">
        <f t="shared" si="18"/>
        <v/>
      </c>
      <c r="J282" s="22" t="str">
        <f t="shared" si="19"/>
        <v/>
      </c>
    </row>
    <row r="283" spans="1:10">
      <c r="A283" s="56" t="str">
        <f>IF(AMS!H303="","",AMS!H303)</f>
        <v/>
      </c>
      <c r="B283" s="22" t="str">
        <f t="shared" si="16"/>
        <v/>
      </c>
      <c r="C283" s="22" t="str">
        <f t="array" ref="C283">IFERROR(INDEX(Summary!$I$3:$I$1000,SMALL((Summary!$I$3:$I$1000="")/0.1%+ROW($3:$1000),ROW()-2)-2)&amp;"","")</f>
        <v/>
      </c>
      <c r="D283" s="22" t="str">
        <v/>
      </c>
      <c r="E283" s="22" t="str">
        <f t="shared" si="17"/>
        <v/>
      </c>
      <c r="F283" s="56" t="str">
        <f>IF(AMS!I303="","",AMS!I303)</f>
        <v/>
      </c>
      <c r="G283" s="56" t="str">
        <f>IF(AMS!J303="","",AMS!J303)</f>
        <v/>
      </c>
      <c r="H283" s="22" t="str">
        <f t="array" ref="H283">IF(A283&lt;&gt;" ",IFERROR(INDEX(Summary!$G$3:$G$1000,SMALL((Summary!$G$3:$G$1000="")/0.1%+ROW($3:$1000),ROW()-2)-2)&amp;"",""),"")</f>
        <v/>
      </c>
      <c r="I283" s="22" t="str">
        <f t="shared" si="18"/>
        <v/>
      </c>
      <c r="J283" s="22" t="str">
        <f t="shared" si="19"/>
        <v/>
      </c>
    </row>
    <row r="284" spans="1:10">
      <c r="A284" s="56" t="str">
        <f>IF(AMS!H304="","",AMS!H304)</f>
        <v/>
      </c>
      <c r="B284" s="22" t="str">
        <f t="shared" si="16"/>
        <v/>
      </c>
      <c r="C284" s="22" t="str">
        <f t="array" ref="C284">IFERROR(INDEX(Summary!$I$3:$I$1000,SMALL((Summary!$I$3:$I$1000="")/0.1%+ROW($3:$1000),ROW()-2)-2)&amp;"","")</f>
        <v/>
      </c>
      <c r="D284" s="22" t="str">
        <v/>
      </c>
      <c r="E284" s="22" t="str">
        <f t="shared" si="17"/>
        <v/>
      </c>
      <c r="F284" s="56" t="str">
        <f>IF(AMS!I304="","",AMS!I304)</f>
        <v/>
      </c>
      <c r="G284" s="56" t="str">
        <f>IF(AMS!J304="","",AMS!J304)</f>
        <v/>
      </c>
      <c r="H284" s="22" t="str">
        <f t="array" ref="H284">IF(A284&lt;&gt;" ",IFERROR(INDEX(Summary!$G$3:$G$1000,SMALL((Summary!$G$3:$G$1000="")/0.1%+ROW($3:$1000),ROW()-2)-2)&amp;"",""),"")</f>
        <v/>
      </c>
      <c r="I284" s="22" t="str">
        <f t="shared" si="18"/>
        <v/>
      </c>
      <c r="J284" s="22" t="str">
        <f t="shared" si="19"/>
        <v/>
      </c>
    </row>
    <row r="285" spans="1:10">
      <c r="A285" s="56" t="str">
        <f>IF(AMS!H305="","",AMS!H305)</f>
        <v/>
      </c>
      <c r="B285" s="22" t="str">
        <f t="shared" si="16"/>
        <v/>
      </c>
      <c r="C285" s="22" t="str">
        <f t="array" ref="C285">IFERROR(INDEX(Summary!$I$3:$I$1000,SMALL((Summary!$I$3:$I$1000="")/0.1%+ROW($3:$1000),ROW()-2)-2)&amp;"","")</f>
        <v/>
      </c>
      <c r="D285" s="22" t="str">
        <v/>
      </c>
      <c r="E285" s="22" t="str">
        <f t="shared" si="17"/>
        <v/>
      </c>
      <c r="F285" s="56" t="str">
        <f>IF(AMS!I305="","",AMS!I305)</f>
        <v/>
      </c>
      <c r="G285" s="56" t="str">
        <f>IF(AMS!J305="","",AMS!J305)</f>
        <v/>
      </c>
      <c r="H285" s="22" t="str">
        <f t="array" ref="H285">IF(A285&lt;&gt;" ",IFERROR(INDEX(Summary!$G$3:$G$1000,SMALL((Summary!$G$3:$G$1000="")/0.1%+ROW($3:$1000),ROW()-2)-2)&amp;"",""),"")</f>
        <v/>
      </c>
      <c r="I285" s="22" t="str">
        <f t="shared" si="18"/>
        <v/>
      </c>
      <c r="J285" s="22" t="str">
        <f t="shared" si="19"/>
        <v/>
      </c>
    </row>
    <row r="286" spans="1:10">
      <c r="A286" s="56" t="str">
        <f>IF(AMS!H306="","",AMS!H306)</f>
        <v/>
      </c>
      <c r="B286" s="22" t="str">
        <f t="shared" si="16"/>
        <v/>
      </c>
      <c r="C286" s="22" t="str">
        <f t="array" ref="C286">IFERROR(INDEX(Summary!$I$3:$I$1000,SMALL((Summary!$I$3:$I$1000="")/0.1%+ROW($3:$1000),ROW()-2)-2)&amp;"","")</f>
        <v/>
      </c>
      <c r="D286" s="22" t="str">
        <v/>
      </c>
      <c r="E286" s="22" t="str">
        <f t="shared" si="17"/>
        <v/>
      </c>
      <c r="F286" s="56" t="str">
        <f>IF(AMS!I306="","",AMS!I306)</f>
        <v/>
      </c>
      <c r="G286" s="56" t="str">
        <f>IF(AMS!J306="","",AMS!J306)</f>
        <v/>
      </c>
      <c r="H286" s="22" t="str">
        <f t="array" ref="H286">IF(A286&lt;&gt;" ",IFERROR(INDEX(Summary!$G$3:$G$1000,SMALL((Summary!$G$3:$G$1000="")/0.1%+ROW($3:$1000),ROW()-2)-2)&amp;"",""),"")</f>
        <v/>
      </c>
      <c r="I286" s="22" t="str">
        <f t="shared" si="18"/>
        <v/>
      </c>
      <c r="J286" s="22" t="str">
        <f t="shared" si="19"/>
        <v/>
      </c>
    </row>
    <row r="287" spans="1:10">
      <c r="A287" s="56" t="str">
        <f>IF(AMS!H307="","",AMS!H307)</f>
        <v/>
      </c>
      <c r="B287" s="22" t="str">
        <f t="shared" si="16"/>
        <v/>
      </c>
      <c r="C287" s="22" t="str">
        <f t="array" ref="C287">IFERROR(INDEX(Summary!$I$3:$I$1000,SMALL((Summary!$I$3:$I$1000="")/0.1%+ROW($3:$1000),ROW()-2)-2)&amp;"","")</f>
        <v/>
      </c>
      <c r="D287" s="22" t="str">
        <v/>
      </c>
      <c r="E287" s="22" t="str">
        <f t="shared" si="17"/>
        <v/>
      </c>
      <c r="F287" s="56" t="str">
        <f>IF(AMS!I307="","",AMS!I307)</f>
        <v/>
      </c>
      <c r="G287" s="56" t="str">
        <f>IF(AMS!J307="","",AMS!J307)</f>
        <v/>
      </c>
      <c r="H287" s="22" t="str">
        <f t="array" ref="H287">IF(A287&lt;&gt;" ",IFERROR(INDEX(Summary!$G$3:$G$1000,SMALL((Summary!$G$3:$G$1000="")/0.1%+ROW($3:$1000),ROW()-2)-2)&amp;"",""),"")</f>
        <v/>
      </c>
      <c r="I287" s="22" t="str">
        <f t="shared" si="18"/>
        <v/>
      </c>
      <c r="J287" s="22" t="str">
        <f t="shared" si="19"/>
        <v/>
      </c>
    </row>
    <row r="288" spans="1:10">
      <c r="A288" s="56" t="str">
        <f>IF(AMS!H308="","",AMS!H308)</f>
        <v/>
      </c>
      <c r="B288" s="22" t="str">
        <f t="shared" si="16"/>
        <v/>
      </c>
      <c r="C288" s="22" t="str">
        <f t="array" ref="C288">IFERROR(INDEX(Summary!$I$3:$I$1000,SMALL((Summary!$I$3:$I$1000="")/0.1%+ROW($3:$1000),ROW()-2)-2)&amp;"","")</f>
        <v/>
      </c>
      <c r="D288" s="22" t="str">
        <v/>
      </c>
      <c r="E288" s="22" t="str">
        <f t="shared" si="17"/>
        <v/>
      </c>
      <c r="F288" s="56" t="str">
        <f>IF(AMS!I308="","",AMS!I308)</f>
        <v/>
      </c>
      <c r="G288" s="56" t="str">
        <f>IF(AMS!J308="","",AMS!J308)</f>
        <v/>
      </c>
      <c r="H288" s="22" t="str">
        <f t="array" ref="H288">IF(A288&lt;&gt;" ",IFERROR(INDEX(Summary!$G$3:$G$1000,SMALL((Summary!$G$3:$G$1000="")/0.1%+ROW($3:$1000),ROW()-2)-2)&amp;"",""),"")</f>
        <v/>
      </c>
      <c r="I288" s="22" t="str">
        <f t="shared" si="18"/>
        <v/>
      </c>
      <c r="J288" s="22" t="str">
        <f t="shared" si="19"/>
        <v/>
      </c>
    </row>
    <row r="289" spans="1:10">
      <c r="A289" s="56" t="str">
        <f>IF(AMS!H309="","",AMS!H309)</f>
        <v/>
      </c>
      <c r="B289" s="22" t="str">
        <f t="shared" si="16"/>
        <v/>
      </c>
      <c r="C289" s="22" t="str">
        <f t="array" ref="C289">IFERROR(INDEX(Summary!$I$3:$I$1000,SMALL((Summary!$I$3:$I$1000="")/0.1%+ROW($3:$1000),ROW()-2)-2)&amp;"","")</f>
        <v/>
      </c>
      <c r="D289" s="22" t="str">
        <v/>
      </c>
      <c r="E289" s="22" t="str">
        <f t="shared" si="17"/>
        <v/>
      </c>
      <c r="F289" s="56" t="str">
        <f>IF(AMS!I309="","",AMS!I309)</f>
        <v/>
      </c>
      <c r="G289" s="56" t="str">
        <f>IF(AMS!J309="","",AMS!J309)</f>
        <v/>
      </c>
      <c r="H289" s="22" t="str">
        <f t="array" ref="H289">IF(A289&lt;&gt;" ",IFERROR(INDEX(Summary!$G$3:$G$1000,SMALL((Summary!$G$3:$G$1000="")/0.1%+ROW($3:$1000),ROW()-2)-2)&amp;"",""),"")</f>
        <v/>
      </c>
      <c r="I289" s="22" t="str">
        <f t="shared" si="18"/>
        <v/>
      </c>
      <c r="J289" s="22" t="str">
        <f t="shared" si="19"/>
        <v/>
      </c>
    </row>
    <row r="290" spans="1:10">
      <c r="A290" s="56" t="str">
        <f>IF(AMS!H310="","",AMS!H310)</f>
        <v/>
      </c>
      <c r="B290" s="22" t="str">
        <f t="shared" si="16"/>
        <v/>
      </c>
      <c r="C290" s="22" t="str">
        <f t="array" ref="C290">IFERROR(INDEX(Summary!$I$3:$I$1000,SMALL((Summary!$I$3:$I$1000="")/0.1%+ROW($3:$1000),ROW()-2)-2)&amp;"","")</f>
        <v/>
      </c>
      <c r="D290" s="22" t="str">
        <v/>
      </c>
      <c r="E290" s="22" t="str">
        <f t="shared" si="17"/>
        <v/>
      </c>
      <c r="F290" s="56" t="str">
        <f>IF(AMS!I310="","",AMS!I310)</f>
        <v/>
      </c>
      <c r="G290" s="56" t="str">
        <f>IF(AMS!J310="","",AMS!J310)</f>
        <v/>
      </c>
      <c r="H290" s="22" t="str">
        <f t="array" ref="H290">IF(A290&lt;&gt;" ",IFERROR(INDEX(Summary!$G$3:$G$1000,SMALL((Summary!$G$3:$G$1000="")/0.1%+ROW($3:$1000),ROW()-2)-2)&amp;"",""),"")</f>
        <v/>
      </c>
      <c r="I290" s="22" t="str">
        <f t="shared" si="18"/>
        <v/>
      </c>
      <c r="J290" s="22" t="str">
        <f t="shared" si="19"/>
        <v/>
      </c>
    </row>
    <row r="291" spans="1:10">
      <c r="A291" s="56" t="str">
        <f>IF(AMS!H311="","",AMS!H311)</f>
        <v/>
      </c>
      <c r="B291" s="22" t="str">
        <f t="shared" si="16"/>
        <v/>
      </c>
      <c r="C291" s="22" t="str">
        <f t="array" ref="C291">IFERROR(INDEX(Summary!$I$3:$I$1000,SMALL((Summary!$I$3:$I$1000="")/0.1%+ROW($3:$1000),ROW()-2)-2)&amp;"","")</f>
        <v/>
      </c>
      <c r="D291" s="22" t="str">
        <v/>
      </c>
      <c r="E291" s="22" t="str">
        <f t="shared" si="17"/>
        <v/>
      </c>
      <c r="F291" s="56" t="str">
        <f>IF(AMS!I311="","",AMS!I311)</f>
        <v/>
      </c>
      <c r="G291" s="56" t="str">
        <f>IF(AMS!J311="","",AMS!J311)</f>
        <v/>
      </c>
      <c r="H291" s="22" t="str">
        <f t="array" ref="H291">IF(A291&lt;&gt;" ",IFERROR(INDEX(Summary!$G$3:$G$1000,SMALL((Summary!$G$3:$G$1000="")/0.1%+ROW($3:$1000),ROW()-2)-2)&amp;"",""),"")</f>
        <v/>
      </c>
      <c r="I291" s="22" t="str">
        <f t="shared" si="18"/>
        <v/>
      </c>
      <c r="J291" s="22" t="str">
        <f t="shared" si="19"/>
        <v/>
      </c>
    </row>
    <row r="292" spans="1:10">
      <c r="A292" s="56" t="str">
        <f>IF(AMS!H312="","",AMS!H312)</f>
        <v/>
      </c>
      <c r="B292" s="22" t="str">
        <f t="shared" si="16"/>
        <v/>
      </c>
      <c r="C292" s="22" t="str">
        <f t="array" ref="C292">IFERROR(INDEX(Summary!$I$3:$I$1000,SMALL((Summary!$I$3:$I$1000="")/0.1%+ROW($3:$1000),ROW()-2)-2)&amp;"","")</f>
        <v/>
      </c>
      <c r="D292" s="22" t="str">
        <v/>
      </c>
      <c r="E292" s="22" t="str">
        <f t="shared" si="17"/>
        <v/>
      </c>
      <c r="F292" s="56" t="str">
        <f>IF(AMS!I312="","",AMS!I312)</f>
        <v/>
      </c>
      <c r="G292" s="56" t="str">
        <f>IF(AMS!J312="","",AMS!J312)</f>
        <v/>
      </c>
      <c r="H292" s="22" t="str">
        <f t="array" ref="H292">IF(A292&lt;&gt;" ",IFERROR(INDEX(Summary!$G$3:$G$1000,SMALL((Summary!$G$3:$G$1000="")/0.1%+ROW($3:$1000),ROW()-2)-2)&amp;"",""),"")</f>
        <v/>
      </c>
      <c r="I292" s="22" t="str">
        <f t="shared" si="18"/>
        <v/>
      </c>
      <c r="J292" s="22" t="str">
        <f t="shared" si="19"/>
        <v/>
      </c>
    </row>
    <row r="293" spans="1:10">
      <c r="A293" s="56" t="str">
        <f>IF(AMS!H313="","",AMS!H313)</f>
        <v/>
      </c>
      <c r="B293" s="22" t="str">
        <f t="shared" si="16"/>
        <v/>
      </c>
      <c r="C293" s="22" t="str">
        <f t="array" ref="C293">IFERROR(INDEX(Summary!$I$3:$I$1000,SMALL((Summary!$I$3:$I$1000="")/0.1%+ROW($3:$1000),ROW()-2)-2)&amp;"","")</f>
        <v/>
      </c>
      <c r="D293" s="22" t="str">
        <v/>
      </c>
      <c r="E293" s="22" t="str">
        <f t="shared" si="17"/>
        <v/>
      </c>
      <c r="F293" s="56" t="str">
        <f>IF(AMS!I313="","",AMS!I313)</f>
        <v/>
      </c>
      <c r="G293" s="56" t="str">
        <f>IF(AMS!J313="","",AMS!J313)</f>
        <v/>
      </c>
      <c r="H293" s="22" t="str">
        <f t="array" ref="H293">IF(A293&lt;&gt;" ",IFERROR(INDEX(Summary!$G$3:$G$1000,SMALL((Summary!$G$3:$G$1000="")/0.1%+ROW($3:$1000),ROW()-2)-2)&amp;"",""),"")</f>
        <v/>
      </c>
      <c r="I293" s="22" t="str">
        <f t="shared" si="18"/>
        <v/>
      </c>
      <c r="J293" s="22" t="str">
        <f t="shared" si="19"/>
        <v/>
      </c>
    </row>
    <row r="294" spans="1:10">
      <c r="A294" s="56" t="str">
        <f>IF(AMS!H314="","",AMS!H314)</f>
        <v/>
      </c>
      <c r="B294" s="22" t="str">
        <f t="shared" si="16"/>
        <v/>
      </c>
      <c r="C294" s="22" t="str">
        <f t="array" ref="C294">IFERROR(INDEX(Summary!$I$3:$I$1000,SMALL((Summary!$I$3:$I$1000="")/0.1%+ROW($3:$1000),ROW()-2)-2)&amp;"","")</f>
        <v/>
      </c>
      <c r="D294" s="22" t="str">
        <v/>
      </c>
      <c r="E294" s="22" t="str">
        <f t="shared" si="17"/>
        <v/>
      </c>
      <c r="F294" s="56" t="str">
        <f>IF(AMS!I314="","",AMS!I314)</f>
        <v/>
      </c>
      <c r="G294" s="56" t="str">
        <f>IF(AMS!J314="","",AMS!J314)</f>
        <v/>
      </c>
      <c r="H294" s="22" t="str">
        <f t="array" ref="H294">IF(A294&lt;&gt;" ",IFERROR(INDEX(Summary!$G$3:$G$1000,SMALL((Summary!$G$3:$G$1000="")/0.1%+ROW($3:$1000),ROW()-2)-2)&amp;"",""),"")</f>
        <v/>
      </c>
      <c r="I294" s="22" t="str">
        <f t="shared" si="18"/>
        <v/>
      </c>
      <c r="J294" s="22" t="str">
        <f t="shared" si="19"/>
        <v/>
      </c>
    </row>
    <row r="295" spans="1:10">
      <c r="A295" s="56" t="str">
        <f>IF(AMS!H315="","",AMS!H315)</f>
        <v/>
      </c>
      <c r="B295" s="22" t="str">
        <f t="shared" si="16"/>
        <v/>
      </c>
      <c r="C295" s="22" t="str">
        <f t="array" ref="C295">IFERROR(INDEX(Summary!$I$3:$I$1000,SMALL((Summary!$I$3:$I$1000="")/0.1%+ROW($3:$1000),ROW()-2)-2)&amp;"","")</f>
        <v/>
      </c>
      <c r="D295" s="22" t="str">
        <v/>
      </c>
      <c r="E295" s="22" t="str">
        <f t="shared" si="17"/>
        <v/>
      </c>
      <c r="F295" s="56" t="str">
        <f>IF(AMS!I315="","",AMS!I315)</f>
        <v/>
      </c>
      <c r="G295" s="56" t="str">
        <f>IF(AMS!J315="","",AMS!J315)</f>
        <v/>
      </c>
      <c r="H295" s="22" t="str">
        <f t="array" ref="H295">IF(A295&lt;&gt;" ",IFERROR(INDEX(Summary!$G$3:$G$1000,SMALL((Summary!$G$3:$G$1000="")/0.1%+ROW($3:$1000),ROW()-2)-2)&amp;"",""),"")</f>
        <v/>
      </c>
      <c r="I295" s="22" t="str">
        <f t="shared" si="18"/>
        <v/>
      </c>
      <c r="J295" s="22" t="str">
        <f t="shared" si="19"/>
        <v/>
      </c>
    </row>
    <row r="296" spans="1:10">
      <c r="A296" s="56" t="str">
        <f>IF(AMS!H316="","",AMS!H316)</f>
        <v/>
      </c>
      <c r="B296" s="22" t="str">
        <f t="shared" si="16"/>
        <v/>
      </c>
      <c r="C296" s="22" t="str">
        <f t="array" ref="C296">IFERROR(INDEX(Summary!$I$3:$I$1000,SMALL((Summary!$I$3:$I$1000="")/0.1%+ROW($3:$1000),ROW()-2)-2)&amp;"","")</f>
        <v/>
      </c>
      <c r="D296" s="22" t="str">
        <v/>
      </c>
      <c r="E296" s="22" t="str">
        <f t="shared" si="17"/>
        <v/>
      </c>
      <c r="F296" s="56" t="str">
        <f>IF(AMS!I316="","",AMS!I316)</f>
        <v/>
      </c>
      <c r="G296" s="56" t="str">
        <f>IF(AMS!J316="","",AMS!J316)</f>
        <v/>
      </c>
      <c r="H296" s="22" t="str">
        <f t="array" ref="H296">IF(A296&lt;&gt;" ",IFERROR(INDEX(Summary!$G$3:$G$1000,SMALL((Summary!$G$3:$G$1000="")/0.1%+ROW($3:$1000),ROW()-2)-2)&amp;"",""),"")</f>
        <v/>
      </c>
      <c r="I296" s="22" t="str">
        <f t="shared" si="18"/>
        <v/>
      </c>
      <c r="J296" s="22" t="str">
        <f t="shared" si="19"/>
        <v/>
      </c>
    </row>
    <row r="297" spans="1:10">
      <c r="A297" s="56" t="str">
        <f>IF(AMS!H317="","",AMS!H317)</f>
        <v/>
      </c>
      <c r="B297" s="22" t="str">
        <f t="shared" si="16"/>
        <v/>
      </c>
      <c r="C297" s="22" t="str">
        <f t="array" ref="C297">IFERROR(INDEX(Summary!$I$3:$I$1000,SMALL((Summary!$I$3:$I$1000="")/0.1%+ROW($3:$1000),ROW()-2)-2)&amp;"","")</f>
        <v/>
      </c>
      <c r="D297" s="22" t="str">
        <v/>
      </c>
      <c r="E297" s="22" t="str">
        <f t="shared" si="17"/>
        <v/>
      </c>
      <c r="F297" s="56" t="str">
        <f>IF(AMS!I317="","",AMS!I317)</f>
        <v/>
      </c>
      <c r="G297" s="56" t="str">
        <f>IF(AMS!J317="","",AMS!J317)</f>
        <v/>
      </c>
      <c r="H297" s="22" t="str">
        <f t="array" ref="H297">IF(A297&lt;&gt;" ",IFERROR(INDEX(Summary!$G$3:$G$1000,SMALL((Summary!$G$3:$G$1000="")/0.1%+ROW($3:$1000),ROW()-2)-2)&amp;"",""),"")</f>
        <v/>
      </c>
      <c r="I297" s="22" t="str">
        <f t="shared" si="18"/>
        <v/>
      </c>
      <c r="J297" s="22" t="str">
        <f t="shared" si="19"/>
        <v/>
      </c>
    </row>
    <row r="298" spans="1:10">
      <c r="A298" s="56" t="str">
        <f>IF(AMS!H318="","",AMS!H318)</f>
        <v/>
      </c>
      <c r="B298" s="22" t="str">
        <f t="shared" si="16"/>
        <v/>
      </c>
      <c r="C298" s="22" t="str">
        <f t="array" ref="C298">IFERROR(INDEX(Summary!$I$3:$I$1000,SMALL((Summary!$I$3:$I$1000="")/0.1%+ROW($3:$1000),ROW()-2)-2)&amp;"","")</f>
        <v/>
      </c>
      <c r="D298" s="22" t="str">
        <v/>
      </c>
      <c r="E298" s="22" t="str">
        <f t="shared" si="17"/>
        <v/>
      </c>
      <c r="F298" s="56" t="str">
        <f>IF(AMS!I318="","",AMS!I318)</f>
        <v/>
      </c>
      <c r="G298" s="56" t="str">
        <f>IF(AMS!J318="","",AMS!J318)</f>
        <v/>
      </c>
      <c r="H298" s="22" t="str">
        <f t="array" ref="H298">IF(A298&lt;&gt;" ",IFERROR(INDEX(Summary!$G$3:$G$1000,SMALL((Summary!$G$3:$G$1000="")/0.1%+ROW($3:$1000),ROW()-2)-2)&amp;"",""),"")</f>
        <v/>
      </c>
      <c r="I298" s="22" t="str">
        <f t="shared" si="18"/>
        <v/>
      </c>
      <c r="J298" s="22" t="str">
        <f t="shared" si="19"/>
        <v/>
      </c>
    </row>
    <row r="299" spans="1:10">
      <c r="A299" s="56" t="str">
        <f>IF(AMS!H319="","",AMS!H319)</f>
        <v/>
      </c>
      <c r="B299" s="22" t="str">
        <f t="shared" si="16"/>
        <v/>
      </c>
      <c r="C299" s="22" t="str">
        <f t="array" ref="C299">IFERROR(INDEX(Summary!$I$3:$I$1000,SMALL((Summary!$I$3:$I$1000="")/0.1%+ROW($3:$1000),ROW()-2)-2)&amp;"","")</f>
        <v/>
      </c>
      <c r="D299" s="22" t="str">
        <v/>
      </c>
      <c r="E299" s="22" t="str">
        <f t="shared" si="17"/>
        <v/>
      </c>
      <c r="F299" s="56" t="str">
        <f>IF(AMS!I319="","",AMS!I319)</f>
        <v/>
      </c>
      <c r="G299" s="56" t="str">
        <f>IF(AMS!J319="","",AMS!J319)</f>
        <v/>
      </c>
      <c r="H299" s="22" t="str">
        <f t="array" ref="H299">IF(A299&lt;&gt;" ",IFERROR(INDEX(Summary!$G$3:$G$1000,SMALL((Summary!$G$3:$G$1000="")/0.1%+ROW($3:$1000),ROW()-2)-2)&amp;"",""),"")</f>
        <v/>
      </c>
      <c r="I299" s="22" t="str">
        <f t="shared" si="18"/>
        <v/>
      </c>
      <c r="J299" s="22" t="str">
        <f t="shared" si="19"/>
        <v/>
      </c>
    </row>
    <row r="300" spans="1:10">
      <c r="A300" s="56" t="str">
        <f>IF(AMS!H320="","",AMS!H320)</f>
        <v/>
      </c>
      <c r="B300" s="22" t="str">
        <f t="shared" si="16"/>
        <v/>
      </c>
      <c r="C300" s="22" t="str">
        <f t="array" ref="C300">IFERROR(INDEX(Summary!$I$3:$I$1000,SMALL((Summary!$I$3:$I$1000="")/0.1%+ROW($3:$1000),ROW()-2)-2)&amp;"","")</f>
        <v/>
      </c>
      <c r="D300" s="22" t="str">
        <v/>
      </c>
      <c r="E300" s="22" t="str">
        <f t="shared" si="17"/>
        <v/>
      </c>
      <c r="F300" s="56" t="str">
        <f>IF(AMS!I320="","",AMS!I320)</f>
        <v/>
      </c>
      <c r="G300" s="56" t="str">
        <f>IF(AMS!J320="","",AMS!J320)</f>
        <v/>
      </c>
      <c r="H300" s="22" t="str">
        <f t="array" ref="H300">IF(A300&lt;&gt;" ",IFERROR(INDEX(Summary!$G$3:$G$1000,SMALL((Summary!$G$3:$G$1000="")/0.1%+ROW($3:$1000),ROW()-2)-2)&amp;"",""),"")</f>
        <v/>
      </c>
      <c r="I300" s="22" t="str">
        <f t="shared" si="18"/>
        <v/>
      </c>
      <c r="J300" s="22" t="str">
        <f t="shared" si="19"/>
        <v/>
      </c>
    </row>
    <row r="301" spans="1:10">
      <c r="A301" s="56" t="str">
        <f>IF(AMS!H321="","",AMS!H321)</f>
        <v/>
      </c>
      <c r="B301" s="22" t="str">
        <f t="shared" si="16"/>
        <v/>
      </c>
      <c r="C301" s="22" t="str">
        <f t="array" ref="C301">IFERROR(INDEX(Summary!$I$3:$I$1000,SMALL((Summary!$I$3:$I$1000="")/0.1%+ROW($3:$1000),ROW()-2)-2)&amp;"","")</f>
        <v/>
      </c>
      <c r="D301" s="22" t="str">
        <v/>
      </c>
      <c r="E301" s="22" t="str">
        <f t="shared" si="17"/>
        <v/>
      </c>
      <c r="F301" s="56" t="str">
        <f>IF(AMS!I321="","",AMS!I321)</f>
        <v/>
      </c>
      <c r="G301" s="56" t="str">
        <f>IF(AMS!J321="","",AMS!J321)</f>
        <v/>
      </c>
      <c r="H301" s="22" t="str">
        <f t="array" ref="H301">IF(A301&lt;&gt;" ",IFERROR(INDEX(Summary!$G$3:$G$1000,SMALL((Summary!$G$3:$G$1000="")/0.1%+ROW($3:$1000),ROW()-2)-2)&amp;"",""),"")</f>
        <v/>
      </c>
      <c r="I301" s="22" t="str">
        <f t="shared" si="18"/>
        <v/>
      </c>
      <c r="J301" s="22" t="str">
        <f t="shared" si="19"/>
        <v/>
      </c>
    </row>
    <row r="302" spans="1:10">
      <c r="A302" s="56" t="str">
        <f>IF(AMS!H322="","",AMS!H322)</f>
        <v/>
      </c>
      <c r="B302" s="22" t="str">
        <f t="shared" si="16"/>
        <v/>
      </c>
      <c r="C302" s="22" t="str">
        <f t="array" ref="C302">IFERROR(INDEX(Summary!$I$3:$I$1000,SMALL((Summary!$I$3:$I$1000="")/0.1%+ROW($3:$1000),ROW()-2)-2)&amp;"","")</f>
        <v/>
      </c>
      <c r="D302" s="22" t="str">
        <v/>
      </c>
      <c r="E302" s="22" t="str">
        <f t="shared" si="17"/>
        <v/>
      </c>
      <c r="F302" s="56" t="str">
        <f>IF(AMS!I322="","",AMS!I322)</f>
        <v/>
      </c>
      <c r="G302" s="56" t="str">
        <f>IF(AMS!J322="","",AMS!J322)</f>
        <v/>
      </c>
      <c r="H302" s="22" t="str">
        <f t="array" ref="H302">IF(A302&lt;&gt;" ",IFERROR(INDEX(Summary!$G$3:$G$1000,SMALL((Summary!$G$3:$G$1000="")/0.1%+ROW($3:$1000),ROW()-2)-2)&amp;"",""),"")</f>
        <v/>
      </c>
      <c r="I302" s="22" t="str">
        <f t="shared" si="18"/>
        <v/>
      </c>
      <c r="J302" s="22" t="str">
        <f t="shared" si="19"/>
        <v/>
      </c>
    </row>
    <row r="303" spans="1:10">
      <c r="A303" s="56" t="str">
        <f>IF(AMS!H323="","",AMS!H323)</f>
        <v/>
      </c>
      <c r="B303" s="22" t="str">
        <f t="shared" si="16"/>
        <v/>
      </c>
      <c r="C303" s="22" t="str">
        <f t="array" ref="C303">IFERROR(INDEX(Summary!$I$3:$I$1000,SMALL((Summary!$I$3:$I$1000="")/0.1%+ROW($3:$1000),ROW()-2)-2)&amp;"","")</f>
        <v/>
      </c>
      <c r="D303" s="22" t="str">
        <v/>
      </c>
      <c r="E303" s="22" t="str">
        <f t="shared" si="17"/>
        <v/>
      </c>
      <c r="F303" s="56" t="str">
        <f>IF(AMS!I323="","",AMS!I323)</f>
        <v/>
      </c>
      <c r="G303" s="56" t="str">
        <f>IF(AMS!J323="","",AMS!J323)</f>
        <v/>
      </c>
      <c r="H303" s="22" t="str">
        <f t="array" ref="H303">IF(A303&lt;&gt;" ",IFERROR(INDEX(Summary!$G$3:$G$1000,SMALL((Summary!$G$3:$G$1000="")/0.1%+ROW($3:$1000),ROW()-2)-2)&amp;"",""),"")</f>
        <v/>
      </c>
      <c r="I303" s="22" t="str">
        <f t="shared" si="18"/>
        <v/>
      </c>
      <c r="J303" s="22" t="str">
        <f t="shared" si="19"/>
        <v/>
      </c>
    </row>
    <row r="304" spans="1:10">
      <c r="A304" s="56" t="str">
        <f>IF(AMS!H324="","",AMS!H324)</f>
        <v/>
      </c>
      <c r="B304" s="22" t="str">
        <f t="shared" si="16"/>
        <v/>
      </c>
      <c r="C304" s="22" t="str">
        <f t="array" ref="C304">IFERROR(INDEX(Summary!$I$3:$I$1000,SMALL((Summary!$I$3:$I$1000="")/0.1%+ROW($3:$1000),ROW()-2)-2)&amp;"","")</f>
        <v/>
      </c>
      <c r="D304" s="22" t="str">
        <v/>
      </c>
      <c r="E304" s="22" t="str">
        <f t="shared" si="17"/>
        <v/>
      </c>
      <c r="F304" s="56" t="str">
        <f>IF(AMS!I324="","",AMS!I324)</f>
        <v/>
      </c>
      <c r="G304" s="56" t="str">
        <f>IF(AMS!J324="","",AMS!J324)</f>
        <v/>
      </c>
      <c r="H304" s="22" t="str">
        <f t="array" ref="H304">IF(A304&lt;&gt;" ",IFERROR(INDEX(Summary!$G$3:$G$1000,SMALL((Summary!$G$3:$G$1000="")/0.1%+ROW($3:$1000),ROW()-2)-2)&amp;"",""),"")</f>
        <v/>
      </c>
      <c r="I304" s="22" t="str">
        <f t="shared" si="18"/>
        <v/>
      </c>
      <c r="J304" s="22" t="str">
        <f t="shared" si="19"/>
        <v/>
      </c>
    </row>
    <row r="305" spans="1:10">
      <c r="A305" s="56" t="str">
        <f>IF(AMS!H325="","",AMS!H325)</f>
        <v/>
      </c>
      <c r="B305" s="22" t="str">
        <f t="shared" si="16"/>
        <v/>
      </c>
      <c r="C305" s="22" t="str">
        <f t="array" ref="C305">IFERROR(INDEX(Summary!$I$3:$I$1000,SMALL((Summary!$I$3:$I$1000="")/0.1%+ROW($3:$1000),ROW()-2)-2)&amp;"","")</f>
        <v/>
      </c>
      <c r="D305" s="22" t="str">
        <v/>
      </c>
      <c r="E305" s="22" t="str">
        <f t="shared" si="17"/>
        <v/>
      </c>
      <c r="F305" s="56" t="str">
        <f>IF(AMS!I325="","",AMS!I325)</f>
        <v/>
      </c>
      <c r="G305" s="56" t="str">
        <f>IF(AMS!J325="","",AMS!J325)</f>
        <v/>
      </c>
      <c r="H305" s="22" t="str">
        <f t="array" ref="H305">IF(A305&lt;&gt;" ",IFERROR(INDEX(Summary!$G$3:$G$1000,SMALL((Summary!$G$3:$G$1000="")/0.1%+ROW($3:$1000),ROW()-2)-2)&amp;"",""),"")</f>
        <v/>
      </c>
      <c r="I305" s="22" t="str">
        <f t="shared" si="18"/>
        <v/>
      </c>
      <c r="J305" s="22" t="str">
        <f t="shared" si="19"/>
        <v/>
      </c>
    </row>
    <row r="306" spans="1:10">
      <c r="A306" s="56" t="str">
        <f>IF(AMS!H326="","",AMS!H326)</f>
        <v/>
      </c>
      <c r="B306" s="22" t="str">
        <f t="shared" si="16"/>
        <v/>
      </c>
      <c r="C306" s="22" t="str">
        <f t="array" ref="C306">IFERROR(INDEX(Summary!$I$3:$I$1000,SMALL((Summary!$I$3:$I$1000="")/0.1%+ROW($3:$1000),ROW()-2)-2)&amp;"","")</f>
        <v/>
      </c>
      <c r="D306" s="22" t="str">
        <v/>
      </c>
      <c r="E306" s="22" t="str">
        <f t="shared" si="17"/>
        <v/>
      </c>
      <c r="F306" s="56" t="str">
        <f>IF(AMS!I326="","",AMS!I326)</f>
        <v/>
      </c>
      <c r="G306" s="56" t="str">
        <f>IF(AMS!J326="","",AMS!J326)</f>
        <v/>
      </c>
      <c r="H306" s="22" t="str">
        <f t="array" ref="H306">IF(A306&lt;&gt;" ",IFERROR(INDEX(Summary!$G$3:$G$1000,SMALL((Summary!$G$3:$G$1000="")/0.1%+ROW($3:$1000),ROW()-2)-2)&amp;"",""),"")</f>
        <v/>
      </c>
      <c r="I306" s="22" t="str">
        <f t="shared" si="18"/>
        <v/>
      </c>
      <c r="J306" s="22" t="str">
        <f t="shared" si="19"/>
        <v/>
      </c>
    </row>
    <row r="307" spans="1:10">
      <c r="A307" s="56" t="str">
        <f>IF(AMS!H327="","",AMS!H327)</f>
        <v/>
      </c>
      <c r="B307" s="22" t="str">
        <f t="shared" si="16"/>
        <v/>
      </c>
      <c r="C307" s="22" t="str">
        <f t="array" ref="C307">IFERROR(INDEX(Summary!$I$3:$I$1000,SMALL((Summary!$I$3:$I$1000="")/0.1%+ROW($3:$1000),ROW()-2)-2)&amp;"","")</f>
        <v/>
      </c>
      <c r="D307" s="22" t="str">
        <v/>
      </c>
      <c r="E307" s="22" t="str">
        <f t="shared" si="17"/>
        <v/>
      </c>
      <c r="F307" s="56" t="str">
        <f>IF(AMS!I327="","",AMS!I327)</f>
        <v/>
      </c>
      <c r="G307" s="56" t="str">
        <f>IF(AMS!J327="","",AMS!J327)</f>
        <v/>
      </c>
      <c r="H307" s="22" t="str">
        <f t="array" ref="H307">IF(A307&lt;&gt;" ",IFERROR(INDEX(Summary!$G$3:$G$1000,SMALL((Summary!$G$3:$G$1000="")/0.1%+ROW($3:$1000),ROW()-2)-2)&amp;"",""),"")</f>
        <v/>
      </c>
      <c r="I307" s="22" t="str">
        <f t="shared" si="18"/>
        <v/>
      </c>
      <c r="J307" s="22" t="str">
        <f t="shared" si="19"/>
        <v/>
      </c>
    </row>
    <row r="308" spans="1:10">
      <c r="A308" s="56" t="str">
        <f>IF(AMS!H328="","",AMS!H328)</f>
        <v/>
      </c>
      <c r="B308" s="22" t="str">
        <f t="shared" si="16"/>
        <v/>
      </c>
      <c r="C308" s="22" t="str">
        <f t="array" ref="C308">IFERROR(INDEX(Summary!$I$3:$I$1000,SMALL((Summary!$I$3:$I$1000="")/0.1%+ROW($3:$1000),ROW()-2)-2)&amp;"","")</f>
        <v/>
      </c>
      <c r="D308" s="22" t="str">
        <v/>
      </c>
      <c r="E308" s="22" t="str">
        <f t="shared" si="17"/>
        <v/>
      </c>
      <c r="F308" s="56" t="str">
        <f>IF(AMS!I328="","",AMS!I328)</f>
        <v/>
      </c>
      <c r="G308" s="56" t="str">
        <f>IF(AMS!J328="","",AMS!J328)</f>
        <v/>
      </c>
      <c r="H308" s="22" t="str">
        <f t="array" ref="H308">IF(A308&lt;&gt;" ",IFERROR(INDEX(Summary!$G$3:$G$1000,SMALL((Summary!$G$3:$G$1000="")/0.1%+ROW($3:$1000),ROW()-2)-2)&amp;"",""),"")</f>
        <v/>
      </c>
      <c r="I308" s="22" t="str">
        <f t="shared" si="18"/>
        <v/>
      </c>
      <c r="J308" s="22" t="str">
        <f t="shared" si="19"/>
        <v/>
      </c>
    </row>
    <row r="309" spans="1:10">
      <c r="A309" s="56" t="str">
        <f>IF(AMS!H329="","",AMS!H329)</f>
        <v/>
      </c>
      <c r="B309" s="22" t="str">
        <f t="shared" si="16"/>
        <v/>
      </c>
      <c r="C309" s="22" t="str">
        <f t="array" ref="C309">IFERROR(INDEX(Summary!$I$3:$I$1000,SMALL((Summary!$I$3:$I$1000="")/0.1%+ROW($3:$1000),ROW()-2)-2)&amp;"","")</f>
        <v/>
      </c>
      <c r="D309" s="22" t="str">
        <v/>
      </c>
      <c r="E309" s="22" t="str">
        <f t="shared" si="17"/>
        <v/>
      </c>
      <c r="F309" s="56" t="str">
        <f>IF(AMS!I329="","",AMS!I329)</f>
        <v/>
      </c>
      <c r="G309" s="56" t="str">
        <f>IF(AMS!J329="","",AMS!J329)</f>
        <v/>
      </c>
      <c r="H309" s="22" t="str">
        <f t="array" ref="H309">IF(A309&lt;&gt;" ",IFERROR(INDEX(Summary!$G$3:$G$1000,SMALL((Summary!$G$3:$G$1000="")/0.1%+ROW($3:$1000),ROW()-2)-2)&amp;"",""),"")</f>
        <v/>
      </c>
      <c r="I309" s="22" t="str">
        <f t="shared" si="18"/>
        <v/>
      </c>
      <c r="J309" s="22" t="str">
        <f t="shared" si="19"/>
        <v/>
      </c>
    </row>
    <row r="310" spans="1:10">
      <c r="A310" s="56" t="str">
        <f>IF(AMS!H330="","",AMS!H330)</f>
        <v/>
      </c>
      <c r="B310" s="22" t="str">
        <f t="shared" si="16"/>
        <v/>
      </c>
      <c r="C310" s="22" t="str">
        <f t="array" ref="C310">IFERROR(INDEX(Summary!$I$3:$I$1000,SMALL((Summary!$I$3:$I$1000="")/0.1%+ROW($3:$1000),ROW()-2)-2)&amp;"","")</f>
        <v/>
      </c>
      <c r="D310" s="22" t="str">
        <v/>
      </c>
      <c r="E310" s="22" t="str">
        <f t="shared" si="17"/>
        <v/>
      </c>
      <c r="F310" s="56" t="str">
        <f>IF(AMS!I330="","",AMS!I330)</f>
        <v/>
      </c>
      <c r="G310" s="56" t="str">
        <f>IF(AMS!J330="","",AMS!J330)</f>
        <v/>
      </c>
      <c r="H310" s="22" t="str">
        <f t="array" ref="H310">IF(A310&lt;&gt;" ",IFERROR(INDEX(Summary!$G$3:$G$1000,SMALL((Summary!$G$3:$G$1000="")/0.1%+ROW($3:$1000),ROW()-2)-2)&amp;"",""),"")</f>
        <v/>
      </c>
      <c r="I310" s="22" t="str">
        <f t="shared" si="18"/>
        <v/>
      </c>
      <c r="J310" s="22" t="str">
        <f t="shared" si="19"/>
        <v/>
      </c>
    </row>
    <row r="311" spans="1:10">
      <c r="A311" s="56" t="str">
        <f>IF(AMS!H331="","",AMS!H331)</f>
        <v/>
      </c>
      <c r="B311" s="22" t="str">
        <f t="shared" si="16"/>
        <v/>
      </c>
      <c r="C311" s="22" t="str">
        <f t="array" ref="C311">IFERROR(INDEX(Summary!$I$3:$I$1000,SMALL((Summary!$I$3:$I$1000="")/0.1%+ROW($3:$1000),ROW()-2)-2)&amp;"","")</f>
        <v/>
      </c>
      <c r="D311" s="22" t="str">
        <v/>
      </c>
      <c r="E311" s="22" t="str">
        <f t="shared" si="17"/>
        <v/>
      </c>
      <c r="F311" s="56" t="str">
        <f>IF(AMS!I331="","",AMS!I331)</f>
        <v/>
      </c>
      <c r="G311" s="56" t="str">
        <f>IF(AMS!J331="","",AMS!J331)</f>
        <v/>
      </c>
      <c r="H311" s="22" t="str">
        <f t="array" ref="H311">IF(A311&lt;&gt;" ",IFERROR(INDEX(Summary!$G$3:$G$1000,SMALL((Summary!$G$3:$G$1000="")/0.1%+ROW($3:$1000),ROW()-2)-2)&amp;"",""),"")</f>
        <v/>
      </c>
      <c r="I311" s="22" t="str">
        <f t="shared" si="18"/>
        <v/>
      </c>
      <c r="J311" s="22" t="str">
        <f t="shared" si="19"/>
        <v/>
      </c>
    </row>
    <row r="312" spans="1:10">
      <c r="A312" s="56" t="str">
        <f>IF(AMS!H332="","",AMS!H332)</f>
        <v/>
      </c>
      <c r="B312" s="22" t="str">
        <f t="shared" si="16"/>
        <v/>
      </c>
      <c r="C312" s="22" t="str">
        <f t="array" ref="C312">IFERROR(INDEX(Summary!$I$3:$I$1000,SMALL((Summary!$I$3:$I$1000="")/0.1%+ROW($3:$1000),ROW()-2)-2)&amp;"","")</f>
        <v/>
      </c>
      <c r="D312" s="22" t="str">
        <v/>
      </c>
      <c r="E312" s="22" t="str">
        <f t="shared" si="17"/>
        <v/>
      </c>
      <c r="F312" s="56" t="str">
        <f>IF(AMS!I332="","",AMS!I332)</f>
        <v/>
      </c>
      <c r="G312" s="56" t="str">
        <f>IF(AMS!J332="","",AMS!J332)</f>
        <v/>
      </c>
      <c r="H312" s="22" t="str">
        <f t="array" ref="H312">IF(A312&lt;&gt;" ",IFERROR(INDEX(Summary!$G$3:$G$1000,SMALL((Summary!$G$3:$G$1000="")/0.1%+ROW($3:$1000),ROW()-2)-2)&amp;"",""),"")</f>
        <v/>
      </c>
      <c r="I312" s="22" t="str">
        <f t="shared" si="18"/>
        <v/>
      </c>
      <c r="J312" s="22" t="str">
        <f t="shared" si="19"/>
        <v/>
      </c>
    </row>
    <row r="313" spans="1:10">
      <c r="A313" s="56" t="str">
        <f>IF(AMS!H333="","",AMS!H333)</f>
        <v/>
      </c>
      <c r="B313" s="22" t="str">
        <f t="shared" si="16"/>
        <v/>
      </c>
      <c r="C313" s="22" t="str">
        <f t="array" ref="C313">IFERROR(INDEX(Summary!$I$3:$I$1000,SMALL((Summary!$I$3:$I$1000="")/0.1%+ROW($3:$1000),ROW()-2)-2)&amp;"","")</f>
        <v/>
      </c>
      <c r="D313" s="22" t="str">
        <v/>
      </c>
      <c r="E313" s="22" t="str">
        <f t="shared" si="17"/>
        <v/>
      </c>
      <c r="F313" s="56" t="str">
        <f>IF(AMS!I333="","",AMS!I333)</f>
        <v/>
      </c>
      <c r="G313" s="56" t="str">
        <f>IF(AMS!J333="","",AMS!J333)</f>
        <v/>
      </c>
      <c r="H313" s="22" t="str">
        <f t="array" ref="H313">IF(A313&lt;&gt;" ",IFERROR(INDEX(Summary!$G$3:$G$1000,SMALL((Summary!$G$3:$G$1000="")/0.1%+ROW($3:$1000),ROW()-2)-2)&amp;"",""),"")</f>
        <v/>
      </c>
      <c r="I313" s="22" t="str">
        <f t="shared" si="18"/>
        <v/>
      </c>
      <c r="J313" s="22" t="str">
        <f t="shared" si="19"/>
        <v/>
      </c>
    </row>
    <row r="314" spans="1:10">
      <c r="A314" s="56" t="str">
        <f>IF(AMS!H334="","",AMS!H334)</f>
        <v/>
      </c>
      <c r="B314" s="22" t="str">
        <f t="shared" si="16"/>
        <v/>
      </c>
      <c r="C314" s="22" t="str">
        <f t="array" ref="C314">IFERROR(INDEX(Summary!$I$3:$I$1000,SMALL((Summary!$I$3:$I$1000="")/0.1%+ROW($3:$1000),ROW()-2)-2)&amp;"","")</f>
        <v/>
      </c>
      <c r="D314" s="22" t="str">
        <v/>
      </c>
      <c r="E314" s="22" t="str">
        <f t="shared" si="17"/>
        <v/>
      </c>
      <c r="F314" s="56" t="str">
        <f>IF(AMS!I334="","",AMS!I334)</f>
        <v/>
      </c>
      <c r="G314" s="56" t="str">
        <f>IF(AMS!J334="","",AMS!J334)</f>
        <v/>
      </c>
      <c r="H314" s="22" t="str">
        <f t="array" ref="H314">IF(A314&lt;&gt;" ",IFERROR(INDEX(Summary!$G$3:$G$1000,SMALL((Summary!$G$3:$G$1000="")/0.1%+ROW($3:$1000),ROW()-2)-2)&amp;"",""),"")</f>
        <v/>
      </c>
      <c r="I314" s="22" t="str">
        <f t="shared" si="18"/>
        <v/>
      </c>
      <c r="J314" s="22" t="str">
        <f t="shared" si="19"/>
        <v/>
      </c>
    </row>
    <row r="315" spans="1:10">
      <c r="A315" s="56" t="str">
        <f>IF(AMS!H335="","",AMS!H335)</f>
        <v/>
      </c>
      <c r="B315" s="22" t="str">
        <f t="shared" si="16"/>
        <v/>
      </c>
      <c r="C315" s="22" t="str">
        <f t="array" ref="C315">IFERROR(INDEX(Summary!$I$3:$I$1000,SMALL((Summary!$I$3:$I$1000="")/0.1%+ROW($3:$1000),ROW()-2)-2)&amp;"","")</f>
        <v/>
      </c>
      <c r="D315" s="22" t="str">
        <v/>
      </c>
      <c r="E315" s="22" t="str">
        <f t="shared" si="17"/>
        <v/>
      </c>
      <c r="F315" s="56" t="str">
        <f>IF(AMS!I335="","",AMS!I335)</f>
        <v/>
      </c>
      <c r="G315" s="56" t="str">
        <f>IF(AMS!J335="","",AMS!J335)</f>
        <v/>
      </c>
      <c r="H315" s="22" t="str">
        <f t="array" ref="H315">IF(A315&lt;&gt;" ",IFERROR(INDEX(Summary!$G$3:$G$1000,SMALL((Summary!$G$3:$G$1000="")/0.1%+ROW($3:$1000),ROW()-2)-2)&amp;"",""),"")</f>
        <v/>
      </c>
      <c r="I315" s="22" t="str">
        <f t="shared" si="18"/>
        <v/>
      </c>
      <c r="J315" s="22" t="str">
        <f t="shared" si="19"/>
        <v/>
      </c>
    </row>
    <row r="316" spans="1:10">
      <c r="A316" s="56" t="str">
        <f>IF(AMS!H336="","",AMS!H336)</f>
        <v/>
      </c>
      <c r="B316" s="22" t="str">
        <f t="shared" si="16"/>
        <v/>
      </c>
      <c r="C316" s="22" t="str">
        <f t="array" ref="C316">IFERROR(INDEX(Summary!$I$3:$I$1000,SMALL((Summary!$I$3:$I$1000="")/0.1%+ROW($3:$1000),ROW()-2)-2)&amp;"","")</f>
        <v/>
      </c>
      <c r="D316" s="22" t="str">
        <v/>
      </c>
      <c r="E316" s="22" t="str">
        <f t="shared" si="17"/>
        <v/>
      </c>
      <c r="F316" s="56" t="str">
        <f>IF(AMS!I336="","",AMS!I336)</f>
        <v/>
      </c>
      <c r="G316" s="56" t="str">
        <f>IF(AMS!J336="","",AMS!J336)</f>
        <v/>
      </c>
      <c r="H316" s="22" t="str">
        <f t="array" ref="H316">IF(A316&lt;&gt;" ",IFERROR(INDEX(Summary!$G$3:$G$1000,SMALL((Summary!$G$3:$G$1000="")/0.1%+ROW($3:$1000),ROW()-2)-2)&amp;"",""),"")</f>
        <v/>
      </c>
      <c r="I316" s="22" t="str">
        <f t="shared" si="18"/>
        <v/>
      </c>
      <c r="J316" s="22" t="str">
        <f t="shared" si="19"/>
        <v/>
      </c>
    </row>
    <row r="317" spans="1:10">
      <c r="A317" s="56" t="str">
        <f>IF(AMS!H337="","",AMS!H337)</f>
        <v/>
      </c>
      <c r="B317" s="22" t="str">
        <f t="shared" si="16"/>
        <v/>
      </c>
      <c r="C317" s="22" t="str">
        <f t="array" ref="C317">IFERROR(INDEX(Summary!$I$3:$I$1000,SMALL((Summary!$I$3:$I$1000="")/0.1%+ROW($3:$1000),ROW()-2)-2)&amp;"","")</f>
        <v/>
      </c>
      <c r="D317" s="22" t="str">
        <v/>
      </c>
      <c r="E317" s="22" t="str">
        <f t="shared" si="17"/>
        <v/>
      </c>
      <c r="F317" s="56" t="str">
        <f>IF(AMS!I337="","",AMS!I337)</f>
        <v/>
      </c>
      <c r="G317" s="56" t="str">
        <f>IF(AMS!J337="","",AMS!J337)</f>
        <v/>
      </c>
      <c r="H317" s="22" t="str">
        <f t="array" ref="H317">IF(A317&lt;&gt;" ",IFERROR(INDEX(Summary!$G$3:$G$1000,SMALL((Summary!$G$3:$G$1000="")/0.1%+ROW($3:$1000),ROW()-2)-2)&amp;"",""),"")</f>
        <v/>
      </c>
      <c r="I317" s="22" t="str">
        <f t="shared" si="18"/>
        <v/>
      </c>
      <c r="J317" s="22" t="str">
        <f t="shared" si="19"/>
        <v/>
      </c>
    </row>
    <row r="318" spans="1:10">
      <c r="A318" s="56" t="str">
        <f>IF(AMS!H338="","",AMS!H338)</f>
        <v/>
      </c>
      <c r="B318" s="22" t="str">
        <f t="shared" si="16"/>
        <v/>
      </c>
      <c r="C318" s="22" t="str">
        <f t="array" ref="C318">IFERROR(INDEX(Summary!$I$3:$I$1000,SMALL((Summary!$I$3:$I$1000="")/0.1%+ROW($3:$1000),ROW()-2)-2)&amp;"","")</f>
        <v/>
      </c>
      <c r="D318" s="22" t="str">
        <v/>
      </c>
      <c r="E318" s="22" t="str">
        <f t="shared" si="17"/>
        <v/>
      </c>
      <c r="F318" s="56" t="str">
        <f>IF(AMS!I338="","",AMS!I338)</f>
        <v/>
      </c>
      <c r="G318" s="56" t="str">
        <f>IF(AMS!J338="","",AMS!J338)</f>
        <v/>
      </c>
      <c r="H318" s="22" t="str">
        <f t="array" ref="H318">IF(A318&lt;&gt;" ",IFERROR(INDEX(Summary!$G$3:$G$1000,SMALL((Summary!$G$3:$G$1000="")/0.1%+ROW($3:$1000),ROW()-2)-2)&amp;"",""),"")</f>
        <v/>
      </c>
      <c r="I318" s="22" t="str">
        <f t="shared" si="18"/>
        <v/>
      </c>
      <c r="J318" s="22" t="str">
        <f t="shared" si="19"/>
        <v/>
      </c>
    </row>
    <row r="319" spans="1:10">
      <c r="A319" s="56" t="str">
        <f>IF(AMS!H339="","",AMS!H339)</f>
        <v/>
      </c>
      <c r="B319" s="22" t="str">
        <f t="shared" si="16"/>
        <v/>
      </c>
      <c r="C319" s="22" t="str">
        <f t="array" ref="C319">IFERROR(INDEX(Summary!$I$3:$I$1000,SMALL((Summary!$I$3:$I$1000="")/0.1%+ROW($3:$1000),ROW()-2)-2)&amp;"","")</f>
        <v/>
      </c>
      <c r="D319" s="22" t="str">
        <v/>
      </c>
      <c r="E319" s="22" t="str">
        <f t="shared" si="17"/>
        <v/>
      </c>
      <c r="F319" s="56" t="str">
        <f>IF(AMS!I339="","",AMS!I339)</f>
        <v/>
      </c>
      <c r="G319" s="56" t="str">
        <f>IF(AMS!J339="","",AMS!J339)</f>
        <v/>
      </c>
      <c r="H319" s="22" t="str">
        <f t="array" ref="H319">IF(A319&lt;&gt;" ",IFERROR(INDEX(Summary!$G$3:$G$1000,SMALL((Summary!$G$3:$G$1000="")/0.1%+ROW($3:$1000),ROW()-2)-2)&amp;"",""),"")</f>
        <v/>
      </c>
      <c r="I319" s="22" t="str">
        <f t="shared" si="18"/>
        <v/>
      </c>
      <c r="J319" s="22" t="str">
        <f t="shared" si="19"/>
        <v/>
      </c>
    </row>
    <row r="320" spans="1:10">
      <c r="A320" s="56" t="str">
        <f>IF(AMS!H340="","",AMS!H340)</f>
        <v/>
      </c>
      <c r="B320" s="22" t="str">
        <f t="shared" si="16"/>
        <v/>
      </c>
      <c r="C320" s="22" t="str">
        <f t="array" ref="C320">IFERROR(INDEX(Summary!$I$3:$I$1000,SMALL((Summary!$I$3:$I$1000="")/0.1%+ROW($3:$1000),ROW()-2)-2)&amp;"","")</f>
        <v/>
      </c>
      <c r="D320" s="22" t="str">
        <v/>
      </c>
      <c r="E320" s="22" t="str">
        <f t="shared" si="17"/>
        <v/>
      </c>
      <c r="F320" s="56" t="str">
        <f>IF(AMS!I340="","",AMS!I340)</f>
        <v/>
      </c>
      <c r="G320" s="56" t="str">
        <f>IF(AMS!J340="","",AMS!J340)</f>
        <v/>
      </c>
      <c r="H320" s="22" t="str">
        <f t="array" ref="H320">IF(A320&lt;&gt;" ",IFERROR(INDEX(Summary!$G$3:$G$1000,SMALL((Summary!$G$3:$G$1000="")/0.1%+ROW($3:$1000),ROW()-2)-2)&amp;"",""),"")</f>
        <v/>
      </c>
      <c r="I320" s="22" t="str">
        <f t="shared" si="18"/>
        <v/>
      </c>
      <c r="J320" s="22" t="str">
        <f t="shared" si="19"/>
        <v/>
      </c>
    </row>
    <row r="321" spans="1:10">
      <c r="A321" s="56" t="str">
        <f>IF(AMS!H341="","",AMS!H341)</f>
        <v/>
      </c>
      <c r="B321" s="22" t="str">
        <f t="shared" si="16"/>
        <v/>
      </c>
      <c r="C321" s="22" t="str">
        <f t="array" ref="C321">IFERROR(INDEX(Summary!$I$3:$I$1000,SMALL((Summary!$I$3:$I$1000="")/0.1%+ROW($3:$1000),ROW()-2)-2)&amp;"","")</f>
        <v/>
      </c>
      <c r="D321" s="22" t="str">
        <v/>
      </c>
      <c r="E321" s="22" t="str">
        <f t="shared" si="17"/>
        <v/>
      </c>
      <c r="F321" s="56" t="str">
        <f>IF(AMS!I341="","",AMS!I341)</f>
        <v/>
      </c>
      <c r="G321" s="56" t="str">
        <f>IF(AMS!J341="","",AMS!J341)</f>
        <v/>
      </c>
      <c r="H321" s="22" t="str">
        <f t="array" ref="H321">IF(A321&lt;&gt;" ",IFERROR(INDEX(Summary!$G$3:$G$1000,SMALL((Summary!$G$3:$G$1000="")/0.1%+ROW($3:$1000),ROW()-2)-2)&amp;"",""),"")</f>
        <v/>
      </c>
      <c r="I321" s="22" t="str">
        <f t="shared" si="18"/>
        <v/>
      </c>
      <c r="J321" s="22" t="str">
        <f t="shared" si="19"/>
        <v/>
      </c>
    </row>
    <row r="322" spans="1:10">
      <c r="A322" s="56" t="str">
        <f>IF(AMS!H342="","",AMS!H342)</f>
        <v/>
      </c>
      <c r="B322" s="22" t="str">
        <f t="shared" si="16"/>
        <v/>
      </c>
      <c r="C322" s="22" t="str">
        <f t="array" ref="C322">IFERROR(INDEX(Summary!$I$3:$I$1000,SMALL((Summary!$I$3:$I$1000="")/0.1%+ROW($3:$1000),ROW()-2)-2)&amp;"","")</f>
        <v/>
      </c>
      <c r="D322" s="22" t="str">
        <v/>
      </c>
      <c r="E322" s="22" t="str">
        <f t="shared" si="17"/>
        <v/>
      </c>
      <c r="F322" s="56" t="str">
        <f>IF(AMS!I342="","",AMS!I342)</f>
        <v/>
      </c>
      <c r="G322" s="56" t="str">
        <f>IF(AMS!J342="","",AMS!J342)</f>
        <v/>
      </c>
      <c r="H322" s="22" t="str">
        <f t="array" ref="H322">IF(A322&lt;&gt;" ",IFERROR(INDEX(Summary!$G$3:$G$1000,SMALL((Summary!$G$3:$G$1000="")/0.1%+ROW($3:$1000),ROW()-2)-2)&amp;"",""),"")</f>
        <v/>
      </c>
      <c r="I322" s="22" t="str">
        <f t="shared" si="18"/>
        <v/>
      </c>
      <c r="J322" s="22" t="str">
        <f t="shared" si="19"/>
        <v/>
      </c>
    </row>
    <row r="323" spans="1:10">
      <c r="A323" s="56" t="str">
        <f>IF(AMS!H343="","",AMS!H343)</f>
        <v/>
      </c>
      <c r="B323" s="22" t="str">
        <f t="shared" ref="B323:B386" si="20">IF(A323&lt;&gt;"",IFERROR(IF(SEARCH(".",A323),LEFT(SUBSTITUTE(A323,".",""),6)),LEFT(SUBSTITUTE(SUBSTITUTE(TRIM(A323)," ","")," ",""),6)),"")</f>
        <v/>
      </c>
      <c r="C323" s="22" t="str">
        <f t="array" ref="C323">IFERROR(INDEX(Summary!$I$3:$I$1000,SMALL((Summary!$I$3:$I$1000="")/0.1%+ROW($3:$1000),ROW()-2)-2)&amp;"","")</f>
        <v/>
      </c>
      <c r="D323" s="22" t="str">
        <v/>
      </c>
      <c r="E323" s="22" t="str">
        <f t="shared" ref="E323:E386" si="21">LEFT(D323,6)</f>
        <v/>
      </c>
      <c r="F323" s="56" t="str">
        <f>IF(AMS!I343="","",AMS!I343)</f>
        <v/>
      </c>
      <c r="G323" s="56" t="str">
        <f>IF(AMS!J343="","",AMS!J343)</f>
        <v/>
      </c>
      <c r="H323" s="22" t="str">
        <f t="array" ref="H323">IF(A323&lt;&gt;" ",IFERROR(INDEX(Summary!$G$3:$G$1000,SMALL((Summary!$G$3:$G$1000="")/0.1%+ROW($3:$1000),ROW()-2)-2)&amp;"",""),"")</f>
        <v/>
      </c>
      <c r="I323" s="22" t="str">
        <f t="shared" ref="I323:I386" si="22">B323&amp;F323</f>
        <v/>
      </c>
      <c r="J323" s="22" t="str">
        <f t="shared" ref="J323:J386" si="23">IF(D323="","",RIGHT(D323,LEN(D323)-6))</f>
        <v/>
      </c>
    </row>
    <row r="324" spans="1:10">
      <c r="A324" s="56" t="str">
        <f>IF(AMS!H344="","",AMS!H344)</f>
        <v/>
      </c>
      <c r="B324" s="22" t="str">
        <f t="shared" si="20"/>
        <v/>
      </c>
      <c r="C324" s="22" t="str">
        <f t="array" ref="C324">IFERROR(INDEX(Summary!$I$3:$I$1000,SMALL((Summary!$I$3:$I$1000="")/0.1%+ROW($3:$1000),ROW()-2)-2)&amp;"","")</f>
        <v/>
      </c>
      <c r="D324" s="22" t="str">
        <v/>
      </c>
      <c r="E324" s="22" t="str">
        <f t="shared" si="21"/>
        <v/>
      </c>
      <c r="F324" s="56" t="str">
        <f>IF(AMS!I344="","",AMS!I344)</f>
        <v/>
      </c>
      <c r="G324" s="56" t="str">
        <f>IF(AMS!J344="","",AMS!J344)</f>
        <v/>
      </c>
      <c r="H324" s="22" t="str">
        <f t="array" ref="H324">IF(A324&lt;&gt;" ",IFERROR(INDEX(Summary!$G$3:$G$1000,SMALL((Summary!$G$3:$G$1000="")/0.1%+ROW($3:$1000),ROW()-2)-2)&amp;"",""),"")</f>
        <v/>
      </c>
      <c r="I324" s="22" t="str">
        <f t="shared" si="22"/>
        <v/>
      </c>
      <c r="J324" s="22" t="str">
        <f t="shared" si="23"/>
        <v/>
      </c>
    </row>
    <row r="325" spans="1:10">
      <c r="A325" s="56" t="str">
        <f>IF(AMS!H345="","",AMS!H345)</f>
        <v/>
      </c>
      <c r="B325" s="22" t="str">
        <f t="shared" si="20"/>
        <v/>
      </c>
      <c r="C325" s="22" t="str">
        <f t="array" ref="C325">IFERROR(INDEX(Summary!$I$3:$I$1000,SMALL((Summary!$I$3:$I$1000="")/0.1%+ROW($3:$1000),ROW()-2)-2)&amp;"","")</f>
        <v/>
      </c>
      <c r="D325" s="22" t="str">
        <v/>
      </c>
      <c r="E325" s="22" t="str">
        <f t="shared" si="21"/>
        <v/>
      </c>
      <c r="F325" s="56" t="str">
        <f>IF(AMS!I345="","",AMS!I345)</f>
        <v/>
      </c>
      <c r="G325" s="56" t="str">
        <f>IF(AMS!J345="","",AMS!J345)</f>
        <v/>
      </c>
      <c r="H325" s="22" t="str">
        <f t="array" ref="H325">IF(A325&lt;&gt;" ",IFERROR(INDEX(Summary!$G$3:$G$1000,SMALL((Summary!$G$3:$G$1000="")/0.1%+ROW($3:$1000),ROW()-2)-2)&amp;"",""),"")</f>
        <v/>
      </c>
      <c r="I325" s="22" t="str">
        <f t="shared" si="22"/>
        <v/>
      </c>
      <c r="J325" s="22" t="str">
        <f t="shared" si="23"/>
        <v/>
      </c>
    </row>
    <row r="326" spans="1:10">
      <c r="A326" s="56" t="str">
        <f>IF(AMS!H346="","",AMS!H346)</f>
        <v/>
      </c>
      <c r="B326" s="22" t="str">
        <f t="shared" si="20"/>
        <v/>
      </c>
      <c r="C326" s="22" t="str">
        <f t="array" ref="C326">IFERROR(INDEX(Summary!$I$3:$I$1000,SMALL((Summary!$I$3:$I$1000="")/0.1%+ROW($3:$1000),ROW()-2)-2)&amp;"","")</f>
        <v/>
      </c>
      <c r="D326" s="22" t="str">
        <v/>
      </c>
      <c r="E326" s="22" t="str">
        <f t="shared" si="21"/>
        <v/>
      </c>
      <c r="F326" s="56" t="str">
        <f>IF(AMS!I346="","",AMS!I346)</f>
        <v/>
      </c>
      <c r="G326" s="56" t="str">
        <f>IF(AMS!J346="","",AMS!J346)</f>
        <v/>
      </c>
      <c r="H326" s="22" t="str">
        <f t="array" ref="H326">IF(A326&lt;&gt;" ",IFERROR(INDEX(Summary!$G$3:$G$1000,SMALL((Summary!$G$3:$G$1000="")/0.1%+ROW($3:$1000),ROW()-2)-2)&amp;"",""),"")</f>
        <v/>
      </c>
      <c r="I326" s="22" t="str">
        <f t="shared" si="22"/>
        <v/>
      </c>
      <c r="J326" s="22" t="str">
        <f t="shared" si="23"/>
        <v/>
      </c>
    </row>
    <row r="327" spans="1:10">
      <c r="A327" s="56" t="str">
        <f>IF(AMS!H347="","",AMS!H347)</f>
        <v/>
      </c>
      <c r="B327" s="22" t="str">
        <f t="shared" si="20"/>
        <v/>
      </c>
      <c r="C327" s="22" t="str">
        <f t="array" ref="C327">IFERROR(INDEX(Summary!$I$3:$I$1000,SMALL((Summary!$I$3:$I$1000="")/0.1%+ROW($3:$1000),ROW()-2)-2)&amp;"","")</f>
        <v/>
      </c>
      <c r="D327" s="22" t="str">
        <v/>
      </c>
      <c r="E327" s="22" t="str">
        <f t="shared" si="21"/>
        <v/>
      </c>
      <c r="F327" s="56" t="str">
        <f>IF(AMS!I347="","",AMS!I347)</f>
        <v/>
      </c>
      <c r="G327" s="56" t="str">
        <f>IF(AMS!J347="","",AMS!J347)</f>
        <v/>
      </c>
      <c r="H327" s="22" t="str">
        <f t="array" ref="H327">IF(A327&lt;&gt;" ",IFERROR(INDEX(Summary!$G$3:$G$1000,SMALL((Summary!$G$3:$G$1000="")/0.1%+ROW($3:$1000),ROW()-2)-2)&amp;"",""),"")</f>
        <v/>
      </c>
      <c r="I327" s="22" t="str">
        <f t="shared" si="22"/>
        <v/>
      </c>
      <c r="J327" s="22" t="str">
        <f t="shared" si="23"/>
        <v/>
      </c>
    </row>
    <row r="328" spans="1:10">
      <c r="A328" s="56" t="str">
        <f>IF(AMS!H348="","",AMS!H348)</f>
        <v/>
      </c>
      <c r="B328" s="22" t="str">
        <f t="shared" si="20"/>
        <v/>
      </c>
      <c r="C328" s="22" t="str">
        <f t="array" ref="C328">IFERROR(INDEX(Summary!$I$3:$I$1000,SMALL((Summary!$I$3:$I$1000="")/0.1%+ROW($3:$1000),ROW()-2)-2)&amp;"","")</f>
        <v/>
      </c>
      <c r="D328" s="22" t="str">
        <v/>
      </c>
      <c r="E328" s="22" t="str">
        <f t="shared" si="21"/>
        <v/>
      </c>
      <c r="F328" s="56" t="str">
        <f>IF(AMS!I348="","",AMS!I348)</f>
        <v/>
      </c>
      <c r="G328" s="56" t="str">
        <f>IF(AMS!J348="","",AMS!J348)</f>
        <v/>
      </c>
      <c r="H328" s="22" t="str">
        <f t="array" ref="H328">IF(A328&lt;&gt;" ",IFERROR(INDEX(Summary!$G$3:$G$1000,SMALL((Summary!$G$3:$G$1000="")/0.1%+ROW($3:$1000),ROW()-2)-2)&amp;"",""),"")</f>
        <v/>
      </c>
      <c r="I328" s="22" t="str">
        <f t="shared" si="22"/>
        <v/>
      </c>
      <c r="J328" s="22" t="str">
        <f t="shared" si="23"/>
        <v/>
      </c>
    </row>
    <row r="329" spans="1:10">
      <c r="A329" s="56" t="str">
        <f>IF(AMS!H349="","",AMS!H349)</f>
        <v/>
      </c>
      <c r="B329" s="22" t="str">
        <f t="shared" si="20"/>
        <v/>
      </c>
      <c r="C329" s="22" t="str">
        <f t="array" ref="C329">IFERROR(INDEX(Summary!$I$3:$I$1000,SMALL((Summary!$I$3:$I$1000="")/0.1%+ROW($3:$1000),ROW()-2)-2)&amp;"","")</f>
        <v/>
      </c>
      <c r="D329" s="22" t="str">
        <v/>
      </c>
      <c r="E329" s="22" t="str">
        <f t="shared" si="21"/>
        <v/>
      </c>
      <c r="F329" s="56" t="str">
        <f>IF(AMS!I349="","",AMS!I349)</f>
        <v/>
      </c>
      <c r="G329" s="56" t="str">
        <f>IF(AMS!J349="","",AMS!J349)</f>
        <v/>
      </c>
      <c r="H329" s="22" t="str">
        <f t="array" ref="H329">IF(A329&lt;&gt;" ",IFERROR(INDEX(Summary!$G$3:$G$1000,SMALL((Summary!$G$3:$G$1000="")/0.1%+ROW($3:$1000),ROW()-2)-2)&amp;"",""),"")</f>
        <v/>
      </c>
      <c r="I329" s="22" t="str">
        <f t="shared" si="22"/>
        <v/>
      </c>
      <c r="J329" s="22" t="str">
        <f t="shared" si="23"/>
        <v/>
      </c>
    </row>
    <row r="330" spans="1:10">
      <c r="A330" s="56" t="str">
        <f>IF(AMS!H350="","",AMS!H350)</f>
        <v/>
      </c>
      <c r="B330" s="22" t="str">
        <f t="shared" si="20"/>
        <v/>
      </c>
      <c r="C330" s="22" t="str">
        <f t="array" ref="C330">IFERROR(INDEX(Summary!$I$3:$I$1000,SMALL((Summary!$I$3:$I$1000="")/0.1%+ROW($3:$1000),ROW()-2)-2)&amp;"","")</f>
        <v/>
      </c>
      <c r="D330" s="22" t="str">
        <v/>
      </c>
      <c r="E330" s="22" t="str">
        <f t="shared" si="21"/>
        <v/>
      </c>
      <c r="F330" s="56" t="str">
        <f>IF(AMS!I350="","",AMS!I350)</f>
        <v/>
      </c>
      <c r="G330" s="56" t="str">
        <f>IF(AMS!J350="","",AMS!J350)</f>
        <v/>
      </c>
      <c r="H330" s="22" t="str">
        <f t="array" ref="H330">IF(A330&lt;&gt;" ",IFERROR(INDEX(Summary!$G$3:$G$1000,SMALL((Summary!$G$3:$G$1000="")/0.1%+ROW($3:$1000),ROW()-2)-2)&amp;"",""),"")</f>
        <v/>
      </c>
      <c r="I330" s="22" t="str">
        <f t="shared" si="22"/>
        <v/>
      </c>
      <c r="J330" s="22" t="str">
        <f t="shared" si="23"/>
        <v/>
      </c>
    </row>
    <row r="331" spans="1:10">
      <c r="A331" s="56" t="str">
        <f>IF(AMS!H351="","",AMS!H351)</f>
        <v/>
      </c>
      <c r="B331" s="22" t="str">
        <f t="shared" si="20"/>
        <v/>
      </c>
      <c r="C331" s="22" t="str">
        <f t="array" ref="C331">IFERROR(INDEX(Summary!$I$3:$I$1000,SMALL((Summary!$I$3:$I$1000="")/0.1%+ROW($3:$1000),ROW()-2)-2)&amp;"","")</f>
        <v/>
      </c>
      <c r="D331" s="22" t="str">
        <v/>
      </c>
      <c r="E331" s="22" t="str">
        <f t="shared" si="21"/>
        <v/>
      </c>
      <c r="F331" s="56" t="str">
        <f>IF(AMS!I351="","",AMS!I351)</f>
        <v/>
      </c>
      <c r="G331" s="56" t="str">
        <f>IF(AMS!J351="","",AMS!J351)</f>
        <v/>
      </c>
      <c r="H331" s="22" t="str">
        <f t="array" ref="H331">IF(A331&lt;&gt;" ",IFERROR(INDEX(Summary!$G$3:$G$1000,SMALL((Summary!$G$3:$G$1000="")/0.1%+ROW($3:$1000),ROW()-2)-2)&amp;"",""),"")</f>
        <v/>
      </c>
      <c r="I331" s="22" t="str">
        <f t="shared" si="22"/>
        <v/>
      </c>
      <c r="J331" s="22" t="str">
        <f t="shared" si="23"/>
        <v/>
      </c>
    </row>
    <row r="332" spans="1:10">
      <c r="A332" s="56" t="str">
        <f>IF(AMS!H352="","",AMS!H352)</f>
        <v/>
      </c>
      <c r="B332" s="22" t="str">
        <f t="shared" si="20"/>
        <v/>
      </c>
      <c r="C332" s="22" t="str">
        <f t="array" ref="C332">IFERROR(INDEX(Summary!$I$3:$I$1000,SMALL((Summary!$I$3:$I$1000="")/0.1%+ROW($3:$1000),ROW()-2)-2)&amp;"","")</f>
        <v/>
      </c>
      <c r="D332" s="22" t="str">
        <v/>
      </c>
      <c r="E332" s="22" t="str">
        <f t="shared" si="21"/>
        <v/>
      </c>
      <c r="F332" s="56" t="str">
        <f>IF(AMS!I352="","",AMS!I352)</f>
        <v/>
      </c>
      <c r="G332" s="56" t="str">
        <f>IF(AMS!J352="","",AMS!J352)</f>
        <v/>
      </c>
      <c r="H332" s="22" t="str">
        <f t="array" ref="H332">IF(A332&lt;&gt;" ",IFERROR(INDEX(Summary!$G$3:$G$1000,SMALL((Summary!$G$3:$G$1000="")/0.1%+ROW($3:$1000),ROW()-2)-2)&amp;"",""),"")</f>
        <v/>
      </c>
      <c r="I332" s="22" t="str">
        <f t="shared" si="22"/>
        <v/>
      </c>
      <c r="J332" s="22" t="str">
        <f t="shared" si="23"/>
        <v/>
      </c>
    </row>
    <row r="333" spans="1:10">
      <c r="A333" s="56" t="str">
        <f>IF(AMS!H353="","",AMS!H353)</f>
        <v/>
      </c>
      <c r="B333" s="22" t="str">
        <f t="shared" si="20"/>
        <v/>
      </c>
      <c r="C333" s="22" t="str">
        <f t="array" ref="C333">IFERROR(INDEX(Summary!$I$3:$I$1000,SMALL((Summary!$I$3:$I$1000="")/0.1%+ROW($3:$1000),ROW()-2)-2)&amp;"","")</f>
        <v/>
      </c>
      <c r="D333" s="22" t="str">
        <v/>
      </c>
      <c r="E333" s="22" t="str">
        <f t="shared" si="21"/>
        <v/>
      </c>
      <c r="F333" s="56" t="str">
        <f>IF(AMS!I353="","",AMS!I353)</f>
        <v/>
      </c>
      <c r="G333" s="56" t="str">
        <f>IF(AMS!J353="","",AMS!J353)</f>
        <v/>
      </c>
      <c r="H333" s="22" t="str">
        <f t="array" ref="H333">IF(A333&lt;&gt;" ",IFERROR(INDEX(Summary!$G$3:$G$1000,SMALL((Summary!$G$3:$G$1000="")/0.1%+ROW($3:$1000),ROW()-2)-2)&amp;"",""),"")</f>
        <v/>
      </c>
      <c r="I333" s="22" t="str">
        <f t="shared" si="22"/>
        <v/>
      </c>
      <c r="J333" s="22" t="str">
        <f t="shared" si="23"/>
        <v/>
      </c>
    </row>
    <row r="334" spans="1:10">
      <c r="A334" s="56" t="str">
        <f>IF(AMS!H354="","",AMS!H354)</f>
        <v/>
      </c>
      <c r="B334" s="22" t="str">
        <f t="shared" si="20"/>
        <v/>
      </c>
      <c r="C334" s="22" t="str">
        <f t="array" ref="C334">IFERROR(INDEX(Summary!$I$3:$I$1000,SMALL((Summary!$I$3:$I$1000="")/0.1%+ROW($3:$1000),ROW()-2)-2)&amp;"","")</f>
        <v/>
      </c>
      <c r="D334" s="22" t="str">
        <v/>
      </c>
      <c r="E334" s="22" t="str">
        <f t="shared" si="21"/>
        <v/>
      </c>
      <c r="F334" s="56" t="str">
        <f>IF(AMS!I354="","",AMS!I354)</f>
        <v/>
      </c>
      <c r="G334" s="56" t="str">
        <f>IF(AMS!J354="","",AMS!J354)</f>
        <v/>
      </c>
      <c r="H334" s="22" t="str">
        <f t="array" ref="H334">IF(A334&lt;&gt;" ",IFERROR(INDEX(Summary!$G$3:$G$1000,SMALL((Summary!$G$3:$G$1000="")/0.1%+ROW($3:$1000),ROW()-2)-2)&amp;"",""),"")</f>
        <v/>
      </c>
      <c r="I334" s="22" t="str">
        <f t="shared" si="22"/>
        <v/>
      </c>
      <c r="J334" s="22" t="str">
        <f t="shared" si="23"/>
        <v/>
      </c>
    </row>
    <row r="335" spans="1:10">
      <c r="A335" s="56" t="str">
        <f>IF(AMS!H355="","",AMS!H355)</f>
        <v/>
      </c>
      <c r="B335" s="22" t="str">
        <f t="shared" si="20"/>
        <v/>
      </c>
      <c r="C335" s="22" t="str">
        <f t="array" ref="C335">IFERROR(INDEX(Summary!$I$3:$I$1000,SMALL((Summary!$I$3:$I$1000="")/0.1%+ROW($3:$1000),ROW()-2)-2)&amp;"","")</f>
        <v/>
      </c>
      <c r="D335" s="22" t="str">
        <v/>
      </c>
      <c r="E335" s="22" t="str">
        <f t="shared" si="21"/>
        <v/>
      </c>
      <c r="F335" s="56" t="str">
        <f>IF(AMS!I355="","",AMS!I355)</f>
        <v/>
      </c>
      <c r="G335" s="56" t="str">
        <f>IF(AMS!J355="","",AMS!J355)</f>
        <v/>
      </c>
      <c r="H335" s="22" t="str">
        <f t="array" ref="H335">IF(A335&lt;&gt;" ",IFERROR(INDEX(Summary!$G$3:$G$1000,SMALL((Summary!$G$3:$G$1000="")/0.1%+ROW($3:$1000),ROW()-2)-2)&amp;"",""),"")</f>
        <v/>
      </c>
      <c r="I335" s="22" t="str">
        <f t="shared" si="22"/>
        <v/>
      </c>
      <c r="J335" s="22" t="str">
        <f t="shared" si="23"/>
        <v/>
      </c>
    </row>
    <row r="336" spans="1:10">
      <c r="A336" s="56" t="str">
        <f>IF(AMS!H356="","",AMS!H356)</f>
        <v/>
      </c>
      <c r="B336" s="22" t="str">
        <f t="shared" si="20"/>
        <v/>
      </c>
      <c r="C336" s="22" t="str">
        <f t="array" ref="C336">IFERROR(INDEX(Summary!$I$3:$I$1000,SMALL((Summary!$I$3:$I$1000="")/0.1%+ROW($3:$1000),ROW()-2)-2)&amp;"","")</f>
        <v/>
      </c>
      <c r="D336" s="22" t="str">
        <v/>
      </c>
      <c r="E336" s="22" t="str">
        <f t="shared" si="21"/>
        <v/>
      </c>
      <c r="F336" s="56" t="str">
        <f>IF(AMS!I356="","",AMS!I356)</f>
        <v/>
      </c>
      <c r="G336" s="56" t="str">
        <f>IF(AMS!J356="","",AMS!J356)</f>
        <v/>
      </c>
      <c r="H336" s="22" t="str">
        <f t="array" ref="H336">IF(A336&lt;&gt;" ",IFERROR(INDEX(Summary!$G$3:$G$1000,SMALL((Summary!$G$3:$G$1000="")/0.1%+ROW($3:$1000),ROW()-2)-2)&amp;"",""),"")</f>
        <v/>
      </c>
      <c r="I336" s="22" t="str">
        <f t="shared" si="22"/>
        <v/>
      </c>
      <c r="J336" s="22" t="str">
        <f t="shared" si="23"/>
        <v/>
      </c>
    </row>
    <row r="337" spans="1:10">
      <c r="A337" s="56" t="str">
        <f>IF(AMS!H357="","",AMS!H357)</f>
        <v/>
      </c>
      <c r="B337" s="22" t="str">
        <f t="shared" si="20"/>
        <v/>
      </c>
      <c r="C337" s="22" t="str">
        <f t="array" ref="C337">IFERROR(INDEX(Summary!$I$3:$I$1000,SMALL((Summary!$I$3:$I$1000="")/0.1%+ROW($3:$1000),ROW()-2)-2)&amp;"","")</f>
        <v/>
      </c>
      <c r="D337" s="22" t="str">
        <v/>
      </c>
      <c r="E337" s="22" t="str">
        <f t="shared" si="21"/>
        <v/>
      </c>
      <c r="F337" s="56" t="str">
        <f>IF(AMS!I357="","",AMS!I357)</f>
        <v/>
      </c>
      <c r="G337" s="56" t="str">
        <f>IF(AMS!J357="","",AMS!J357)</f>
        <v/>
      </c>
      <c r="H337" s="22" t="str">
        <f t="array" ref="H337">IF(A337&lt;&gt;" ",IFERROR(INDEX(Summary!$G$3:$G$1000,SMALL((Summary!$G$3:$G$1000="")/0.1%+ROW($3:$1000),ROW()-2)-2)&amp;"",""),"")</f>
        <v/>
      </c>
      <c r="I337" s="22" t="str">
        <f t="shared" si="22"/>
        <v/>
      </c>
      <c r="J337" s="22" t="str">
        <f t="shared" si="23"/>
        <v/>
      </c>
    </row>
    <row r="338" spans="1:10">
      <c r="A338" s="56" t="str">
        <f>IF(AMS!H358="","",AMS!H358)</f>
        <v/>
      </c>
      <c r="B338" s="22" t="str">
        <f t="shared" si="20"/>
        <v/>
      </c>
      <c r="C338" s="22" t="str">
        <f t="array" ref="C338">IFERROR(INDEX(Summary!$I$3:$I$1000,SMALL((Summary!$I$3:$I$1000="")/0.1%+ROW($3:$1000),ROW()-2)-2)&amp;"","")</f>
        <v/>
      </c>
      <c r="D338" s="22" t="str">
        <v/>
      </c>
      <c r="E338" s="22" t="str">
        <f t="shared" si="21"/>
        <v/>
      </c>
      <c r="F338" s="56" t="str">
        <f>IF(AMS!I358="","",AMS!I358)</f>
        <v/>
      </c>
      <c r="G338" s="56" t="str">
        <f>IF(AMS!J358="","",AMS!J358)</f>
        <v/>
      </c>
      <c r="H338" s="22" t="str">
        <f t="array" ref="H338">IF(A338&lt;&gt;" ",IFERROR(INDEX(Summary!$G$3:$G$1000,SMALL((Summary!$G$3:$G$1000="")/0.1%+ROW($3:$1000),ROW()-2)-2)&amp;"",""),"")</f>
        <v/>
      </c>
      <c r="I338" s="22" t="str">
        <f t="shared" si="22"/>
        <v/>
      </c>
      <c r="J338" s="22" t="str">
        <f t="shared" si="23"/>
        <v/>
      </c>
    </row>
    <row r="339" spans="1:10">
      <c r="A339" s="56" t="str">
        <f>IF(AMS!H359="","",AMS!H359)</f>
        <v/>
      </c>
      <c r="B339" s="22" t="str">
        <f t="shared" si="20"/>
        <v/>
      </c>
      <c r="C339" s="22" t="str">
        <f t="array" ref="C339">IFERROR(INDEX(Summary!$I$3:$I$1000,SMALL((Summary!$I$3:$I$1000="")/0.1%+ROW($3:$1000),ROW()-2)-2)&amp;"","")</f>
        <v/>
      </c>
      <c r="D339" s="22" t="str">
        <v/>
      </c>
      <c r="E339" s="22" t="str">
        <f t="shared" si="21"/>
        <v/>
      </c>
      <c r="F339" s="56" t="str">
        <f>IF(AMS!I359="","",AMS!I359)</f>
        <v/>
      </c>
      <c r="G339" s="56" t="str">
        <f>IF(AMS!J359="","",AMS!J359)</f>
        <v/>
      </c>
      <c r="H339" s="22" t="str">
        <f t="array" ref="H339">IF(A339&lt;&gt;" ",IFERROR(INDEX(Summary!$G$3:$G$1000,SMALL((Summary!$G$3:$G$1000="")/0.1%+ROW($3:$1000),ROW()-2)-2)&amp;"",""),"")</f>
        <v/>
      </c>
      <c r="I339" s="22" t="str">
        <f t="shared" si="22"/>
        <v/>
      </c>
      <c r="J339" s="22" t="str">
        <f t="shared" si="23"/>
        <v/>
      </c>
    </row>
    <row r="340" spans="1:10">
      <c r="A340" s="56" t="str">
        <f>IF(AMS!H360="","",AMS!H360)</f>
        <v/>
      </c>
      <c r="B340" s="22" t="str">
        <f t="shared" si="20"/>
        <v/>
      </c>
      <c r="C340" s="22" t="str">
        <f t="array" ref="C340">IFERROR(INDEX(Summary!$I$3:$I$1000,SMALL((Summary!$I$3:$I$1000="")/0.1%+ROW($3:$1000),ROW()-2)-2)&amp;"","")</f>
        <v/>
      </c>
      <c r="D340" s="22" t="str">
        <v/>
      </c>
      <c r="E340" s="22" t="str">
        <f t="shared" si="21"/>
        <v/>
      </c>
      <c r="F340" s="56" t="str">
        <f>IF(AMS!I360="","",AMS!I360)</f>
        <v/>
      </c>
      <c r="G340" s="56" t="str">
        <f>IF(AMS!J360="","",AMS!J360)</f>
        <v/>
      </c>
      <c r="H340" s="22" t="str">
        <f t="array" ref="H340">IF(A340&lt;&gt;" ",IFERROR(INDEX(Summary!$G$3:$G$1000,SMALL((Summary!$G$3:$G$1000="")/0.1%+ROW($3:$1000),ROW()-2)-2)&amp;"",""),"")</f>
        <v/>
      </c>
      <c r="I340" s="22" t="str">
        <f t="shared" si="22"/>
        <v/>
      </c>
      <c r="J340" s="22" t="str">
        <f t="shared" si="23"/>
        <v/>
      </c>
    </row>
    <row r="341" spans="1:10">
      <c r="A341" s="56" t="str">
        <f>IF(AMS!H361="","",AMS!H361)</f>
        <v/>
      </c>
      <c r="B341" s="22" t="str">
        <f t="shared" si="20"/>
        <v/>
      </c>
      <c r="C341" s="22" t="str">
        <f t="array" ref="C341">IFERROR(INDEX(Summary!$I$3:$I$1000,SMALL((Summary!$I$3:$I$1000="")/0.1%+ROW($3:$1000),ROW()-2)-2)&amp;"","")</f>
        <v/>
      </c>
      <c r="D341" s="22" t="str">
        <v/>
      </c>
      <c r="E341" s="22" t="str">
        <f t="shared" si="21"/>
        <v/>
      </c>
      <c r="F341" s="56" t="str">
        <f>IF(AMS!I361="","",AMS!I361)</f>
        <v/>
      </c>
      <c r="G341" s="56" t="str">
        <f>IF(AMS!J361="","",AMS!J361)</f>
        <v/>
      </c>
      <c r="H341" s="22" t="str">
        <f t="array" ref="H341">IF(A341&lt;&gt;" ",IFERROR(INDEX(Summary!$G$3:$G$1000,SMALL((Summary!$G$3:$G$1000="")/0.1%+ROW($3:$1000),ROW()-2)-2)&amp;"",""),"")</f>
        <v/>
      </c>
      <c r="I341" s="22" t="str">
        <f t="shared" si="22"/>
        <v/>
      </c>
      <c r="J341" s="22" t="str">
        <f t="shared" si="23"/>
        <v/>
      </c>
    </row>
    <row r="342" spans="1:10">
      <c r="A342" s="56" t="str">
        <f>IF(AMS!H362="","",AMS!H362)</f>
        <v/>
      </c>
      <c r="B342" s="22" t="str">
        <f t="shared" si="20"/>
        <v/>
      </c>
      <c r="C342" s="22" t="str">
        <f t="array" ref="C342">IFERROR(INDEX(Summary!$I$3:$I$1000,SMALL((Summary!$I$3:$I$1000="")/0.1%+ROW($3:$1000),ROW()-2)-2)&amp;"","")</f>
        <v/>
      </c>
      <c r="D342" s="22" t="str">
        <v/>
      </c>
      <c r="E342" s="22" t="str">
        <f t="shared" si="21"/>
        <v/>
      </c>
      <c r="F342" s="56" t="str">
        <f>IF(AMS!I362="","",AMS!I362)</f>
        <v/>
      </c>
      <c r="G342" s="56" t="str">
        <f>IF(AMS!J362="","",AMS!J362)</f>
        <v/>
      </c>
      <c r="H342" s="22" t="str">
        <f t="array" ref="H342">IF(A342&lt;&gt;" ",IFERROR(INDEX(Summary!$G$3:$G$1000,SMALL((Summary!$G$3:$G$1000="")/0.1%+ROW($3:$1000),ROW()-2)-2)&amp;"",""),"")</f>
        <v/>
      </c>
      <c r="I342" s="22" t="str">
        <f t="shared" si="22"/>
        <v/>
      </c>
      <c r="J342" s="22" t="str">
        <f t="shared" si="23"/>
        <v/>
      </c>
    </row>
    <row r="343" spans="1:10">
      <c r="A343" s="56" t="str">
        <f>IF(AMS!H363="","",AMS!H363)</f>
        <v/>
      </c>
      <c r="B343" s="22" t="str">
        <f t="shared" si="20"/>
        <v/>
      </c>
      <c r="C343" s="22" t="str">
        <f t="array" ref="C343">IFERROR(INDEX(Summary!$I$3:$I$1000,SMALL((Summary!$I$3:$I$1000="")/0.1%+ROW($3:$1000),ROW()-2)-2)&amp;"","")</f>
        <v/>
      </c>
      <c r="D343" s="22" t="str">
        <v/>
      </c>
      <c r="E343" s="22" t="str">
        <f t="shared" si="21"/>
        <v/>
      </c>
      <c r="F343" s="56" t="str">
        <f>IF(AMS!I363="","",AMS!I363)</f>
        <v/>
      </c>
      <c r="G343" s="56" t="str">
        <f>IF(AMS!J363="","",AMS!J363)</f>
        <v/>
      </c>
      <c r="H343" s="22" t="str">
        <f t="array" ref="H343">IF(A343&lt;&gt;" ",IFERROR(INDEX(Summary!$G$3:$G$1000,SMALL((Summary!$G$3:$G$1000="")/0.1%+ROW($3:$1000),ROW()-2)-2)&amp;"",""),"")</f>
        <v/>
      </c>
      <c r="I343" s="22" t="str">
        <f t="shared" si="22"/>
        <v/>
      </c>
      <c r="J343" s="22" t="str">
        <f t="shared" si="23"/>
        <v/>
      </c>
    </row>
    <row r="344" spans="1:10">
      <c r="A344" s="56" t="str">
        <f>IF(AMS!H364="","",AMS!H364)</f>
        <v/>
      </c>
      <c r="B344" s="22" t="str">
        <f t="shared" si="20"/>
        <v/>
      </c>
      <c r="C344" s="22" t="str">
        <f t="array" ref="C344">IFERROR(INDEX(Summary!$I$3:$I$1000,SMALL((Summary!$I$3:$I$1000="")/0.1%+ROW($3:$1000),ROW()-2)-2)&amp;"","")</f>
        <v/>
      </c>
      <c r="D344" s="22" t="str">
        <v/>
      </c>
      <c r="E344" s="22" t="str">
        <f t="shared" si="21"/>
        <v/>
      </c>
      <c r="F344" s="56" t="str">
        <f>IF(AMS!I364="","",AMS!I364)</f>
        <v/>
      </c>
      <c r="G344" s="56" t="str">
        <f>IF(AMS!J364="","",AMS!J364)</f>
        <v/>
      </c>
      <c r="H344" s="22" t="str">
        <f t="array" ref="H344">IF(A344&lt;&gt;" ",IFERROR(INDEX(Summary!$G$3:$G$1000,SMALL((Summary!$G$3:$G$1000="")/0.1%+ROW($3:$1000),ROW()-2)-2)&amp;"",""),"")</f>
        <v/>
      </c>
      <c r="I344" s="22" t="str">
        <f t="shared" si="22"/>
        <v/>
      </c>
      <c r="J344" s="22" t="str">
        <f t="shared" si="23"/>
        <v/>
      </c>
    </row>
    <row r="345" spans="1:10">
      <c r="A345" s="56" t="str">
        <f>IF(AMS!H365="","",AMS!H365)</f>
        <v/>
      </c>
      <c r="B345" s="22" t="str">
        <f t="shared" si="20"/>
        <v/>
      </c>
      <c r="C345" s="22" t="str">
        <f t="array" ref="C345">IFERROR(INDEX(Summary!$I$3:$I$1000,SMALL((Summary!$I$3:$I$1000="")/0.1%+ROW($3:$1000),ROW()-2)-2)&amp;"","")</f>
        <v/>
      </c>
      <c r="D345" s="22" t="str">
        <v/>
      </c>
      <c r="E345" s="22" t="str">
        <f t="shared" si="21"/>
        <v/>
      </c>
      <c r="F345" s="56" t="str">
        <f>IF(AMS!I365="","",AMS!I365)</f>
        <v/>
      </c>
      <c r="G345" s="56" t="str">
        <f>IF(AMS!J365="","",AMS!J365)</f>
        <v/>
      </c>
      <c r="H345" s="22" t="str">
        <f t="array" ref="H345">IF(A345&lt;&gt;" ",IFERROR(INDEX(Summary!$G$3:$G$1000,SMALL((Summary!$G$3:$G$1000="")/0.1%+ROW($3:$1000),ROW()-2)-2)&amp;"",""),"")</f>
        <v/>
      </c>
      <c r="I345" s="22" t="str">
        <f t="shared" si="22"/>
        <v/>
      </c>
      <c r="J345" s="22" t="str">
        <f t="shared" si="23"/>
        <v/>
      </c>
    </row>
    <row r="346" spans="1:10">
      <c r="A346" s="56" t="str">
        <f>IF(AMS!H366="","",AMS!H366)</f>
        <v/>
      </c>
      <c r="B346" s="22" t="str">
        <f t="shared" si="20"/>
        <v/>
      </c>
      <c r="C346" s="22" t="str">
        <f t="array" ref="C346">IFERROR(INDEX(Summary!$I$3:$I$1000,SMALL((Summary!$I$3:$I$1000="")/0.1%+ROW($3:$1000),ROW()-2)-2)&amp;"","")</f>
        <v/>
      </c>
      <c r="D346" s="22" t="str">
        <v/>
      </c>
      <c r="E346" s="22" t="str">
        <f t="shared" si="21"/>
        <v/>
      </c>
      <c r="F346" s="56" t="str">
        <f>IF(AMS!I366="","",AMS!I366)</f>
        <v/>
      </c>
      <c r="G346" s="56" t="str">
        <f>IF(AMS!J366="","",AMS!J366)</f>
        <v/>
      </c>
      <c r="H346" s="22" t="str">
        <f t="array" ref="H346">IF(A346&lt;&gt;" ",IFERROR(INDEX(Summary!$G$3:$G$1000,SMALL((Summary!$G$3:$G$1000="")/0.1%+ROW($3:$1000),ROW()-2)-2)&amp;"",""),"")</f>
        <v/>
      </c>
      <c r="I346" s="22" t="str">
        <f t="shared" si="22"/>
        <v/>
      </c>
      <c r="J346" s="22" t="str">
        <f t="shared" si="23"/>
        <v/>
      </c>
    </row>
    <row r="347" spans="1:10">
      <c r="A347" s="56" t="str">
        <f>IF(AMS!H367="","",AMS!H367)</f>
        <v/>
      </c>
      <c r="B347" s="22" t="str">
        <f t="shared" si="20"/>
        <v/>
      </c>
      <c r="C347" s="22" t="str">
        <f t="array" ref="C347">IFERROR(INDEX(Summary!$I$3:$I$1000,SMALL((Summary!$I$3:$I$1000="")/0.1%+ROW($3:$1000),ROW()-2)-2)&amp;"","")</f>
        <v/>
      </c>
      <c r="D347" s="22" t="str">
        <v/>
      </c>
      <c r="E347" s="22" t="str">
        <f t="shared" si="21"/>
        <v/>
      </c>
      <c r="F347" s="56" t="str">
        <f>IF(AMS!I367="","",AMS!I367)</f>
        <v/>
      </c>
      <c r="G347" s="56" t="str">
        <f>IF(AMS!J367="","",AMS!J367)</f>
        <v/>
      </c>
      <c r="H347" s="22" t="str">
        <f t="array" ref="H347">IF(A347&lt;&gt;" ",IFERROR(INDEX(Summary!$G$3:$G$1000,SMALL((Summary!$G$3:$G$1000="")/0.1%+ROW($3:$1000),ROW()-2)-2)&amp;"",""),"")</f>
        <v/>
      </c>
      <c r="I347" s="22" t="str">
        <f t="shared" si="22"/>
        <v/>
      </c>
      <c r="J347" s="22" t="str">
        <f t="shared" si="23"/>
        <v/>
      </c>
    </row>
    <row r="348" spans="1:10">
      <c r="A348" s="56" t="str">
        <f>IF(AMS!H368="","",AMS!H368)</f>
        <v/>
      </c>
      <c r="B348" s="22" t="str">
        <f t="shared" si="20"/>
        <v/>
      </c>
      <c r="C348" s="22" t="str">
        <f t="array" ref="C348">IFERROR(INDEX(Summary!$I$3:$I$1000,SMALL((Summary!$I$3:$I$1000="")/0.1%+ROW($3:$1000),ROW()-2)-2)&amp;"","")</f>
        <v/>
      </c>
      <c r="D348" s="22" t="str">
        <v/>
      </c>
      <c r="E348" s="22" t="str">
        <f t="shared" si="21"/>
        <v/>
      </c>
      <c r="F348" s="56" t="str">
        <f>IF(AMS!I368="","",AMS!I368)</f>
        <v/>
      </c>
      <c r="G348" s="56" t="str">
        <f>IF(AMS!J368="","",AMS!J368)</f>
        <v/>
      </c>
      <c r="H348" s="22" t="str">
        <f t="array" ref="H348">IF(A348&lt;&gt;" ",IFERROR(INDEX(Summary!$G$3:$G$1000,SMALL((Summary!$G$3:$G$1000="")/0.1%+ROW($3:$1000),ROW()-2)-2)&amp;"",""),"")</f>
        <v/>
      </c>
      <c r="I348" s="22" t="str">
        <f t="shared" si="22"/>
        <v/>
      </c>
      <c r="J348" s="22" t="str">
        <f t="shared" si="23"/>
        <v/>
      </c>
    </row>
    <row r="349" spans="1:10">
      <c r="A349" s="56" t="str">
        <f>IF(AMS!H369="","",AMS!H369)</f>
        <v/>
      </c>
      <c r="B349" s="22" t="str">
        <f t="shared" si="20"/>
        <v/>
      </c>
      <c r="C349" s="22" t="str">
        <f t="array" ref="C349">IFERROR(INDEX(Summary!$I$3:$I$1000,SMALL((Summary!$I$3:$I$1000="")/0.1%+ROW($3:$1000),ROW()-2)-2)&amp;"","")</f>
        <v/>
      </c>
      <c r="D349" s="22" t="str">
        <v/>
      </c>
      <c r="E349" s="22" t="str">
        <f t="shared" si="21"/>
        <v/>
      </c>
      <c r="F349" s="56" t="str">
        <f>IF(AMS!I369="","",AMS!I369)</f>
        <v/>
      </c>
      <c r="G349" s="56" t="str">
        <f>IF(AMS!J369="","",AMS!J369)</f>
        <v/>
      </c>
      <c r="H349" s="22" t="str">
        <f t="array" ref="H349">IF(A349&lt;&gt;" ",IFERROR(INDEX(Summary!$G$3:$G$1000,SMALL((Summary!$G$3:$G$1000="")/0.1%+ROW($3:$1000),ROW()-2)-2)&amp;"",""),"")</f>
        <v/>
      </c>
      <c r="I349" s="22" t="str">
        <f t="shared" si="22"/>
        <v/>
      </c>
      <c r="J349" s="22" t="str">
        <f t="shared" si="23"/>
        <v/>
      </c>
    </row>
    <row r="350" spans="1:10">
      <c r="A350" s="56" t="str">
        <f>IF(AMS!H370="","",AMS!H370)</f>
        <v/>
      </c>
      <c r="B350" s="22" t="str">
        <f t="shared" si="20"/>
        <v/>
      </c>
      <c r="C350" s="22" t="str">
        <f t="array" ref="C350">IFERROR(INDEX(Summary!$I$3:$I$1000,SMALL((Summary!$I$3:$I$1000="")/0.1%+ROW($3:$1000),ROW()-2)-2)&amp;"","")</f>
        <v/>
      </c>
      <c r="D350" s="22" t="str">
        <v/>
      </c>
      <c r="E350" s="22" t="str">
        <f t="shared" si="21"/>
        <v/>
      </c>
      <c r="F350" s="56" t="str">
        <f>IF(AMS!I370="","",AMS!I370)</f>
        <v/>
      </c>
      <c r="G350" s="56" t="str">
        <f>IF(AMS!J370="","",AMS!J370)</f>
        <v/>
      </c>
      <c r="H350" s="22" t="str">
        <f t="array" ref="H350">IF(A350&lt;&gt;" ",IFERROR(INDEX(Summary!$G$3:$G$1000,SMALL((Summary!$G$3:$G$1000="")/0.1%+ROW($3:$1000),ROW()-2)-2)&amp;"",""),"")</f>
        <v/>
      </c>
      <c r="I350" s="22" t="str">
        <f t="shared" si="22"/>
        <v/>
      </c>
      <c r="J350" s="22" t="str">
        <f t="shared" si="23"/>
        <v/>
      </c>
    </row>
    <row r="351" spans="1:10">
      <c r="A351" s="56" t="str">
        <f>IF(AMS!H371="","",AMS!H371)</f>
        <v/>
      </c>
      <c r="B351" s="22" t="str">
        <f t="shared" si="20"/>
        <v/>
      </c>
      <c r="C351" s="22" t="str">
        <f t="array" ref="C351">IFERROR(INDEX(Summary!$I$3:$I$1000,SMALL((Summary!$I$3:$I$1000="")/0.1%+ROW($3:$1000),ROW()-2)-2)&amp;"","")</f>
        <v/>
      </c>
      <c r="D351" s="22" t="str">
        <v/>
      </c>
      <c r="E351" s="22" t="str">
        <f t="shared" si="21"/>
        <v/>
      </c>
      <c r="F351" s="56" t="str">
        <f>IF(AMS!I371="","",AMS!I371)</f>
        <v/>
      </c>
      <c r="G351" s="56" t="str">
        <f>IF(AMS!J371="","",AMS!J371)</f>
        <v/>
      </c>
      <c r="H351" s="22" t="str">
        <f t="array" ref="H351">IF(A351&lt;&gt;" ",IFERROR(INDEX(Summary!$G$3:$G$1000,SMALL((Summary!$G$3:$G$1000="")/0.1%+ROW($3:$1000),ROW()-2)-2)&amp;"",""),"")</f>
        <v/>
      </c>
      <c r="I351" s="22" t="str">
        <f t="shared" si="22"/>
        <v/>
      </c>
      <c r="J351" s="22" t="str">
        <f t="shared" si="23"/>
        <v/>
      </c>
    </row>
    <row r="352" spans="1:10">
      <c r="A352" s="56" t="str">
        <f>IF(AMS!H372="","",AMS!H372)</f>
        <v/>
      </c>
      <c r="B352" s="22" t="str">
        <f t="shared" si="20"/>
        <v/>
      </c>
      <c r="C352" s="22" t="str">
        <f t="array" ref="C352">IFERROR(INDEX(Summary!$I$3:$I$1000,SMALL((Summary!$I$3:$I$1000="")/0.1%+ROW($3:$1000),ROW()-2)-2)&amp;"","")</f>
        <v/>
      </c>
      <c r="D352" s="22" t="str">
        <v/>
      </c>
      <c r="E352" s="22" t="str">
        <f t="shared" si="21"/>
        <v/>
      </c>
      <c r="F352" s="56" t="str">
        <f>IF(AMS!I372="","",AMS!I372)</f>
        <v/>
      </c>
      <c r="G352" s="56" t="str">
        <f>IF(AMS!J372="","",AMS!J372)</f>
        <v/>
      </c>
      <c r="H352" s="22" t="str">
        <f t="array" ref="H352">IF(A352&lt;&gt;" ",IFERROR(INDEX(Summary!$G$3:$G$1000,SMALL((Summary!$G$3:$G$1000="")/0.1%+ROW($3:$1000),ROW()-2)-2)&amp;"",""),"")</f>
        <v/>
      </c>
      <c r="I352" s="22" t="str">
        <f t="shared" si="22"/>
        <v/>
      </c>
      <c r="J352" s="22" t="str">
        <f t="shared" si="23"/>
        <v/>
      </c>
    </row>
    <row r="353" spans="1:10">
      <c r="A353" s="56" t="str">
        <f>IF(AMS!H373="","",AMS!H373)</f>
        <v/>
      </c>
      <c r="B353" s="22" t="str">
        <f t="shared" si="20"/>
        <v/>
      </c>
      <c r="C353" s="22" t="str">
        <f t="array" ref="C353">IFERROR(INDEX(Summary!$I$3:$I$1000,SMALL((Summary!$I$3:$I$1000="")/0.1%+ROW($3:$1000),ROW()-2)-2)&amp;"","")</f>
        <v/>
      </c>
      <c r="D353" s="22" t="str">
        <v/>
      </c>
      <c r="E353" s="22" t="str">
        <f t="shared" si="21"/>
        <v/>
      </c>
      <c r="F353" s="56" t="str">
        <f>IF(AMS!I373="","",AMS!I373)</f>
        <v/>
      </c>
      <c r="G353" s="56" t="str">
        <f>IF(AMS!J373="","",AMS!J373)</f>
        <v/>
      </c>
      <c r="H353" s="22" t="str">
        <f t="array" ref="H353">IF(A353&lt;&gt;" ",IFERROR(INDEX(Summary!$G$3:$G$1000,SMALL((Summary!$G$3:$G$1000="")/0.1%+ROW($3:$1000),ROW()-2)-2)&amp;"",""),"")</f>
        <v/>
      </c>
      <c r="I353" s="22" t="str">
        <f t="shared" si="22"/>
        <v/>
      </c>
      <c r="J353" s="22" t="str">
        <f t="shared" si="23"/>
        <v/>
      </c>
    </row>
    <row r="354" spans="1:10">
      <c r="A354" s="56" t="str">
        <f>IF(AMS!H374="","",AMS!H374)</f>
        <v/>
      </c>
      <c r="B354" s="22" t="str">
        <f t="shared" si="20"/>
        <v/>
      </c>
      <c r="C354" s="22" t="str">
        <f t="array" ref="C354">IFERROR(INDEX(Summary!$I$3:$I$1000,SMALL((Summary!$I$3:$I$1000="")/0.1%+ROW($3:$1000),ROW()-2)-2)&amp;"","")</f>
        <v/>
      </c>
      <c r="D354" s="22" t="str">
        <v/>
      </c>
      <c r="E354" s="22" t="str">
        <f t="shared" si="21"/>
        <v/>
      </c>
      <c r="F354" s="56" t="str">
        <f>IF(AMS!I374="","",AMS!I374)</f>
        <v/>
      </c>
      <c r="G354" s="56" t="str">
        <f>IF(AMS!J374="","",AMS!J374)</f>
        <v/>
      </c>
      <c r="H354" s="22" t="str">
        <f t="array" ref="H354">IF(A354&lt;&gt;" ",IFERROR(INDEX(Summary!$G$3:$G$1000,SMALL((Summary!$G$3:$G$1000="")/0.1%+ROW($3:$1000),ROW()-2)-2)&amp;"",""),"")</f>
        <v/>
      </c>
      <c r="I354" s="22" t="str">
        <f t="shared" si="22"/>
        <v/>
      </c>
      <c r="J354" s="22" t="str">
        <f t="shared" si="23"/>
        <v/>
      </c>
    </row>
    <row r="355" spans="1:10">
      <c r="A355" s="56" t="str">
        <f>IF(AMS!H375="","",AMS!H375)</f>
        <v/>
      </c>
      <c r="B355" s="22" t="str">
        <f t="shared" si="20"/>
        <v/>
      </c>
      <c r="C355" s="22" t="str">
        <f t="array" ref="C355">IFERROR(INDEX(Summary!$I$3:$I$1000,SMALL((Summary!$I$3:$I$1000="")/0.1%+ROW($3:$1000),ROW()-2)-2)&amp;"","")</f>
        <v/>
      </c>
      <c r="D355" s="22" t="str">
        <v/>
      </c>
      <c r="E355" s="22" t="str">
        <f t="shared" si="21"/>
        <v/>
      </c>
      <c r="F355" s="56" t="str">
        <f>IF(AMS!I375="","",AMS!I375)</f>
        <v/>
      </c>
      <c r="G355" s="56" t="str">
        <f>IF(AMS!J375="","",AMS!J375)</f>
        <v/>
      </c>
      <c r="H355" s="22" t="str">
        <f t="array" ref="H355">IF(A355&lt;&gt;" ",IFERROR(INDEX(Summary!$G$3:$G$1000,SMALL((Summary!$G$3:$G$1000="")/0.1%+ROW($3:$1000),ROW()-2)-2)&amp;"",""),"")</f>
        <v/>
      </c>
      <c r="I355" s="22" t="str">
        <f t="shared" si="22"/>
        <v/>
      </c>
      <c r="J355" s="22" t="str">
        <f t="shared" si="23"/>
        <v/>
      </c>
    </row>
    <row r="356" spans="1:10">
      <c r="A356" s="56" t="str">
        <f>IF(AMS!H376="","",AMS!H376)</f>
        <v/>
      </c>
      <c r="B356" s="22" t="str">
        <f t="shared" si="20"/>
        <v/>
      </c>
      <c r="C356" s="22" t="str">
        <f t="array" ref="C356">IFERROR(INDEX(Summary!$I$3:$I$1000,SMALL((Summary!$I$3:$I$1000="")/0.1%+ROW($3:$1000),ROW()-2)-2)&amp;"","")</f>
        <v/>
      </c>
      <c r="D356" s="22" t="str">
        <v/>
      </c>
      <c r="E356" s="22" t="str">
        <f t="shared" si="21"/>
        <v/>
      </c>
      <c r="F356" s="56" t="str">
        <f>IF(AMS!I376="","",AMS!I376)</f>
        <v/>
      </c>
      <c r="G356" s="56" t="str">
        <f>IF(AMS!J376="","",AMS!J376)</f>
        <v/>
      </c>
      <c r="H356" s="22" t="str">
        <f t="array" ref="H356">IF(A356&lt;&gt;" ",IFERROR(INDEX(Summary!$G$3:$G$1000,SMALL((Summary!$G$3:$G$1000="")/0.1%+ROW($3:$1000),ROW()-2)-2)&amp;"",""),"")</f>
        <v/>
      </c>
      <c r="I356" s="22" t="str">
        <f t="shared" si="22"/>
        <v/>
      </c>
      <c r="J356" s="22" t="str">
        <f t="shared" si="23"/>
        <v/>
      </c>
    </row>
    <row r="357" spans="1:10">
      <c r="A357" s="56" t="str">
        <f>IF(AMS!H377="","",AMS!H377)</f>
        <v/>
      </c>
      <c r="B357" s="22" t="str">
        <f t="shared" si="20"/>
        <v/>
      </c>
      <c r="C357" s="22" t="str">
        <f t="array" ref="C357">IFERROR(INDEX(Summary!$I$3:$I$1000,SMALL((Summary!$I$3:$I$1000="")/0.1%+ROW($3:$1000),ROW()-2)-2)&amp;"","")</f>
        <v/>
      </c>
      <c r="D357" s="22" t="str">
        <v/>
      </c>
      <c r="E357" s="22" t="str">
        <f t="shared" si="21"/>
        <v/>
      </c>
      <c r="F357" s="56" t="str">
        <f>IF(AMS!I377="","",AMS!I377)</f>
        <v/>
      </c>
      <c r="G357" s="56" t="str">
        <f>IF(AMS!J377="","",AMS!J377)</f>
        <v/>
      </c>
      <c r="H357" s="22" t="str">
        <f t="array" ref="H357">IF(A357&lt;&gt;" ",IFERROR(INDEX(Summary!$G$3:$G$1000,SMALL((Summary!$G$3:$G$1000="")/0.1%+ROW($3:$1000),ROW()-2)-2)&amp;"",""),"")</f>
        <v/>
      </c>
      <c r="I357" s="22" t="str">
        <f t="shared" si="22"/>
        <v/>
      </c>
      <c r="J357" s="22" t="str">
        <f t="shared" si="23"/>
        <v/>
      </c>
    </row>
    <row r="358" spans="1:10">
      <c r="A358" s="56" t="str">
        <f>IF(AMS!H378="","",AMS!H378)</f>
        <v/>
      </c>
      <c r="B358" s="22" t="str">
        <f t="shared" si="20"/>
        <v/>
      </c>
      <c r="C358" s="22" t="str">
        <f t="array" ref="C358">IFERROR(INDEX(Summary!$I$3:$I$1000,SMALL((Summary!$I$3:$I$1000="")/0.1%+ROW($3:$1000),ROW()-2)-2)&amp;"","")</f>
        <v/>
      </c>
      <c r="D358" s="22" t="str">
        <v/>
      </c>
      <c r="E358" s="22" t="str">
        <f t="shared" si="21"/>
        <v/>
      </c>
      <c r="F358" s="56" t="str">
        <f>IF(AMS!I378="","",AMS!I378)</f>
        <v/>
      </c>
      <c r="G358" s="56" t="str">
        <f>IF(AMS!J378="","",AMS!J378)</f>
        <v/>
      </c>
      <c r="H358" s="22" t="str">
        <f t="array" ref="H358">IF(A358&lt;&gt;" ",IFERROR(INDEX(Summary!$G$3:$G$1000,SMALL((Summary!$G$3:$G$1000="")/0.1%+ROW($3:$1000),ROW()-2)-2)&amp;"",""),"")</f>
        <v/>
      </c>
      <c r="I358" s="22" t="str">
        <f t="shared" si="22"/>
        <v/>
      </c>
      <c r="J358" s="22" t="str">
        <f t="shared" si="23"/>
        <v/>
      </c>
    </row>
    <row r="359" spans="1:10">
      <c r="A359" s="56" t="str">
        <f>IF(AMS!H379="","",AMS!H379)</f>
        <v/>
      </c>
      <c r="B359" s="22" t="str">
        <f t="shared" si="20"/>
        <v/>
      </c>
      <c r="C359" s="22" t="str">
        <f t="array" ref="C359">IFERROR(INDEX(Summary!$I$3:$I$1000,SMALL((Summary!$I$3:$I$1000="")/0.1%+ROW($3:$1000),ROW()-2)-2)&amp;"","")</f>
        <v/>
      </c>
      <c r="D359" s="22" t="str">
        <v/>
      </c>
      <c r="E359" s="22" t="str">
        <f t="shared" si="21"/>
        <v/>
      </c>
      <c r="F359" s="56" t="str">
        <f>IF(AMS!I379="","",AMS!I379)</f>
        <v/>
      </c>
      <c r="G359" s="56" t="str">
        <f>IF(AMS!J379="","",AMS!J379)</f>
        <v/>
      </c>
      <c r="H359" s="22" t="str">
        <f t="array" ref="H359">IF(A359&lt;&gt;" ",IFERROR(INDEX(Summary!$G$3:$G$1000,SMALL((Summary!$G$3:$G$1000="")/0.1%+ROW($3:$1000),ROW()-2)-2)&amp;"",""),"")</f>
        <v/>
      </c>
      <c r="I359" s="22" t="str">
        <f t="shared" si="22"/>
        <v/>
      </c>
      <c r="J359" s="22" t="str">
        <f t="shared" si="23"/>
        <v/>
      </c>
    </row>
    <row r="360" spans="1:10">
      <c r="A360" s="56" t="str">
        <f>IF(AMS!H380="","",AMS!H380)</f>
        <v/>
      </c>
      <c r="B360" s="22" t="str">
        <f t="shared" si="20"/>
        <v/>
      </c>
      <c r="C360" s="22" t="str">
        <f t="array" ref="C360">IFERROR(INDEX(Summary!$I$3:$I$1000,SMALL((Summary!$I$3:$I$1000="")/0.1%+ROW($3:$1000),ROW()-2)-2)&amp;"","")</f>
        <v/>
      </c>
      <c r="D360" s="22" t="str">
        <v/>
      </c>
      <c r="E360" s="22" t="str">
        <f t="shared" si="21"/>
        <v/>
      </c>
      <c r="F360" s="56" t="str">
        <f>IF(AMS!I380="","",AMS!I380)</f>
        <v/>
      </c>
      <c r="G360" s="56" t="str">
        <f>IF(AMS!J380="","",AMS!J380)</f>
        <v/>
      </c>
      <c r="H360" s="22" t="str">
        <f t="array" ref="H360">IF(A360&lt;&gt;" ",IFERROR(INDEX(Summary!$G$3:$G$1000,SMALL((Summary!$G$3:$G$1000="")/0.1%+ROW($3:$1000),ROW()-2)-2)&amp;"",""),"")</f>
        <v/>
      </c>
      <c r="I360" s="22" t="str">
        <f t="shared" si="22"/>
        <v/>
      </c>
      <c r="J360" s="22" t="str">
        <f t="shared" si="23"/>
        <v/>
      </c>
    </row>
    <row r="361" spans="1:10">
      <c r="A361" s="56" t="str">
        <f>IF(AMS!H381="","",AMS!H381)</f>
        <v/>
      </c>
      <c r="B361" s="22" t="str">
        <f t="shared" si="20"/>
        <v/>
      </c>
      <c r="C361" s="22" t="str">
        <f t="array" ref="C361">IFERROR(INDEX(Summary!$I$3:$I$1000,SMALL((Summary!$I$3:$I$1000="")/0.1%+ROW($3:$1000),ROW()-2)-2)&amp;"","")</f>
        <v/>
      </c>
      <c r="D361" s="22" t="str">
        <v/>
      </c>
      <c r="E361" s="22" t="str">
        <f t="shared" si="21"/>
        <v/>
      </c>
      <c r="F361" s="56" t="str">
        <f>IF(AMS!I381="","",AMS!I381)</f>
        <v/>
      </c>
      <c r="G361" s="56" t="str">
        <f>IF(AMS!J381="","",AMS!J381)</f>
        <v/>
      </c>
      <c r="H361" s="22" t="str">
        <f t="array" ref="H361">IF(A361&lt;&gt;" ",IFERROR(INDEX(Summary!$G$3:$G$1000,SMALL((Summary!$G$3:$G$1000="")/0.1%+ROW($3:$1000),ROW()-2)-2)&amp;"",""),"")</f>
        <v/>
      </c>
      <c r="I361" s="22" t="str">
        <f t="shared" si="22"/>
        <v/>
      </c>
      <c r="J361" s="22" t="str">
        <f t="shared" si="23"/>
        <v/>
      </c>
    </row>
    <row r="362" spans="1:10">
      <c r="A362" s="56" t="str">
        <f>IF(AMS!H382="","",AMS!H382)</f>
        <v/>
      </c>
      <c r="B362" s="22" t="str">
        <f t="shared" si="20"/>
        <v/>
      </c>
      <c r="C362" s="22" t="str">
        <f t="array" ref="C362">IFERROR(INDEX(Summary!$I$3:$I$1000,SMALL((Summary!$I$3:$I$1000="")/0.1%+ROW($3:$1000),ROW()-2)-2)&amp;"","")</f>
        <v/>
      </c>
      <c r="D362" s="22" t="str">
        <v/>
      </c>
      <c r="E362" s="22" t="str">
        <f t="shared" si="21"/>
        <v/>
      </c>
      <c r="F362" s="56" t="str">
        <f>IF(AMS!I382="","",AMS!I382)</f>
        <v/>
      </c>
      <c r="G362" s="56" t="str">
        <f>IF(AMS!J382="","",AMS!J382)</f>
        <v/>
      </c>
      <c r="H362" s="22" t="str">
        <f t="array" ref="H362">IF(A362&lt;&gt;" ",IFERROR(INDEX(Summary!$G$3:$G$1000,SMALL((Summary!$G$3:$G$1000="")/0.1%+ROW($3:$1000),ROW()-2)-2)&amp;"",""),"")</f>
        <v/>
      </c>
      <c r="I362" s="22" t="str">
        <f t="shared" si="22"/>
        <v/>
      </c>
      <c r="J362" s="22" t="str">
        <f t="shared" si="23"/>
        <v/>
      </c>
    </row>
    <row r="363" spans="1:10">
      <c r="A363" s="56" t="str">
        <f>IF(AMS!H383="","",AMS!H383)</f>
        <v/>
      </c>
      <c r="B363" s="22" t="str">
        <f t="shared" si="20"/>
        <v/>
      </c>
      <c r="C363" s="22" t="str">
        <f t="array" ref="C363">IFERROR(INDEX(Summary!$I$3:$I$1000,SMALL((Summary!$I$3:$I$1000="")/0.1%+ROW($3:$1000),ROW()-2)-2)&amp;"","")</f>
        <v/>
      </c>
      <c r="D363" s="22" t="str">
        <v/>
      </c>
      <c r="E363" s="22" t="str">
        <f t="shared" si="21"/>
        <v/>
      </c>
      <c r="F363" s="56" t="str">
        <f>IF(AMS!I383="","",AMS!I383)</f>
        <v/>
      </c>
      <c r="G363" s="56" t="str">
        <f>IF(AMS!J383="","",AMS!J383)</f>
        <v/>
      </c>
      <c r="H363" s="22" t="str">
        <f t="array" ref="H363">IF(A363&lt;&gt;" ",IFERROR(INDEX(Summary!$G$3:$G$1000,SMALL((Summary!$G$3:$G$1000="")/0.1%+ROW($3:$1000),ROW()-2)-2)&amp;"",""),"")</f>
        <v/>
      </c>
      <c r="I363" s="22" t="str">
        <f t="shared" si="22"/>
        <v/>
      </c>
      <c r="J363" s="22" t="str">
        <f t="shared" si="23"/>
        <v/>
      </c>
    </row>
    <row r="364" spans="1:10">
      <c r="A364" s="56" t="str">
        <f>IF(AMS!H384="","",AMS!H384)</f>
        <v/>
      </c>
      <c r="B364" s="22" t="str">
        <f t="shared" si="20"/>
        <v/>
      </c>
      <c r="C364" s="22" t="str">
        <f t="array" ref="C364">IFERROR(INDEX(Summary!$I$3:$I$1000,SMALL((Summary!$I$3:$I$1000="")/0.1%+ROW($3:$1000),ROW()-2)-2)&amp;"","")</f>
        <v/>
      </c>
      <c r="D364" s="22" t="str">
        <v/>
      </c>
      <c r="E364" s="22" t="str">
        <f t="shared" si="21"/>
        <v/>
      </c>
      <c r="F364" s="56" t="str">
        <f>IF(AMS!I384="","",AMS!I384)</f>
        <v/>
      </c>
      <c r="G364" s="56" t="str">
        <f>IF(AMS!J384="","",AMS!J384)</f>
        <v/>
      </c>
      <c r="H364" s="22" t="str">
        <f t="array" ref="H364">IF(A364&lt;&gt;" ",IFERROR(INDEX(Summary!$G$3:$G$1000,SMALL((Summary!$G$3:$G$1000="")/0.1%+ROW($3:$1000),ROW()-2)-2)&amp;"",""),"")</f>
        <v/>
      </c>
      <c r="I364" s="22" t="str">
        <f t="shared" si="22"/>
        <v/>
      </c>
      <c r="J364" s="22" t="str">
        <f t="shared" si="23"/>
        <v/>
      </c>
    </row>
    <row r="365" spans="1:10">
      <c r="A365" s="56" t="str">
        <f>IF(AMS!H385="","",AMS!H385)</f>
        <v/>
      </c>
      <c r="B365" s="22" t="str">
        <f t="shared" si="20"/>
        <v/>
      </c>
      <c r="C365" s="22" t="str">
        <f t="array" ref="C365">IFERROR(INDEX(Summary!$I$3:$I$1000,SMALL((Summary!$I$3:$I$1000="")/0.1%+ROW($3:$1000),ROW()-2)-2)&amp;"","")</f>
        <v/>
      </c>
      <c r="D365" s="22" t="str">
        <v/>
      </c>
      <c r="E365" s="22" t="str">
        <f t="shared" si="21"/>
        <v/>
      </c>
      <c r="F365" s="56" t="str">
        <f>IF(AMS!I385="","",AMS!I385)</f>
        <v/>
      </c>
      <c r="G365" s="56" t="str">
        <f>IF(AMS!J385="","",AMS!J385)</f>
        <v/>
      </c>
      <c r="H365" s="22" t="str">
        <f t="array" ref="H365">IF(A365&lt;&gt;" ",IFERROR(INDEX(Summary!$G$3:$G$1000,SMALL((Summary!$G$3:$G$1000="")/0.1%+ROW($3:$1000),ROW()-2)-2)&amp;"",""),"")</f>
        <v/>
      </c>
      <c r="I365" s="22" t="str">
        <f t="shared" si="22"/>
        <v/>
      </c>
      <c r="J365" s="22" t="str">
        <f t="shared" si="23"/>
        <v/>
      </c>
    </row>
    <row r="366" spans="1:10">
      <c r="A366" s="56" t="str">
        <f>IF(AMS!H386="","",AMS!H386)</f>
        <v/>
      </c>
      <c r="B366" s="22" t="str">
        <f t="shared" si="20"/>
        <v/>
      </c>
      <c r="C366" s="22" t="str">
        <f t="array" ref="C366">IFERROR(INDEX(Summary!$I$3:$I$1000,SMALL((Summary!$I$3:$I$1000="")/0.1%+ROW($3:$1000),ROW()-2)-2)&amp;"","")</f>
        <v/>
      </c>
      <c r="D366" s="22" t="str">
        <v/>
      </c>
      <c r="E366" s="22" t="str">
        <f t="shared" si="21"/>
        <v/>
      </c>
      <c r="F366" s="56" t="str">
        <f>IF(AMS!I386="","",AMS!I386)</f>
        <v/>
      </c>
      <c r="G366" s="56" t="str">
        <f>IF(AMS!J386="","",AMS!J386)</f>
        <v/>
      </c>
      <c r="H366" s="22" t="str">
        <f t="array" ref="H366">IF(A366&lt;&gt;" ",IFERROR(INDEX(Summary!$G$3:$G$1000,SMALL((Summary!$G$3:$G$1000="")/0.1%+ROW($3:$1000),ROW()-2)-2)&amp;"",""),"")</f>
        <v/>
      </c>
      <c r="I366" s="22" t="str">
        <f t="shared" si="22"/>
        <v/>
      </c>
      <c r="J366" s="22" t="str">
        <f t="shared" si="23"/>
        <v/>
      </c>
    </row>
    <row r="367" spans="1:10">
      <c r="A367" s="56" t="str">
        <f>IF(AMS!H387="","",AMS!H387)</f>
        <v/>
      </c>
      <c r="B367" s="22" t="str">
        <f t="shared" si="20"/>
        <v/>
      </c>
      <c r="C367" s="22" t="str">
        <f t="array" ref="C367">IFERROR(INDEX(Summary!$I$3:$I$1000,SMALL((Summary!$I$3:$I$1000="")/0.1%+ROW($3:$1000),ROW()-2)-2)&amp;"","")</f>
        <v/>
      </c>
      <c r="D367" s="22" t="str">
        <v/>
      </c>
      <c r="E367" s="22" t="str">
        <f t="shared" si="21"/>
        <v/>
      </c>
      <c r="F367" s="56" t="str">
        <f>IF(AMS!I387="","",AMS!I387)</f>
        <v/>
      </c>
      <c r="G367" s="56" t="str">
        <f>IF(AMS!J387="","",AMS!J387)</f>
        <v/>
      </c>
      <c r="H367" s="22" t="str">
        <f t="array" ref="H367">IF(A367&lt;&gt;" ",IFERROR(INDEX(Summary!$G$3:$G$1000,SMALL((Summary!$G$3:$G$1000="")/0.1%+ROW($3:$1000),ROW()-2)-2)&amp;"",""),"")</f>
        <v/>
      </c>
      <c r="I367" s="22" t="str">
        <f t="shared" si="22"/>
        <v/>
      </c>
      <c r="J367" s="22" t="str">
        <f t="shared" si="23"/>
        <v/>
      </c>
    </row>
    <row r="368" spans="1:10">
      <c r="A368" s="56" t="str">
        <f>IF(AMS!H388="","",AMS!H388)</f>
        <v/>
      </c>
      <c r="B368" s="22" t="str">
        <f t="shared" si="20"/>
        <v/>
      </c>
      <c r="C368" s="22" t="str">
        <f t="array" ref="C368">IFERROR(INDEX(Summary!$I$3:$I$1000,SMALL((Summary!$I$3:$I$1000="")/0.1%+ROW($3:$1000),ROW()-2)-2)&amp;"","")</f>
        <v/>
      </c>
      <c r="D368" s="22" t="str">
        <v/>
      </c>
      <c r="E368" s="22" t="str">
        <f t="shared" si="21"/>
        <v/>
      </c>
      <c r="F368" s="56" t="str">
        <f>IF(AMS!I388="","",AMS!I388)</f>
        <v/>
      </c>
      <c r="G368" s="56" t="str">
        <f>IF(AMS!J388="","",AMS!J388)</f>
        <v/>
      </c>
      <c r="H368" s="22" t="str">
        <f t="array" ref="H368">IF(A368&lt;&gt;" ",IFERROR(INDEX(Summary!$G$3:$G$1000,SMALL((Summary!$G$3:$G$1000="")/0.1%+ROW($3:$1000),ROW()-2)-2)&amp;"",""),"")</f>
        <v/>
      </c>
      <c r="I368" s="22" t="str">
        <f t="shared" si="22"/>
        <v/>
      </c>
      <c r="J368" s="22" t="str">
        <f t="shared" si="23"/>
        <v/>
      </c>
    </row>
    <row r="369" spans="1:10">
      <c r="A369" s="56" t="str">
        <f>IF(AMS!H389="","",AMS!H389)</f>
        <v/>
      </c>
      <c r="B369" s="22" t="str">
        <f t="shared" si="20"/>
        <v/>
      </c>
      <c r="C369" s="22" t="str">
        <f t="array" ref="C369">IFERROR(INDEX(Summary!$I$3:$I$1000,SMALL((Summary!$I$3:$I$1000="")/0.1%+ROW($3:$1000),ROW()-2)-2)&amp;"","")</f>
        <v/>
      </c>
      <c r="D369" s="22" t="str">
        <v/>
      </c>
      <c r="E369" s="22" t="str">
        <f t="shared" si="21"/>
        <v/>
      </c>
      <c r="F369" s="56" t="str">
        <f>IF(AMS!I389="","",AMS!I389)</f>
        <v/>
      </c>
      <c r="G369" s="56" t="str">
        <f>IF(AMS!J389="","",AMS!J389)</f>
        <v/>
      </c>
      <c r="H369" s="22" t="str">
        <f t="array" ref="H369">IF(A369&lt;&gt;" ",IFERROR(INDEX(Summary!$G$3:$G$1000,SMALL((Summary!$G$3:$G$1000="")/0.1%+ROW($3:$1000),ROW()-2)-2)&amp;"",""),"")</f>
        <v/>
      </c>
      <c r="I369" s="22" t="str">
        <f t="shared" si="22"/>
        <v/>
      </c>
      <c r="J369" s="22" t="str">
        <f t="shared" si="23"/>
        <v/>
      </c>
    </row>
    <row r="370" spans="1:10">
      <c r="A370" s="56" t="str">
        <f>IF(AMS!H390="","",AMS!H390)</f>
        <v/>
      </c>
      <c r="B370" s="22" t="str">
        <f t="shared" si="20"/>
        <v/>
      </c>
      <c r="C370" s="22" t="str">
        <f t="array" ref="C370">IFERROR(INDEX(Summary!$I$3:$I$1000,SMALL((Summary!$I$3:$I$1000="")/0.1%+ROW($3:$1000),ROW()-2)-2)&amp;"","")</f>
        <v/>
      </c>
      <c r="D370" s="22" t="str">
        <v/>
      </c>
      <c r="E370" s="22" t="str">
        <f t="shared" si="21"/>
        <v/>
      </c>
      <c r="F370" s="56" t="str">
        <f>IF(AMS!I390="","",AMS!I390)</f>
        <v/>
      </c>
      <c r="G370" s="56" t="str">
        <f>IF(AMS!J390="","",AMS!J390)</f>
        <v/>
      </c>
      <c r="H370" s="22" t="str">
        <f t="array" ref="H370">IF(A370&lt;&gt;" ",IFERROR(INDEX(Summary!$G$3:$G$1000,SMALL((Summary!$G$3:$G$1000="")/0.1%+ROW($3:$1000),ROW()-2)-2)&amp;"",""),"")</f>
        <v/>
      </c>
      <c r="I370" s="22" t="str">
        <f t="shared" si="22"/>
        <v/>
      </c>
      <c r="J370" s="22" t="str">
        <f t="shared" si="23"/>
        <v/>
      </c>
    </row>
    <row r="371" spans="1:10">
      <c r="A371" s="56" t="str">
        <f>IF(AMS!H391="","",AMS!H391)</f>
        <v/>
      </c>
      <c r="B371" s="22" t="str">
        <f t="shared" si="20"/>
        <v/>
      </c>
      <c r="C371" s="22" t="str">
        <f t="array" ref="C371">IFERROR(INDEX(Summary!$I$3:$I$1000,SMALL((Summary!$I$3:$I$1000="")/0.1%+ROW($3:$1000),ROW()-2)-2)&amp;"","")</f>
        <v/>
      </c>
      <c r="D371" s="22" t="str">
        <v/>
      </c>
      <c r="E371" s="22" t="str">
        <f t="shared" si="21"/>
        <v/>
      </c>
      <c r="F371" s="56" t="str">
        <f>IF(AMS!I391="","",AMS!I391)</f>
        <v/>
      </c>
      <c r="G371" s="56" t="str">
        <f>IF(AMS!J391="","",AMS!J391)</f>
        <v/>
      </c>
      <c r="H371" s="22" t="str">
        <f t="array" ref="H371">IF(A371&lt;&gt;" ",IFERROR(INDEX(Summary!$G$3:$G$1000,SMALL((Summary!$G$3:$G$1000="")/0.1%+ROW($3:$1000),ROW()-2)-2)&amp;"",""),"")</f>
        <v/>
      </c>
      <c r="I371" s="22" t="str">
        <f t="shared" si="22"/>
        <v/>
      </c>
      <c r="J371" s="22" t="str">
        <f t="shared" si="23"/>
        <v/>
      </c>
    </row>
    <row r="372" spans="1:10">
      <c r="A372" s="56" t="str">
        <f>IF(AMS!H392="","",AMS!H392)</f>
        <v/>
      </c>
      <c r="B372" s="22" t="str">
        <f t="shared" si="20"/>
        <v/>
      </c>
      <c r="C372" s="22" t="str">
        <f t="array" ref="C372">IFERROR(INDEX(Summary!$I$3:$I$1000,SMALL((Summary!$I$3:$I$1000="")/0.1%+ROW($3:$1000),ROW()-2)-2)&amp;"","")</f>
        <v/>
      </c>
      <c r="D372" s="22" t="str">
        <v/>
      </c>
      <c r="E372" s="22" t="str">
        <f t="shared" si="21"/>
        <v/>
      </c>
      <c r="F372" s="56" t="str">
        <f>IF(AMS!I392="","",AMS!I392)</f>
        <v/>
      </c>
      <c r="G372" s="56" t="str">
        <f>IF(AMS!J392="","",AMS!J392)</f>
        <v/>
      </c>
      <c r="H372" s="22" t="str">
        <f t="array" ref="H372">IF(A372&lt;&gt;" ",IFERROR(INDEX(Summary!$G$3:$G$1000,SMALL((Summary!$G$3:$G$1000="")/0.1%+ROW($3:$1000),ROW()-2)-2)&amp;"",""),"")</f>
        <v/>
      </c>
      <c r="I372" s="22" t="str">
        <f t="shared" si="22"/>
        <v/>
      </c>
      <c r="J372" s="22" t="str">
        <f t="shared" si="23"/>
        <v/>
      </c>
    </row>
    <row r="373" spans="1:10">
      <c r="A373" s="56" t="str">
        <f>IF(AMS!H393="","",AMS!H393)</f>
        <v/>
      </c>
      <c r="B373" s="22" t="str">
        <f t="shared" si="20"/>
        <v/>
      </c>
      <c r="C373" s="22" t="str">
        <f t="array" ref="C373">IFERROR(INDEX(Summary!$I$3:$I$1000,SMALL((Summary!$I$3:$I$1000="")/0.1%+ROW($3:$1000),ROW()-2)-2)&amp;"","")</f>
        <v/>
      </c>
      <c r="D373" s="22" t="str">
        <v/>
      </c>
      <c r="E373" s="22" t="str">
        <f t="shared" si="21"/>
        <v/>
      </c>
      <c r="F373" s="56" t="str">
        <f>IF(AMS!I393="","",AMS!I393)</f>
        <v/>
      </c>
      <c r="G373" s="56" t="str">
        <f>IF(AMS!J393="","",AMS!J393)</f>
        <v/>
      </c>
      <c r="H373" s="22" t="str">
        <f t="array" ref="H373">IF(A373&lt;&gt;" ",IFERROR(INDEX(Summary!$G$3:$G$1000,SMALL((Summary!$G$3:$G$1000="")/0.1%+ROW($3:$1000),ROW()-2)-2)&amp;"",""),"")</f>
        <v/>
      </c>
      <c r="I373" s="22" t="str">
        <f t="shared" si="22"/>
        <v/>
      </c>
      <c r="J373" s="22" t="str">
        <f t="shared" si="23"/>
        <v/>
      </c>
    </row>
    <row r="374" spans="1:10">
      <c r="A374" s="56" t="str">
        <f>IF(AMS!H394="","",AMS!H394)</f>
        <v/>
      </c>
      <c r="B374" s="22" t="str">
        <f t="shared" si="20"/>
        <v/>
      </c>
      <c r="C374" s="22" t="str">
        <f t="array" ref="C374">IFERROR(INDEX(Summary!$I$3:$I$1000,SMALL((Summary!$I$3:$I$1000="")/0.1%+ROW($3:$1000),ROW()-2)-2)&amp;"","")</f>
        <v/>
      </c>
      <c r="D374" s="22" t="str">
        <v/>
      </c>
      <c r="E374" s="22" t="str">
        <f t="shared" si="21"/>
        <v/>
      </c>
      <c r="F374" s="56" t="str">
        <f>IF(AMS!I394="","",AMS!I394)</f>
        <v/>
      </c>
      <c r="G374" s="56" t="str">
        <f>IF(AMS!J394="","",AMS!J394)</f>
        <v/>
      </c>
      <c r="H374" s="22" t="str">
        <f t="array" ref="H374">IF(A374&lt;&gt;" ",IFERROR(INDEX(Summary!$G$3:$G$1000,SMALL((Summary!$G$3:$G$1000="")/0.1%+ROW($3:$1000),ROW()-2)-2)&amp;"",""),"")</f>
        <v/>
      </c>
      <c r="I374" s="22" t="str">
        <f t="shared" si="22"/>
        <v/>
      </c>
      <c r="J374" s="22" t="str">
        <f t="shared" si="23"/>
        <v/>
      </c>
    </row>
    <row r="375" spans="1:10">
      <c r="A375" s="56" t="str">
        <f>IF(AMS!H395="","",AMS!H395)</f>
        <v/>
      </c>
      <c r="B375" s="22" t="str">
        <f t="shared" si="20"/>
        <v/>
      </c>
      <c r="C375" s="22" t="str">
        <f t="array" ref="C375">IFERROR(INDEX(Summary!$I$3:$I$1000,SMALL((Summary!$I$3:$I$1000="")/0.1%+ROW($3:$1000),ROW()-2)-2)&amp;"","")</f>
        <v/>
      </c>
      <c r="D375" s="22" t="str">
        <v/>
      </c>
      <c r="E375" s="22" t="str">
        <f t="shared" si="21"/>
        <v/>
      </c>
      <c r="F375" s="56" t="str">
        <f>IF(AMS!I395="","",AMS!I395)</f>
        <v/>
      </c>
      <c r="G375" s="56" t="str">
        <f>IF(AMS!J395="","",AMS!J395)</f>
        <v/>
      </c>
      <c r="H375" s="22" t="str">
        <f t="array" ref="H375">IF(A375&lt;&gt;" ",IFERROR(INDEX(Summary!$G$3:$G$1000,SMALL((Summary!$G$3:$G$1000="")/0.1%+ROW($3:$1000),ROW()-2)-2)&amp;"",""),"")</f>
        <v/>
      </c>
      <c r="I375" s="22" t="str">
        <f t="shared" si="22"/>
        <v/>
      </c>
      <c r="J375" s="22" t="str">
        <f t="shared" si="23"/>
        <v/>
      </c>
    </row>
    <row r="376" spans="1:10">
      <c r="A376" s="56" t="str">
        <f>IF(AMS!H396="","",AMS!H396)</f>
        <v/>
      </c>
      <c r="B376" s="22" t="str">
        <f t="shared" si="20"/>
        <v/>
      </c>
      <c r="C376" s="22" t="str">
        <f t="array" ref="C376">IFERROR(INDEX(Summary!$I$3:$I$1000,SMALL((Summary!$I$3:$I$1000="")/0.1%+ROW($3:$1000),ROW()-2)-2)&amp;"","")</f>
        <v/>
      </c>
      <c r="D376" s="22" t="str">
        <v/>
      </c>
      <c r="E376" s="22" t="str">
        <f t="shared" si="21"/>
        <v/>
      </c>
      <c r="F376" s="56" t="str">
        <f>IF(AMS!I396="","",AMS!I396)</f>
        <v/>
      </c>
      <c r="G376" s="56" t="str">
        <f>IF(AMS!J396="","",AMS!J396)</f>
        <v/>
      </c>
      <c r="H376" s="22" t="str">
        <f t="array" ref="H376">IF(A376&lt;&gt;" ",IFERROR(INDEX(Summary!$G$3:$G$1000,SMALL((Summary!$G$3:$G$1000="")/0.1%+ROW($3:$1000),ROW()-2)-2)&amp;"",""),"")</f>
        <v/>
      </c>
      <c r="I376" s="22" t="str">
        <f t="shared" si="22"/>
        <v/>
      </c>
      <c r="J376" s="22" t="str">
        <f t="shared" si="23"/>
        <v/>
      </c>
    </row>
    <row r="377" spans="1:10">
      <c r="A377" s="56" t="str">
        <f>IF(AMS!H397="","",AMS!H397)</f>
        <v/>
      </c>
      <c r="B377" s="22" t="str">
        <f t="shared" si="20"/>
        <v/>
      </c>
      <c r="C377" s="22" t="str">
        <f t="array" ref="C377">IFERROR(INDEX(Summary!$I$3:$I$1000,SMALL((Summary!$I$3:$I$1000="")/0.1%+ROW($3:$1000),ROW()-2)-2)&amp;"","")</f>
        <v/>
      </c>
      <c r="D377" s="22" t="str">
        <v/>
      </c>
      <c r="E377" s="22" t="str">
        <f t="shared" si="21"/>
        <v/>
      </c>
      <c r="F377" s="56" t="str">
        <f>IF(AMS!I397="","",AMS!I397)</f>
        <v/>
      </c>
      <c r="G377" s="56" t="str">
        <f>IF(AMS!J397="","",AMS!J397)</f>
        <v/>
      </c>
      <c r="H377" s="22" t="str">
        <f t="array" ref="H377">IF(A377&lt;&gt;" ",IFERROR(INDEX(Summary!$G$3:$G$1000,SMALL((Summary!$G$3:$G$1000="")/0.1%+ROW($3:$1000),ROW()-2)-2)&amp;"",""),"")</f>
        <v/>
      </c>
      <c r="I377" s="22" t="str">
        <f t="shared" si="22"/>
        <v/>
      </c>
      <c r="J377" s="22" t="str">
        <f t="shared" si="23"/>
        <v/>
      </c>
    </row>
    <row r="378" spans="1:10">
      <c r="A378" s="56" t="str">
        <f>IF(AMS!H398="","",AMS!H398)</f>
        <v/>
      </c>
      <c r="B378" s="22" t="str">
        <f t="shared" si="20"/>
        <v/>
      </c>
      <c r="C378" s="22" t="str">
        <f t="array" ref="C378">IFERROR(INDEX(Summary!$I$3:$I$1000,SMALL((Summary!$I$3:$I$1000="")/0.1%+ROW($3:$1000),ROW()-2)-2)&amp;"","")</f>
        <v/>
      </c>
      <c r="D378" s="22" t="str">
        <v/>
      </c>
      <c r="E378" s="22" t="str">
        <f t="shared" si="21"/>
        <v/>
      </c>
      <c r="F378" s="56" t="str">
        <f>IF(AMS!I398="","",AMS!I398)</f>
        <v/>
      </c>
      <c r="G378" s="56" t="str">
        <f>IF(AMS!J398="","",AMS!J398)</f>
        <v/>
      </c>
      <c r="H378" s="22" t="str">
        <f t="array" ref="H378">IF(A378&lt;&gt;" ",IFERROR(INDEX(Summary!$G$3:$G$1000,SMALL((Summary!$G$3:$G$1000="")/0.1%+ROW($3:$1000),ROW()-2)-2)&amp;"",""),"")</f>
        <v/>
      </c>
      <c r="I378" s="22" t="str">
        <f t="shared" si="22"/>
        <v/>
      </c>
      <c r="J378" s="22" t="str">
        <f t="shared" si="23"/>
        <v/>
      </c>
    </row>
    <row r="379" spans="1:10">
      <c r="A379" s="56" t="str">
        <f>IF(AMS!H399="","",AMS!H399)</f>
        <v/>
      </c>
      <c r="B379" s="22" t="str">
        <f t="shared" si="20"/>
        <v/>
      </c>
      <c r="C379" s="22" t="str">
        <f t="array" ref="C379">IFERROR(INDEX(Summary!$I$3:$I$1000,SMALL((Summary!$I$3:$I$1000="")/0.1%+ROW($3:$1000),ROW()-2)-2)&amp;"","")</f>
        <v/>
      </c>
      <c r="D379" s="22" t="str">
        <v/>
      </c>
      <c r="E379" s="22" t="str">
        <f t="shared" si="21"/>
        <v/>
      </c>
      <c r="F379" s="56" t="str">
        <f>IF(AMS!I399="","",AMS!I399)</f>
        <v/>
      </c>
      <c r="G379" s="56" t="str">
        <f>IF(AMS!J399="","",AMS!J399)</f>
        <v/>
      </c>
      <c r="H379" s="22" t="str">
        <f t="array" ref="H379">IF(A379&lt;&gt;" ",IFERROR(INDEX(Summary!$G$3:$G$1000,SMALL((Summary!$G$3:$G$1000="")/0.1%+ROW($3:$1000),ROW()-2)-2)&amp;"",""),"")</f>
        <v/>
      </c>
      <c r="I379" s="22" t="str">
        <f t="shared" si="22"/>
        <v/>
      </c>
      <c r="J379" s="22" t="str">
        <f t="shared" si="23"/>
        <v/>
      </c>
    </row>
    <row r="380" spans="1:10">
      <c r="A380" s="56" t="str">
        <f>IF(AMS!H400="","",AMS!H400)</f>
        <v/>
      </c>
      <c r="B380" s="22" t="str">
        <f t="shared" si="20"/>
        <v/>
      </c>
      <c r="C380" s="22" t="str">
        <f t="array" ref="C380">IFERROR(INDEX(Summary!$I$3:$I$1000,SMALL((Summary!$I$3:$I$1000="")/0.1%+ROW($3:$1000),ROW()-2)-2)&amp;"","")</f>
        <v/>
      </c>
      <c r="D380" s="22" t="str">
        <v/>
      </c>
      <c r="E380" s="22" t="str">
        <f t="shared" si="21"/>
        <v/>
      </c>
      <c r="F380" s="56" t="str">
        <f>IF(AMS!I400="","",AMS!I400)</f>
        <v/>
      </c>
      <c r="G380" s="56" t="str">
        <f>IF(AMS!J400="","",AMS!J400)</f>
        <v/>
      </c>
      <c r="H380" s="22" t="str">
        <f t="array" ref="H380">IF(A380&lt;&gt;" ",IFERROR(INDEX(Summary!$G$3:$G$1000,SMALL((Summary!$G$3:$G$1000="")/0.1%+ROW($3:$1000),ROW()-2)-2)&amp;"",""),"")</f>
        <v/>
      </c>
      <c r="I380" s="22" t="str">
        <f t="shared" si="22"/>
        <v/>
      </c>
      <c r="J380" s="22" t="str">
        <f t="shared" si="23"/>
        <v/>
      </c>
    </row>
    <row r="381" spans="1:10">
      <c r="A381" s="56" t="str">
        <f>IF(AMS!H401="","",AMS!H401)</f>
        <v/>
      </c>
      <c r="B381" s="22" t="str">
        <f t="shared" si="20"/>
        <v/>
      </c>
      <c r="C381" s="22" t="str">
        <f t="array" ref="C381">IFERROR(INDEX(Summary!$I$3:$I$1000,SMALL((Summary!$I$3:$I$1000="")/0.1%+ROW($3:$1000),ROW()-2)-2)&amp;"","")</f>
        <v/>
      </c>
      <c r="D381" s="22" t="str">
        <v/>
      </c>
      <c r="E381" s="22" t="str">
        <f t="shared" si="21"/>
        <v/>
      </c>
      <c r="F381" s="56" t="str">
        <f>IF(AMS!I401="","",AMS!I401)</f>
        <v/>
      </c>
      <c r="G381" s="56" t="str">
        <f>IF(AMS!J401="","",AMS!J401)</f>
        <v/>
      </c>
      <c r="H381" s="22" t="str">
        <f t="array" ref="H381">IF(A381&lt;&gt;" ",IFERROR(INDEX(Summary!$G$3:$G$1000,SMALL((Summary!$G$3:$G$1000="")/0.1%+ROW($3:$1000),ROW()-2)-2)&amp;"",""),"")</f>
        <v/>
      </c>
      <c r="I381" s="22" t="str">
        <f t="shared" si="22"/>
        <v/>
      </c>
      <c r="J381" s="22" t="str">
        <f t="shared" si="23"/>
        <v/>
      </c>
    </row>
    <row r="382" spans="1:10">
      <c r="A382" s="56" t="str">
        <f>IF(AMS!H402="","",AMS!H402)</f>
        <v/>
      </c>
      <c r="B382" s="22" t="str">
        <f t="shared" si="20"/>
        <v/>
      </c>
      <c r="C382" s="22" t="str">
        <f t="array" ref="C382">IFERROR(INDEX(Summary!$I$3:$I$1000,SMALL((Summary!$I$3:$I$1000="")/0.1%+ROW($3:$1000),ROW()-2)-2)&amp;"","")</f>
        <v/>
      </c>
      <c r="D382" s="22" t="str">
        <v/>
      </c>
      <c r="E382" s="22" t="str">
        <f t="shared" si="21"/>
        <v/>
      </c>
      <c r="F382" s="56" t="str">
        <f>IF(AMS!I402="","",AMS!I402)</f>
        <v/>
      </c>
      <c r="G382" s="56" t="str">
        <f>IF(AMS!J402="","",AMS!J402)</f>
        <v/>
      </c>
      <c r="H382" s="22" t="str">
        <f t="array" ref="H382">IF(A382&lt;&gt;" ",IFERROR(INDEX(Summary!$G$3:$G$1000,SMALL((Summary!$G$3:$G$1000="")/0.1%+ROW($3:$1000),ROW()-2)-2)&amp;"",""),"")</f>
        <v/>
      </c>
      <c r="I382" s="22" t="str">
        <f t="shared" si="22"/>
        <v/>
      </c>
      <c r="J382" s="22" t="str">
        <f t="shared" si="23"/>
        <v/>
      </c>
    </row>
    <row r="383" spans="1:10">
      <c r="A383" s="56" t="str">
        <f>IF(AMS!H403="","",AMS!H403)</f>
        <v/>
      </c>
      <c r="B383" s="22" t="str">
        <f t="shared" si="20"/>
        <v/>
      </c>
      <c r="C383" s="22" t="str">
        <f t="array" ref="C383">IFERROR(INDEX(Summary!$I$3:$I$1000,SMALL((Summary!$I$3:$I$1000="")/0.1%+ROW($3:$1000),ROW()-2)-2)&amp;"","")</f>
        <v/>
      </c>
      <c r="D383" s="22" t="str">
        <v/>
      </c>
      <c r="E383" s="22" t="str">
        <f t="shared" si="21"/>
        <v/>
      </c>
      <c r="F383" s="56" t="str">
        <f>IF(AMS!I403="","",AMS!I403)</f>
        <v/>
      </c>
      <c r="G383" s="56" t="str">
        <f>IF(AMS!J403="","",AMS!J403)</f>
        <v/>
      </c>
      <c r="H383" s="22" t="str">
        <f t="array" ref="H383">IF(A383&lt;&gt;" ",IFERROR(INDEX(Summary!$G$3:$G$1000,SMALL((Summary!$G$3:$G$1000="")/0.1%+ROW($3:$1000),ROW()-2)-2)&amp;"",""),"")</f>
        <v/>
      </c>
      <c r="I383" s="22" t="str">
        <f t="shared" si="22"/>
        <v/>
      </c>
      <c r="J383" s="22" t="str">
        <f t="shared" si="23"/>
        <v/>
      </c>
    </row>
    <row r="384" spans="1:10">
      <c r="A384" s="56" t="str">
        <f>IF(AMS!H404="","",AMS!H404)</f>
        <v/>
      </c>
      <c r="B384" s="22" t="str">
        <f t="shared" si="20"/>
        <v/>
      </c>
      <c r="C384" s="22" t="str">
        <f t="array" ref="C384">IFERROR(INDEX(Summary!$I$3:$I$1000,SMALL((Summary!$I$3:$I$1000="")/0.1%+ROW($3:$1000),ROW()-2)-2)&amp;"","")</f>
        <v/>
      </c>
      <c r="D384" s="22" t="str">
        <v/>
      </c>
      <c r="E384" s="22" t="str">
        <f t="shared" si="21"/>
        <v/>
      </c>
      <c r="F384" s="56" t="str">
        <f>IF(AMS!I404="","",AMS!I404)</f>
        <v/>
      </c>
      <c r="G384" s="56" t="str">
        <f>IF(AMS!J404="","",AMS!J404)</f>
        <v/>
      </c>
      <c r="H384" s="22" t="str">
        <f t="array" ref="H384">IF(A384&lt;&gt;" ",IFERROR(INDEX(Summary!$G$3:$G$1000,SMALL((Summary!$G$3:$G$1000="")/0.1%+ROW($3:$1000),ROW()-2)-2)&amp;"",""),"")</f>
        <v/>
      </c>
      <c r="I384" s="22" t="str">
        <f t="shared" si="22"/>
        <v/>
      </c>
      <c r="J384" s="22" t="str">
        <f t="shared" si="23"/>
        <v/>
      </c>
    </row>
    <row r="385" spans="1:10">
      <c r="A385" s="56" t="str">
        <f>IF(AMS!H405="","",AMS!H405)</f>
        <v/>
      </c>
      <c r="B385" s="22" t="str">
        <f t="shared" si="20"/>
        <v/>
      </c>
      <c r="C385" s="22" t="str">
        <f t="array" ref="C385">IFERROR(INDEX(Summary!$I$3:$I$1000,SMALL((Summary!$I$3:$I$1000="")/0.1%+ROW($3:$1000),ROW()-2)-2)&amp;"","")</f>
        <v/>
      </c>
      <c r="D385" s="22" t="str">
        <v/>
      </c>
      <c r="E385" s="22" t="str">
        <f t="shared" si="21"/>
        <v/>
      </c>
      <c r="F385" s="56" t="str">
        <f>IF(AMS!I405="","",AMS!I405)</f>
        <v/>
      </c>
      <c r="G385" s="56" t="str">
        <f>IF(AMS!J405="","",AMS!J405)</f>
        <v/>
      </c>
      <c r="H385" s="22" t="str">
        <f t="array" ref="H385">IF(A385&lt;&gt;" ",IFERROR(INDEX(Summary!$G$3:$G$1000,SMALL((Summary!$G$3:$G$1000="")/0.1%+ROW($3:$1000),ROW()-2)-2)&amp;"",""),"")</f>
        <v/>
      </c>
      <c r="I385" s="22" t="str">
        <f t="shared" si="22"/>
        <v/>
      </c>
      <c r="J385" s="22" t="str">
        <f t="shared" si="23"/>
        <v/>
      </c>
    </row>
    <row r="386" spans="1:10">
      <c r="A386" s="56" t="str">
        <f>IF(AMS!H406="","",AMS!H406)</f>
        <v/>
      </c>
      <c r="B386" s="22" t="str">
        <f t="shared" si="20"/>
        <v/>
      </c>
      <c r="C386" s="22" t="str">
        <f t="array" ref="C386">IFERROR(INDEX(Summary!$I$3:$I$1000,SMALL((Summary!$I$3:$I$1000="")/0.1%+ROW($3:$1000),ROW()-2)-2)&amp;"","")</f>
        <v/>
      </c>
      <c r="D386" s="22" t="str">
        <v/>
      </c>
      <c r="E386" s="22" t="str">
        <f t="shared" si="21"/>
        <v/>
      </c>
      <c r="F386" s="56" t="str">
        <f>IF(AMS!I406="","",AMS!I406)</f>
        <v/>
      </c>
      <c r="G386" s="56" t="str">
        <f>IF(AMS!J406="","",AMS!J406)</f>
        <v/>
      </c>
      <c r="H386" s="22" t="str">
        <f t="array" ref="H386">IF(A386&lt;&gt;" ",IFERROR(INDEX(Summary!$G$3:$G$1000,SMALL((Summary!$G$3:$G$1000="")/0.1%+ROW($3:$1000),ROW()-2)-2)&amp;"",""),"")</f>
        <v/>
      </c>
      <c r="I386" s="22" t="str">
        <f t="shared" si="22"/>
        <v/>
      </c>
      <c r="J386" s="22" t="str">
        <f t="shared" si="23"/>
        <v/>
      </c>
    </row>
    <row r="387" spans="1:10">
      <c r="A387" s="56" t="str">
        <f>IF(AMS!H407="","",AMS!H407)</f>
        <v/>
      </c>
      <c r="B387" s="22" t="str">
        <f t="shared" ref="B387:B450" si="24">IF(A387&lt;&gt;"",IFERROR(IF(SEARCH(".",A387),LEFT(SUBSTITUTE(A387,".",""),6)),LEFT(SUBSTITUTE(SUBSTITUTE(TRIM(A387)," ","")," ",""),6)),"")</f>
        <v/>
      </c>
      <c r="C387" s="22" t="str">
        <f t="array" ref="C387">IFERROR(INDEX(Summary!$I$3:$I$1000,SMALL((Summary!$I$3:$I$1000="")/0.1%+ROW($3:$1000),ROW()-2)-2)&amp;"","")</f>
        <v/>
      </c>
      <c r="D387" s="22" t="str">
        <v/>
      </c>
      <c r="E387" s="22" t="str">
        <f t="shared" ref="E387:E450" si="25">LEFT(D387,6)</f>
        <v/>
      </c>
      <c r="F387" s="56" t="str">
        <f>IF(AMS!I407="","",AMS!I407)</f>
        <v/>
      </c>
      <c r="G387" s="56" t="str">
        <f>IF(AMS!J407="","",AMS!J407)</f>
        <v/>
      </c>
      <c r="H387" s="22" t="str">
        <f t="array" ref="H387">IF(A387&lt;&gt;" ",IFERROR(INDEX(Summary!$G$3:$G$1000,SMALL((Summary!$G$3:$G$1000="")/0.1%+ROW($3:$1000),ROW()-2)-2)&amp;"",""),"")</f>
        <v/>
      </c>
      <c r="I387" s="22" t="str">
        <f t="shared" ref="I387:I450" si="26">B387&amp;F387</f>
        <v/>
      </c>
      <c r="J387" s="22" t="str">
        <f t="shared" ref="J387:J450" si="27">IF(D387="","",RIGHT(D387,LEN(D387)-6))</f>
        <v/>
      </c>
    </row>
    <row r="388" spans="1:10">
      <c r="A388" s="56" t="str">
        <f>IF(AMS!H408="","",AMS!H408)</f>
        <v/>
      </c>
      <c r="B388" s="22" t="str">
        <f t="shared" si="24"/>
        <v/>
      </c>
      <c r="C388" s="22" t="str">
        <f t="array" ref="C388">IFERROR(INDEX(Summary!$I$3:$I$1000,SMALL((Summary!$I$3:$I$1000="")/0.1%+ROW($3:$1000),ROW()-2)-2)&amp;"","")</f>
        <v/>
      </c>
      <c r="D388" s="22" t="str">
        <v/>
      </c>
      <c r="E388" s="22" t="str">
        <f t="shared" si="25"/>
        <v/>
      </c>
      <c r="F388" s="56" t="str">
        <f>IF(AMS!I408="","",AMS!I408)</f>
        <v/>
      </c>
      <c r="G388" s="56" t="str">
        <f>IF(AMS!J408="","",AMS!J408)</f>
        <v/>
      </c>
      <c r="H388" s="22" t="str">
        <f t="array" ref="H388">IF(A388&lt;&gt;" ",IFERROR(INDEX(Summary!$G$3:$G$1000,SMALL((Summary!$G$3:$G$1000="")/0.1%+ROW($3:$1000),ROW()-2)-2)&amp;"",""),"")</f>
        <v/>
      </c>
      <c r="I388" s="22" t="str">
        <f t="shared" si="26"/>
        <v/>
      </c>
      <c r="J388" s="22" t="str">
        <f t="shared" si="27"/>
        <v/>
      </c>
    </row>
    <row r="389" spans="1:10">
      <c r="A389" s="56" t="str">
        <f>IF(AMS!H409="","",AMS!H409)</f>
        <v/>
      </c>
      <c r="B389" s="22" t="str">
        <f t="shared" si="24"/>
        <v/>
      </c>
      <c r="C389" s="22" t="str">
        <f t="array" ref="C389">IFERROR(INDEX(Summary!$I$3:$I$1000,SMALL((Summary!$I$3:$I$1000="")/0.1%+ROW($3:$1000),ROW()-2)-2)&amp;"","")</f>
        <v/>
      </c>
      <c r="D389" s="22" t="str">
        <v/>
      </c>
      <c r="E389" s="22" t="str">
        <f t="shared" si="25"/>
        <v/>
      </c>
      <c r="F389" s="56" t="str">
        <f>IF(AMS!I409="","",AMS!I409)</f>
        <v/>
      </c>
      <c r="G389" s="56" t="str">
        <f>IF(AMS!J409="","",AMS!J409)</f>
        <v/>
      </c>
      <c r="H389" s="22" t="str">
        <f t="array" ref="H389">IF(A389&lt;&gt;" ",IFERROR(INDEX(Summary!$G$3:$G$1000,SMALL((Summary!$G$3:$G$1000="")/0.1%+ROW($3:$1000),ROW()-2)-2)&amp;"",""),"")</f>
        <v/>
      </c>
      <c r="I389" s="22" t="str">
        <f t="shared" si="26"/>
        <v/>
      </c>
      <c r="J389" s="22" t="str">
        <f t="shared" si="27"/>
        <v/>
      </c>
    </row>
    <row r="390" spans="1:10">
      <c r="A390" s="56" t="str">
        <f>IF(AMS!H410="","",AMS!H410)</f>
        <v/>
      </c>
      <c r="B390" s="22" t="str">
        <f t="shared" si="24"/>
        <v/>
      </c>
      <c r="C390" s="22" t="str">
        <f t="array" ref="C390">IFERROR(INDEX(Summary!$I$3:$I$1000,SMALL((Summary!$I$3:$I$1000="")/0.1%+ROW($3:$1000),ROW()-2)-2)&amp;"","")</f>
        <v/>
      </c>
      <c r="D390" s="22" t="str">
        <v/>
      </c>
      <c r="E390" s="22" t="str">
        <f t="shared" si="25"/>
        <v/>
      </c>
      <c r="F390" s="56" t="str">
        <f>IF(AMS!I410="","",AMS!I410)</f>
        <v/>
      </c>
      <c r="G390" s="56" t="str">
        <f>IF(AMS!J410="","",AMS!J410)</f>
        <v/>
      </c>
      <c r="H390" s="22" t="str">
        <f t="array" ref="H390">IF(A390&lt;&gt;" ",IFERROR(INDEX(Summary!$G$3:$G$1000,SMALL((Summary!$G$3:$G$1000="")/0.1%+ROW($3:$1000),ROW()-2)-2)&amp;"",""),"")</f>
        <v/>
      </c>
      <c r="I390" s="22" t="str">
        <f t="shared" si="26"/>
        <v/>
      </c>
      <c r="J390" s="22" t="str">
        <f t="shared" si="27"/>
        <v/>
      </c>
    </row>
    <row r="391" spans="1:10">
      <c r="A391" s="56" t="str">
        <f>IF(AMS!H411="","",AMS!H411)</f>
        <v/>
      </c>
      <c r="B391" s="22" t="str">
        <f t="shared" si="24"/>
        <v/>
      </c>
      <c r="C391" s="22" t="str">
        <f t="array" ref="C391">IFERROR(INDEX(Summary!$I$3:$I$1000,SMALL((Summary!$I$3:$I$1000="")/0.1%+ROW($3:$1000),ROW()-2)-2)&amp;"","")</f>
        <v/>
      </c>
      <c r="D391" s="22" t="str">
        <v/>
      </c>
      <c r="E391" s="22" t="str">
        <f t="shared" si="25"/>
        <v/>
      </c>
      <c r="F391" s="56" t="str">
        <f>IF(AMS!I411="","",AMS!I411)</f>
        <v/>
      </c>
      <c r="G391" s="56" t="str">
        <f>IF(AMS!J411="","",AMS!J411)</f>
        <v/>
      </c>
      <c r="H391" s="22" t="str">
        <f t="array" ref="H391">IF(A391&lt;&gt;" ",IFERROR(INDEX(Summary!$G$3:$G$1000,SMALL((Summary!$G$3:$G$1000="")/0.1%+ROW($3:$1000),ROW()-2)-2)&amp;"",""),"")</f>
        <v/>
      </c>
      <c r="I391" s="22" t="str">
        <f t="shared" si="26"/>
        <v/>
      </c>
      <c r="J391" s="22" t="str">
        <f t="shared" si="27"/>
        <v/>
      </c>
    </row>
    <row r="392" spans="1:10">
      <c r="A392" s="56" t="str">
        <f>IF(AMS!H412="","",AMS!H412)</f>
        <v/>
      </c>
      <c r="B392" s="22" t="str">
        <f t="shared" si="24"/>
        <v/>
      </c>
      <c r="C392" s="22" t="str">
        <f t="array" ref="C392">IFERROR(INDEX(Summary!$I$3:$I$1000,SMALL((Summary!$I$3:$I$1000="")/0.1%+ROW($3:$1000),ROW()-2)-2)&amp;"","")</f>
        <v/>
      </c>
      <c r="D392" s="22" t="str">
        <v/>
      </c>
      <c r="E392" s="22" t="str">
        <f t="shared" si="25"/>
        <v/>
      </c>
      <c r="F392" s="56" t="str">
        <f>IF(AMS!I412="","",AMS!I412)</f>
        <v/>
      </c>
      <c r="G392" s="56" t="str">
        <f>IF(AMS!J412="","",AMS!J412)</f>
        <v/>
      </c>
      <c r="H392" s="22" t="str">
        <f t="array" ref="H392">IF(A392&lt;&gt;" ",IFERROR(INDEX(Summary!$G$3:$G$1000,SMALL((Summary!$G$3:$G$1000="")/0.1%+ROW($3:$1000),ROW()-2)-2)&amp;"",""),"")</f>
        <v/>
      </c>
      <c r="I392" s="22" t="str">
        <f t="shared" si="26"/>
        <v/>
      </c>
      <c r="J392" s="22" t="str">
        <f t="shared" si="27"/>
        <v/>
      </c>
    </row>
    <row r="393" spans="1:10">
      <c r="A393" s="56" t="str">
        <f>IF(AMS!H413="","",AMS!H413)</f>
        <v/>
      </c>
      <c r="B393" s="22" t="str">
        <f t="shared" si="24"/>
        <v/>
      </c>
      <c r="C393" s="22" t="str">
        <f t="array" ref="C393">IFERROR(INDEX(Summary!$I$3:$I$1000,SMALL((Summary!$I$3:$I$1000="")/0.1%+ROW($3:$1000),ROW()-2)-2)&amp;"","")</f>
        <v/>
      </c>
      <c r="D393" s="22" t="str">
        <v/>
      </c>
      <c r="E393" s="22" t="str">
        <f t="shared" si="25"/>
        <v/>
      </c>
      <c r="F393" s="56" t="str">
        <f>IF(AMS!I413="","",AMS!I413)</f>
        <v/>
      </c>
      <c r="G393" s="56" t="str">
        <f>IF(AMS!J413="","",AMS!J413)</f>
        <v/>
      </c>
      <c r="H393" s="22" t="str">
        <f t="array" ref="H393">IF(A393&lt;&gt;" ",IFERROR(INDEX(Summary!$G$3:$G$1000,SMALL((Summary!$G$3:$G$1000="")/0.1%+ROW($3:$1000),ROW()-2)-2)&amp;"",""),"")</f>
        <v/>
      </c>
      <c r="I393" s="22" t="str">
        <f t="shared" si="26"/>
        <v/>
      </c>
      <c r="J393" s="22" t="str">
        <f t="shared" si="27"/>
        <v/>
      </c>
    </row>
    <row r="394" spans="1:10">
      <c r="A394" s="56" t="str">
        <f>IF(AMS!H414="","",AMS!H414)</f>
        <v/>
      </c>
      <c r="B394" s="22" t="str">
        <f t="shared" si="24"/>
        <v/>
      </c>
      <c r="C394" s="22" t="str">
        <f t="array" ref="C394">IFERROR(INDEX(Summary!$I$3:$I$1000,SMALL((Summary!$I$3:$I$1000="")/0.1%+ROW($3:$1000),ROW()-2)-2)&amp;"","")</f>
        <v/>
      </c>
      <c r="D394" s="22" t="str">
        <v/>
      </c>
      <c r="E394" s="22" t="str">
        <f t="shared" si="25"/>
        <v/>
      </c>
      <c r="F394" s="56" t="str">
        <f>IF(AMS!I414="","",AMS!I414)</f>
        <v/>
      </c>
      <c r="G394" s="56" t="str">
        <f>IF(AMS!J414="","",AMS!J414)</f>
        <v/>
      </c>
      <c r="H394" s="22" t="str">
        <f t="array" ref="H394">IF(A394&lt;&gt;" ",IFERROR(INDEX(Summary!$G$3:$G$1000,SMALL((Summary!$G$3:$G$1000="")/0.1%+ROW($3:$1000),ROW()-2)-2)&amp;"",""),"")</f>
        <v/>
      </c>
      <c r="I394" s="22" t="str">
        <f t="shared" si="26"/>
        <v/>
      </c>
      <c r="J394" s="22" t="str">
        <f t="shared" si="27"/>
        <v/>
      </c>
    </row>
    <row r="395" spans="1:10">
      <c r="A395" s="56" t="str">
        <f>IF(AMS!H415="","",AMS!H415)</f>
        <v/>
      </c>
      <c r="B395" s="22" t="str">
        <f t="shared" si="24"/>
        <v/>
      </c>
      <c r="C395" s="22" t="str">
        <f t="array" ref="C395">IFERROR(INDEX(Summary!$I$3:$I$1000,SMALL((Summary!$I$3:$I$1000="")/0.1%+ROW($3:$1000),ROW()-2)-2)&amp;"","")</f>
        <v/>
      </c>
      <c r="D395" s="22" t="str">
        <v/>
      </c>
      <c r="E395" s="22" t="str">
        <f t="shared" si="25"/>
        <v/>
      </c>
      <c r="F395" s="56" t="str">
        <f>IF(AMS!I415="","",AMS!I415)</f>
        <v/>
      </c>
      <c r="G395" s="56" t="str">
        <f>IF(AMS!J415="","",AMS!J415)</f>
        <v/>
      </c>
      <c r="H395" s="22" t="str">
        <f t="array" ref="H395">IF(A395&lt;&gt;" ",IFERROR(INDEX(Summary!$G$3:$G$1000,SMALL((Summary!$G$3:$G$1000="")/0.1%+ROW($3:$1000),ROW()-2)-2)&amp;"",""),"")</f>
        <v/>
      </c>
      <c r="I395" s="22" t="str">
        <f t="shared" si="26"/>
        <v/>
      </c>
      <c r="J395" s="22" t="str">
        <f t="shared" si="27"/>
        <v/>
      </c>
    </row>
    <row r="396" spans="1:10">
      <c r="A396" s="56" t="str">
        <f>IF(AMS!H416="","",AMS!H416)</f>
        <v/>
      </c>
      <c r="B396" s="22" t="str">
        <f t="shared" si="24"/>
        <v/>
      </c>
      <c r="C396" s="22" t="str">
        <f t="array" ref="C396">IFERROR(INDEX(Summary!$I$3:$I$1000,SMALL((Summary!$I$3:$I$1000="")/0.1%+ROW($3:$1000),ROW()-2)-2)&amp;"","")</f>
        <v/>
      </c>
      <c r="D396" s="22" t="str">
        <v/>
      </c>
      <c r="E396" s="22" t="str">
        <f t="shared" si="25"/>
        <v/>
      </c>
      <c r="F396" s="56" t="str">
        <f>IF(AMS!I416="","",AMS!I416)</f>
        <v/>
      </c>
      <c r="G396" s="56" t="str">
        <f>IF(AMS!J416="","",AMS!J416)</f>
        <v/>
      </c>
      <c r="H396" s="22" t="str">
        <f t="array" ref="H396">IF(A396&lt;&gt;" ",IFERROR(INDEX(Summary!$G$3:$G$1000,SMALL((Summary!$G$3:$G$1000="")/0.1%+ROW($3:$1000),ROW()-2)-2)&amp;"",""),"")</f>
        <v/>
      </c>
      <c r="I396" s="22" t="str">
        <f t="shared" si="26"/>
        <v/>
      </c>
      <c r="J396" s="22" t="str">
        <f t="shared" si="27"/>
        <v/>
      </c>
    </row>
    <row r="397" spans="1:10">
      <c r="A397" s="56" t="str">
        <f>IF(AMS!H417="","",AMS!H417)</f>
        <v/>
      </c>
      <c r="B397" s="22" t="str">
        <f t="shared" si="24"/>
        <v/>
      </c>
      <c r="C397" s="22" t="str">
        <f t="array" ref="C397">IFERROR(INDEX(Summary!$I$3:$I$1000,SMALL((Summary!$I$3:$I$1000="")/0.1%+ROW($3:$1000),ROW()-2)-2)&amp;"","")</f>
        <v/>
      </c>
      <c r="D397" s="22" t="str">
        <v/>
      </c>
      <c r="E397" s="22" t="str">
        <f t="shared" si="25"/>
        <v/>
      </c>
      <c r="F397" s="56" t="str">
        <f>IF(AMS!I417="","",AMS!I417)</f>
        <v/>
      </c>
      <c r="G397" s="56" t="str">
        <f>IF(AMS!J417="","",AMS!J417)</f>
        <v/>
      </c>
      <c r="H397" s="22" t="str">
        <f t="array" ref="H397">IF(A397&lt;&gt;" ",IFERROR(INDEX(Summary!$G$3:$G$1000,SMALL((Summary!$G$3:$G$1000="")/0.1%+ROW($3:$1000),ROW()-2)-2)&amp;"",""),"")</f>
        <v/>
      </c>
      <c r="I397" s="22" t="str">
        <f t="shared" si="26"/>
        <v/>
      </c>
      <c r="J397" s="22" t="str">
        <f t="shared" si="27"/>
        <v/>
      </c>
    </row>
    <row r="398" spans="1:10">
      <c r="A398" s="56" t="str">
        <f>IF(AMS!H418="","",AMS!H418)</f>
        <v/>
      </c>
      <c r="B398" s="22" t="str">
        <f t="shared" si="24"/>
        <v/>
      </c>
      <c r="C398" s="22" t="str">
        <f t="array" ref="C398">IFERROR(INDEX(Summary!$I$3:$I$1000,SMALL((Summary!$I$3:$I$1000="")/0.1%+ROW($3:$1000),ROW()-2)-2)&amp;"","")</f>
        <v/>
      </c>
      <c r="D398" s="22" t="str">
        <v/>
      </c>
      <c r="E398" s="22" t="str">
        <f t="shared" si="25"/>
        <v/>
      </c>
      <c r="F398" s="56" t="str">
        <f>IF(AMS!I418="","",AMS!I418)</f>
        <v/>
      </c>
      <c r="G398" s="56" t="str">
        <f>IF(AMS!J418="","",AMS!J418)</f>
        <v/>
      </c>
      <c r="H398" s="22" t="str">
        <f t="array" ref="H398">IF(A398&lt;&gt;" ",IFERROR(INDEX(Summary!$G$3:$G$1000,SMALL((Summary!$G$3:$G$1000="")/0.1%+ROW($3:$1000),ROW()-2)-2)&amp;"",""),"")</f>
        <v/>
      </c>
      <c r="I398" s="22" t="str">
        <f t="shared" si="26"/>
        <v/>
      </c>
      <c r="J398" s="22" t="str">
        <f t="shared" si="27"/>
        <v/>
      </c>
    </row>
    <row r="399" spans="1:10">
      <c r="A399" s="56" t="str">
        <f>IF(AMS!H419="","",AMS!H419)</f>
        <v/>
      </c>
      <c r="B399" s="22" t="str">
        <f t="shared" si="24"/>
        <v/>
      </c>
      <c r="C399" s="22" t="str">
        <f t="array" ref="C399">IFERROR(INDEX(Summary!$I$3:$I$1000,SMALL((Summary!$I$3:$I$1000="")/0.1%+ROW($3:$1000),ROW()-2)-2)&amp;"","")</f>
        <v/>
      </c>
      <c r="D399" s="22" t="str">
        <v/>
      </c>
      <c r="E399" s="22" t="str">
        <f t="shared" si="25"/>
        <v/>
      </c>
      <c r="F399" s="56" t="str">
        <f>IF(AMS!I419="","",AMS!I419)</f>
        <v/>
      </c>
      <c r="G399" s="56" t="str">
        <f>IF(AMS!J419="","",AMS!J419)</f>
        <v/>
      </c>
      <c r="H399" s="22" t="str">
        <f t="array" ref="H399">IF(A399&lt;&gt;" ",IFERROR(INDEX(Summary!$G$3:$G$1000,SMALL((Summary!$G$3:$G$1000="")/0.1%+ROW($3:$1000),ROW()-2)-2)&amp;"",""),"")</f>
        <v/>
      </c>
      <c r="I399" s="22" t="str">
        <f t="shared" si="26"/>
        <v/>
      </c>
      <c r="J399" s="22" t="str">
        <f t="shared" si="27"/>
        <v/>
      </c>
    </row>
    <row r="400" spans="1:10">
      <c r="A400" s="56" t="str">
        <f>IF(AMS!H420="","",AMS!H420)</f>
        <v/>
      </c>
      <c r="B400" s="22" t="str">
        <f t="shared" si="24"/>
        <v/>
      </c>
      <c r="C400" s="22" t="str">
        <f t="array" ref="C400">IFERROR(INDEX(Summary!$I$3:$I$1000,SMALL((Summary!$I$3:$I$1000="")/0.1%+ROW($3:$1000),ROW()-2)-2)&amp;"","")</f>
        <v/>
      </c>
      <c r="D400" s="22" t="str">
        <v/>
      </c>
      <c r="E400" s="22" t="str">
        <f t="shared" si="25"/>
        <v/>
      </c>
      <c r="F400" s="56" t="str">
        <f>IF(AMS!I420="","",AMS!I420)</f>
        <v/>
      </c>
      <c r="G400" s="56" t="str">
        <f>IF(AMS!J420="","",AMS!J420)</f>
        <v/>
      </c>
      <c r="H400" s="22" t="str">
        <f t="array" ref="H400">IF(A400&lt;&gt;" ",IFERROR(INDEX(Summary!$G$3:$G$1000,SMALL((Summary!$G$3:$G$1000="")/0.1%+ROW($3:$1000),ROW()-2)-2)&amp;"",""),"")</f>
        <v/>
      </c>
      <c r="I400" s="22" t="str">
        <f t="shared" si="26"/>
        <v/>
      </c>
      <c r="J400" s="22" t="str">
        <f t="shared" si="27"/>
        <v/>
      </c>
    </row>
    <row r="401" spans="1:10">
      <c r="A401" s="56" t="str">
        <f>IF(AMS!H421="","",AMS!H421)</f>
        <v/>
      </c>
      <c r="B401" s="22" t="str">
        <f t="shared" si="24"/>
        <v/>
      </c>
      <c r="C401" s="22" t="str">
        <f t="array" ref="C401">IFERROR(INDEX(Summary!$I$3:$I$1000,SMALL((Summary!$I$3:$I$1000="")/0.1%+ROW($3:$1000),ROW()-2)-2)&amp;"","")</f>
        <v/>
      </c>
      <c r="D401" s="22" t="str">
        <v/>
      </c>
      <c r="E401" s="22" t="str">
        <f t="shared" si="25"/>
        <v/>
      </c>
      <c r="F401" s="56" t="str">
        <f>IF(AMS!I421="","",AMS!I421)</f>
        <v/>
      </c>
      <c r="G401" s="56" t="str">
        <f>IF(AMS!J421="","",AMS!J421)</f>
        <v/>
      </c>
      <c r="H401" s="22" t="str">
        <f t="array" ref="H401">IF(A401&lt;&gt;" ",IFERROR(INDEX(Summary!$G$3:$G$1000,SMALL((Summary!$G$3:$G$1000="")/0.1%+ROW($3:$1000),ROW()-2)-2)&amp;"",""),"")</f>
        <v/>
      </c>
      <c r="I401" s="22" t="str">
        <f t="shared" si="26"/>
        <v/>
      </c>
      <c r="J401" s="22" t="str">
        <f t="shared" si="27"/>
        <v/>
      </c>
    </row>
    <row r="402" spans="1:10">
      <c r="A402" s="56" t="str">
        <f>IF(AMS!H422="","",AMS!H422)</f>
        <v/>
      </c>
      <c r="B402" s="22" t="str">
        <f t="shared" si="24"/>
        <v/>
      </c>
      <c r="C402" s="22" t="str">
        <f t="array" ref="C402">IFERROR(INDEX(Summary!$I$3:$I$1000,SMALL((Summary!$I$3:$I$1000="")/0.1%+ROW($3:$1000),ROW()-2)-2)&amp;"","")</f>
        <v/>
      </c>
      <c r="D402" s="22" t="str">
        <v/>
      </c>
      <c r="E402" s="22" t="str">
        <f t="shared" si="25"/>
        <v/>
      </c>
      <c r="F402" s="56" t="str">
        <f>IF(AMS!I422="","",AMS!I422)</f>
        <v/>
      </c>
      <c r="G402" s="56" t="str">
        <f>IF(AMS!J422="","",AMS!J422)</f>
        <v/>
      </c>
      <c r="H402" s="22" t="str">
        <f t="array" ref="H402">IF(A402&lt;&gt;" ",IFERROR(INDEX(Summary!$G$3:$G$1000,SMALL((Summary!$G$3:$G$1000="")/0.1%+ROW($3:$1000),ROW()-2)-2)&amp;"",""),"")</f>
        <v/>
      </c>
      <c r="I402" s="22" t="str">
        <f t="shared" si="26"/>
        <v/>
      </c>
      <c r="J402" s="22" t="str">
        <f t="shared" si="27"/>
        <v/>
      </c>
    </row>
    <row r="403" spans="1:10">
      <c r="A403" s="56" t="str">
        <f>IF(AMS!H423="","",AMS!H423)</f>
        <v/>
      </c>
      <c r="B403" s="22" t="str">
        <f t="shared" si="24"/>
        <v/>
      </c>
      <c r="C403" s="22" t="str">
        <f t="array" ref="C403">IFERROR(INDEX(Summary!$I$3:$I$1000,SMALL((Summary!$I$3:$I$1000="")/0.1%+ROW($3:$1000),ROW()-2)-2)&amp;"","")</f>
        <v/>
      </c>
      <c r="D403" s="22" t="str">
        <v/>
      </c>
      <c r="E403" s="22" t="str">
        <f t="shared" si="25"/>
        <v/>
      </c>
      <c r="F403" s="56" t="str">
        <f>IF(AMS!I423="","",AMS!I423)</f>
        <v/>
      </c>
      <c r="G403" s="56" t="str">
        <f>IF(AMS!J423="","",AMS!J423)</f>
        <v/>
      </c>
      <c r="H403" s="22" t="str">
        <f t="array" ref="H403">IF(A403&lt;&gt;" ",IFERROR(INDEX(Summary!$G$3:$G$1000,SMALL((Summary!$G$3:$G$1000="")/0.1%+ROW($3:$1000),ROW()-2)-2)&amp;"",""),"")</f>
        <v/>
      </c>
      <c r="I403" s="22" t="str">
        <f t="shared" si="26"/>
        <v/>
      </c>
      <c r="J403" s="22" t="str">
        <f t="shared" si="27"/>
        <v/>
      </c>
    </row>
    <row r="404" spans="1:10">
      <c r="A404" s="56" t="str">
        <f>IF(AMS!H424="","",AMS!H424)</f>
        <v/>
      </c>
      <c r="B404" s="22" t="str">
        <f t="shared" si="24"/>
        <v/>
      </c>
      <c r="C404" s="22" t="str">
        <f t="array" ref="C404">IFERROR(INDEX(Summary!$I$3:$I$1000,SMALL((Summary!$I$3:$I$1000="")/0.1%+ROW($3:$1000),ROW()-2)-2)&amp;"","")</f>
        <v/>
      </c>
      <c r="D404" s="22" t="str">
        <v/>
      </c>
      <c r="E404" s="22" t="str">
        <f t="shared" si="25"/>
        <v/>
      </c>
      <c r="F404" s="56" t="str">
        <f>IF(AMS!I424="","",AMS!I424)</f>
        <v/>
      </c>
      <c r="G404" s="56" t="str">
        <f>IF(AMS!J424="","",AMS!J424)</f>
        <v/>
      </c>
      <c r="H404" s="22" t="str">
        <f t="array" ref="H404">IF(A404&lt;&gt;" ",IFERROR(INDEX(Summary!$G$3:$G$1000,SMALL((Summary!$G$3:$G$1000="")/0.1%+ROW($3:$1000),ROW()-2)-2)&amp;"",""),"")</f>
        <v/>
      </c>
      <c r="I404" s="22" t="str">
        <f t="shared" si="26"/>
        <v/>
      </c>
      <c r="J404" s="22" t="str">
        <f t="shared" si="27"/>
        <v/>
      </c>
    </row>
    <row r="405" spans="1:10">
      <c r="A405" s="56" t="str">
        <f>IF(AMS!H425="","",AMS!H425)</f>
        <v/>
      </c>
      <c r="B405" s="22" t="str">
        <f t="shared" si="24"/>
        <v/>
      </c>
      <c r="C405" s="22" t="str">
        <f t="array" ref="C405">IFERROR(INDEX(Summary!$I$3:$I$1000,SMALL((Summary!$I$3:$I$1000="")/0.1%+ROW($3:$1000),ROW()-2)-2)&amp;"","")</f>
        <v/>
      </c>
      <c r="D405" s="22" t="str">
        <v/>
      </c>
      <c r="E405" s="22" t="str">
        <f t="shared" si="25"/>
        <v/>
      </c>
      <c r="F405" s="56" t="str">
        <f>IF(AMS!I425="","",AMS!I425)</f>
        <v/>
      </c>
      <c r="G405" s="56" t="str">
        <f>IF(AMS!J425="","",AMS!J425)</f>
        <v/>
      </c>
      <c r="H405" s="22" t="str">
        <f t="array" ref="H405">IF(A405&lt;&gt;" ",IFERROR(INDEX(Summary!$G$3:$G$1000,SMALL((Summary!$G$3:$G$1000="")/0.1%+ROW($3:$1000),ROW()-2)-2)&amp;"",""),"")</f>
        <v/>
      </c>
      <c r="I405" s="22" t="str">
        <f t="shared" si="26"/>
        <v/>
      </c>
      <c r="J405" s="22" t="str">
        <f t="shared" si="27"/>
        <v/>
      </c>
    </row>
    <row r="406" spans="1:10">
      <c r="A406" s="56" t="str">
        <f>IF(AMS!H426="","",AMS!H426)</f>
        <v/>
      </c>
      <c r="B406" s="22" t="str">
        <f t="shared" si="24"/>
        <v/>
      </c>
      <c r="C406" s="22" t="str">
        <f t="array" ref="C406">IFERROR(INDEX(Summary!$I$3:$I$1000,SMALL((Summary!$I$3:$I$1000="")/0.1%+ROW($3:$1000),ROW()-2)-2)&amp;"","")</f>
        <v/>
      </c>
      <c r="D406" s="22" t="str">
        <v/>
      </c>
      <c r="E406" s="22" t="str">
        <f t="shared" si="25"/>
        <v/>
      </c>
      <c r="F406" s="56" t="str">
        <f>IF(AMS!I426="","",AMS!I426)</f>
        <v/>
      </c>
      <c r="G406" s="56" t="str">
        <f>IF(AMS!J426="","",AMS!J426)</f>
        <v/>
      </c>
      <c r="H406" s="22" t="str">
        <f t="array" ref="H406">IF(A406&lt;&gt;" ",IFERROR(INDEX(Summary!$G$3:$G$1000,SMALL((Summary!$G$3:$G$1000="")/0.1%+ROW($3:$1000),ROW()-2)-2)&amp;"",""),"")</f>
        <v/>
      </c>
      <c r="I406" s="22" t="str">
        <f t="shared" si="26"/>
        <v/>
      </c>
      <c r="J406" s="22" t="str">
        <f t="shared" si="27"/>
        <v/>
      </c>
    </row>
    <row r="407" spans="1:10">
      <c r="A407" s="56" t="str">
        <f>IF(AMS!H427="","",AMS!H427)</f>
        <v/>
      </c>
      <c r="B407" s="22" t="str">
        <f t="shared" si="24"/>
        <v/>
      </c>
      <c r="C407" s="22" t="str">
        <f t="array" ref="C407">IFERROR(INDEX(Summary!$I$3:$I$1000,SMALL((Summary!$I$3:$I$1000="")/0.1%+ROW($3:$1000),ROW()-2)-2)&amp;"","")</f>
        <v/>
      </c>
      <c r="D407" s="22" t="str">
        <v/>
      </c>
      <c r="E407" s="22" t="str">
        <f t="shared" si="25"/>
        <v/>
      </c>
      <c r="F407" s="56" t="str">
        <f>IF(AMS!I427="","",AMS!I427)</f>
        <v/>
      </c>
      <c r="G407" s="56" t="str">
        <f>IF(AMS!J427="","",AMS!J427)</f>
        <v/>
      </c>
      <c r="H407" s="22" t="str">
        <f t="array" ref="H407">IF(A407&lt;&gt;" ",IFERROR(INDEX(Summary!$G$3:$G$1000,SMALL((Summary!$G$3:$G$1000="")/0.1%+ROW($3:$1000),ROW()-2)-2)&amp;"",""),"")</f>
        <v/>
      </c>
      <c r="I407" s="22" t="str">
        <f t="shared" si="26"/>
        <v/>
      </c>
      <c r="J407" s="22" t="str">
        <f t="shared" si="27"/>
        <v/>
      </c>
    </row>
    <row r="408" spans="1:10">
      <c r="A408" s="56" t="str">
        <f>IF(AMS!H428="","",AMS!H428)</f>
        <v/>
      </c>
      <c r="B408" s="22" t="str">
        <f t="shared" si="24"/>
        <v/>
      </c>
      <c r="C408" s="22" t="str">
        <f t="array" ref="C408">IFERROR(INDEX(Summary!$I$3:$I$1000,SMALL((Summary!$I$3:$I$1000="")/0.1%+ROW($3:$1000),ROW()-2)-2)&amp;"","")</f>
        <v/>
      </c>
      <c r="D408" s="22" t="str">
        <v/>
      </c>
      <c r="E408" s="22" t="str">
        <f t="shared" si="25"/>
        <v/>
      </c>
      <c r="F408" s="56" t="str">
        <f>IF(AMS!I428="","",AMS!I428)</f>
        <v/>
      </c>
      <c r="G408" s="56" t="str">
        <f>IF(AMS!J428="","",AMS!J428)</f>
        <v/>
      </c>
      <c r="H408" s="22" t="str">
        <f t="array" ref="H408">IF(A408&lt;&gt;" ",IFERROR(INDEX(Summary!$G$3:$G$1000,SMALL((Summary!$G$3:$G$1000="")/0.1%+ROW($3:$1000),ROW()-2)-2)&amp;"",""),"")</f>
        <v/>
      </c>
      <c r="I408" s="22" t="str">
        <f t="shared" si="26"/>
        <v/>
      </c>
      <c r="J408" s="22" t="str">
        <f t="shared" si="27"/>
        <v/>
      </c>
    </row>
    <row r="409" spans="1:10">
      <c r="A409" s="56" t="str">
        <f>IF(AMS!H429="","",AMS!H429)</f>
        <v/>
      </c>
      <c r="B409" s="22" t="str">
        <f t="shared" si="24"/>
        <v/>
      </c>
      <c r="C409" s="22" t="str">
        <f t="array" ref="C409">IFERROR(INDEX(Summary!$I$3:$I$1000,SMALL((Summary!$I$3:$I$1000="")/0.1%+ROW($3:$1000),ROW()-2)-2)&amp;"","")</f>
        <v/>
      </c>
      <c r="D409" s="22" t="str">
        <v/>
      </c>
      <c r="E409" s="22" t="str">
        <f t="shared" si="25"/>
        <v/>
      </c>
      <c r="F409" s="56" t="str">
        <f>IF(AMS!I429="","",AMS!I429)</f>
        <v/>
      </c>
      <c r="G409" s="56" t="str">
        <f>IF(AMS!J429="","",AMS!J429)</f>
        <v/>
      </c>
      <c r="H409" s="22" t="str">
        <f t="array" ref="H409">IF(A409&lt;&gt;" ",IFERROR(INDEX(Summary!$G$3:$G$1000,SMALL((Summary!$G$3:$G$1000="")/0.1%+ROW($3:$1000),ROW()-2)-2)&amp;"",""),"")</f>
        <v/>
      </c>
      <c r="I409" s="22" t="str">
        <f t="shared" si="26"/>
        <v/>
      </c>
      <c r="J409" s="22" t="str">
        <f t="shared" si="27"/>
        <v/>
      </c>
    </row>
    <row r="410" spans="1:10">
      <c r="A410" s="56" t="str">
        <f>IF(AMS!H430="","",AMS!H430)</f>
        <v/>
      </c>
      <c r="B410" s="22" t="str">
        <f t="shared" si="24"/>
        <v/>
      </c>
      <c r="C410" s="22" t="str">
        <f t="array" ref="C410">IFERROR(INDEX(Summary!$I$3:$I$1000,SMALL((Summary!$I$3:$I$1000="")/0.1%+ROW($3:$1000),ROW()-2)-2)&amp;"","")</f>
        <v/>
      </c>
      <c r="D410" s="22" t="str">
        <v/>
      </c>
      <c r="E410" s="22" t="str">
        <f t="shared" si="25"/>
        <v/>
      </c>
      <c r="F410" s="56" t="str">
        <f>IF(AMS!I430="","",AMS!I430)</f>
        <v/>
      </c>
      <c r="G410" s="56" t="str">
        <f>IF(AMS!J430="","",AMS!J430)</f>
        <v/>
      </c>
      <c r="H410" s="22" t="str">
        <f t="array" ref="H410">IF(A410&lt;&gt;" ",IFERROR(INDEX(Summary!$G$3:$G$1000,SMALL((Summary!$G$3:$G$1000="")/0.1%+ROW($3:$1000),ROW()-2)-2)&amp;"",""),"")</f>
        <v/>
      </c>
      <c r="I410" s="22" t="str">
        <f t="shared" si="26"/>
        <v/>
      </c>
      <c r="J410" s="22" t="str">
        <f t="shared" si="27"/>
        <v/>
      </c>
    </row>
    <row r="411" spans="1:10">
      <c r="A411" s="56" t="str">
        <f>IF(AMS!H431="","",AMS!H431)</f>
        <v/>
      </c>
      <c r="B411" s="22" t="str">
        <f t="shared" si="24"/>
        <v/>
      </c>
      <c r="C411" s="22" t="str">
        <f t="array" ref="C411">IFERROR(INDEX(Summary!$I$3:$I$1000,SMALL((Summary!$I$3:$I$1000="")/0.1%+ROW($3:$1000),ROW()-2)-2)&amp;"","")</f>
        <v/>
      </c>
      <c r="D411" s="22" t="str">
        <v/>
      </c>
      <c r="E411" s="22" t="str">
        <f t="shared" si="25"/>
        <v/>
      </c>
      <c r="F411" s="56" t="str">
        <f>IF(AMS!I431="","",AMS!I431)</f>
        <v/>
      </c>
      <c r="G411" s="56" t="str">
        <f>IF(AMS!J431="","",AMS!J431)</f>
        <v/>
      </c>
      <c r="H411" s="22" t="str">
        <f t="array" ref="H411">IF(A411&lt;&gt;" ",IFERROR(INDEX(Summary!$G$3:$G$1000,SMALL((Summary!$G$3:$G$1000="")/0.1%+ROW($3:$1000),ROW()-2)-2)&amp;"",""),"")</f>
        <v/>
      </c>
      <c r="I411" s="22" t="str">
        <f t="shared" si="26"/>
        <v/>
      </c>
      <c r="J411" s="22" t="str">
        <f t="shared" si="27"/>
        <v/>
      </c>
    </row>
    <row r="412" spans="1:10">
      <c r="A412" s="56" t="str">
        <f>IF(AMS!H432="","",AMS!H432)</f>
        <v/>
      </c>
      <c r="B412" s="22" t="str">
        <f t="shared" si="24"/>
        <v/>
      </c>
      <c r="C412" s="22" t="str">
        <f t="array" ref="C412">IFERROR(INDEX(Summary!$I$3:$I$1000,SMALL((Summary!$I$3:$I$1000="")/0.1%+ROW($3:$1000),ROW()-2)-2)&amp;"","")</f>
        <v/>
      </c>
      <c r="D412" s="22" t="str">
        <v/>
      </c>
      <c r="E412" s="22" t="str">
        <f t="shared" si="25"/>
        <v/>
      </c>
      <c r="F412" s="56" t="str">
        <f>IF(AMS!I432="","",AMS!I432)</f>
        <v/>
      </c>
      <c r="G412" s="56" t="str">
        <f>IF(AMS!J432="","",AMS!J432)</f>
        <v/>
      </c>
      <c r="H412" s="22" t="str">
        <f t="array" ref="H412">IF(A412&lt;&gt;" ",IFERROR(INDEX(Summary!$G$3:$G$1000,SMALL((Summary!$G$3:$G$1000="")/0.1%+ROW($3:$1000),ROW()-2)-2)&amp;"",""),"")</f>
        <v/>
      </c>
      <c r="I412" s="22" t="str">
        <f t="shared" si="26"/>
        <v/>
      </c>
      <c r="J412" s="22" t="str">
        <f t="shared" si="27"/>
        <v/>
      </c>
    </row>
    <row r="413" spans="1:10">
      <c r="A413" s="56" t="str">
        <f>IF(AMS!H433="","",AMS!H433)</f>
        <v/>
      </c>
      <c r="B413" s="22" t="str">
        <f t="shared" si="24"/>
        <v/>
      </c>
      <c r="C413" s="22" t="str">
        <f t="array" ref="C413">IFERROR(INDEX(Summary!$I$3:$I$1000,SMALL((Summary!$I$3:$I$1000="")/0.1%+ROW($3:$1000),ROW()-2)-2)&amp;"","")</f>
        <v/>
      </c>
      <c r="D413" s="22" t="str">
        <v/>
      </c>
      <c r="E413" s="22" t="str">
        <f t="shared" si="25"/>
        <v/>
      </c>
      <c r="F413" s="56" t="str">
        <f>IF(AMS!I433="","",AMS!I433)</f>
        <v/>
      </c>
      <c r="G413" s="56" t="str">
        <f>IF(AMS!J433="","",AMS!J433)</f>
        <v/>
      </c>
      <c r="H413" s="22" t="str">
        <f t="array" ref="H413">IF(A413&lt;&gt;" ",IFERROR(INDEX(Summary!$G$3:$G$1000,SMALL((Summary!$G$3:$G$1000="")/0.1%+ROW($3:$1000),ROW()-2)-2)&amp;"",""),"")</f>
        <v/>
      </c>
      <c r="I413" s="22" t="str">
        <f t="shared" si="26"/>
        <v/>
      </c>
      <c r="J413" s="22" t="str">
        <f t="shared" si="27"/>
        <v/>
      </c>
    </row>
    <row r="414" spans="1:10">
      <c r="A414" s="56" t="str">
        <f>IF(AMS!H434="","",AMS!H434)</f>
        <v/>
      </c>
      <c r="B414" s="22" t="str">
        <f t="shared" si="24"/>
        <v/>
      </c>
      <c r="C414" s="22" t="str">
        <f t="array" ref="C414">IFERROR(INDEX(Summary!$I$3:$I$1000,SMALL((Summary!$I$3:$I$1000="")/0.1%+ROW($3:$1000),ROW()-2)-2)&amp;"","")</f>
        <v/>
      </c>
      <c r="D414" s="22" t="str">
        <v/>
      </c>
      <c r="E414" s="22" t="str">
        <f t="shared" si="25"/>
        <v/>
      </c>
      <c r="F414" s="56" t="str">
        <f>IF(AMS!I434="","",AMS!I434)</f>
        <v/>
      </c>
      <c r="G414" s="56" t="str">
        <f>IF(AMS!J434="","",AMS!J434)</f>
        <v/>
      </c>
      <c r="H414" s="22" t="str">
        <f t="array" ref="H414">IF(A414&lt;&gt;" ",IFERROR(INDEX(Summary!$G$3:$G$1000,SMALL((Summary!$G$3:$G$1000="")/0.1%+ROW($3:$1000),ROW()-2)-2)&amp;"",""),"")</f>
        <v/>
      </c>
      <c r="I414" s="22" t="str">
        <f t="shared" si="26"/>
        <v/>
      </c>
      <c r="J414" s="22" t="str">
        <f t="shared" si="27"/>
        <v/>
      </c>
    </row>
    <row r="415" spans="1:10">
      <c r="A415" s="56" t="str">
        <f>IF(AMS!H435="","",AMS!H435)</f>
        <v/>
      </c>
      <c r="B415" s="22" t="str">
        <f t="shared" si="24"/>
        <v/>
      </c>
      <c r="C415" s="22" t="str">
        <f t="array" ref="C415">IFERROR(INDEX(Summary!$I$3:$I$1000,SMALL((Summary!$I$3:$I$1000="")/0.1%+ROW($3:$1000),ROW()-2)-2)&amp;"","")</f>
        <v/>
      </c>
      <c r="D415" s="22" t="str">
        <v/>
      </c>
      <c r="E415" s="22" t="str">
        <f t="shared" si="25"/>
        <v/>
      </c>
      <c r="F415" s="56" t="str">
        <f>IF(AMS!I435="","",AMS!I435)</f>
        <v/>
      </c>
      <c r="G415" s="56" t="str">
        <f>IF(AMS!J435="","",AMS!J435)</f>
        <v/>
      </c>
      <c r="H415" s="22" t="str">
        <f t="array" ref="H415">IF(A415&lt;&gt;" ",IFERROR(INDEX(Summary!$G$3:$G$1000,SMALL((Summary!$G$3:$G$1000="")/0.1%+ROW($3:$1000),ROW()-2)-2)&amp;"",""),"")</f>
        <v/>
      </c>
      <c r="I415" s="22" t="str">
        <f t="shared" si="26"/>
        <v/>
      </c>
      <c r="J415" s="22" t="str">
        <f t="shared" si="27"/>
        <v/>
      </c>
    </row>
    <row r="416" spans="1:10">
      <c r="A416" s="56" t="str">
        <f>IF(AMS!H436="","",AMS!H436)</f>
        <v/>
      </c>
      <c r="B416" s="22" t="str">
        <f t="shared" si="24"/>
        <v/>
      </c>
      <c r="C416" s="22" t="str">
        <f t="array" ref="C416">IFERROR(INDEX(Summary!$I$3:$I$1000,SMALL((Summary!$I$3:$I$1000="")/0.1%+ROW($3:$1000),ROW()-2)-2)&amp;"","")</f>
        <v/>
      </c>
      <c r="D416" s="22" t="str">
        <v/>
      </c>
      <c r="E416" s="22" t="str">
        <f t="shared" si="25"/>
        <v/>
      </c>
      <c r="F416" s="56" t="str">
        <f>IF(AMS!I436="","",AMS!I436)</f>
        <v/>
      </c>
      <c r="G416" s="56" t="str">
        <f>IF(AMS!J436="","",AMS!J436)</f>
        <v/>
      </c>
      <c r="H416" s="22" t="str">
        <f t="array" ref="H416">IF(A416&lt;&gt;" ",IFERROR(INDEX(Summary!$G$3:$G$1000,SMALL((Summary!$G$3:$G$1000="")/0.1%+ROW($3:$1000),ROW()-2)-2)&amp;"",""),"")</f>
        <v/>
      </c>
      <c r="I416" s="22" t="str">
        <f t="shared" si="26"/>
        <v/>
      </c>
      <c r="J416" s="22" t="str">
        <f t="shared" si="27"/>
        <v/>
      </c>
    </row>
    <row r="417" spans="1:10">
      <c r="A417" s="56" t="str">
        <f>IF(AMS!H437="","",AMS!H437)</f>
        <v/>
      </c>
      <c r="B417" s="22" t="str">
        <f t="shared" si="24"/>
        <v/>
      </c>
      <c r="C417" s="22" t="str">
        <f t="array" ref="C417">IFERROR(INDEX(Summary!$I$3:$I$1000,SMALL((Summary!$I$3:$I$1000="")/0.1%+ROW($3:$1000),ROW()-2)-2)&amp;"","")</f>
        <v/>
      </c>
      <c r="D417" s="22" t="str">
        <v/>
      </c>
      <c r="E417" s="22" t="str">
        <f t="shared" si="25"/>
        <v/>
      </c>
      <c r="F417" s="56" t="str">
        <f>IF(AMS!I437="","",AMS!I437)</f>
        <v/>
      </c>
      <c r="G417" s="56" t="str">
        <f>IF(AMS!J437="","",AMS!J437)</f>
        <v/>
      </c>
      <c r="H417" s="22" t="str">
        <f t="array" ref="H417">IF(A417&lt;&gt;" ",IFERROR(INDEX(Summary!$G$3:$G$1000,SMALL((Summary!$G$3:$G$1000="")/0.1%+ROW($3:$1000),ROW()-2)-2)&amp;"",""),"")</f>
        <v/>
      </c>
      <c r="I417" s="22" t="str">
        <f t="shared" si="26"/>
        <v/>
      </c>
      <c r="J417" s="22" t="str">
        <f t="shared" si="27"/>
        <v/>
      </c>
    </row>
    <row r="418" spans="1:10">
      <c r="A418" s="56" t="str">
        <f>IF(AMS!H438="","",AMS!H438)</f>
        <v/>
      </c>
      <c r="B418" s="22" t="str">
        <f t="shared" si="24"/>
        <v/>
      </c>
      <c r="C418" s="22" t="str">
        <f t="array" ref="C418">IFERROR(INDEX(Summary!$I$3:$I$1000,SMALL((Summary!$I$3:$I$1000="")/0.1%+ROW($3:$1000),ROW()-2)-2)&amp;"","")</f>
        <v/>
      </c>
      <c r="D418" s="22" t="str">
        <v/>
      </c>
      <c r="E418" s="22" t="str">
        <f t="shared" si="25"/>
        <v/>
      </c>
      <c r="F418" s="56" t="str">
        <f>IF(AMS!I438="","",AMS!I438)</f>
        <v/>
      </c>
      <c r="G418" s="56" t="str">
        <f>IF(AMS!J438="","",AMS!J438)</f>
        <v/>
      </c>
      <c r="H418" s="22" t="str">
        <f t="array" ref="H418">IF(A418&lt;&gt;" ",IFERROR(INDEX(Summary!$G$3:$G$1000,SMALL((Summary!$G$3:$G$1000="")/0.1%+ROW($3:$1000),ROW()-2)-2)&amp;"",""),"")</f>
        <v/>
      </c>
      <c r="I418" s="22" t="str">
        <f t="shared" si="26"/>
        <v/>
      </c>
      <c r="J418" s="22" t="str">
        <f t="shared" si="27"/>
        <v/>
      </c>
    </row>
    <row r="419" spans="1:10">
      <c r="A419" s="56" t="str">
        <f>IF(AMS!H439="","",AMS!H439)</f>
        <v/>
      </c>
      <c r="B419" s="22" t="str">
        <f t="shared" si="24"/>
        <v/>
      </c>
      <c r="C419" s="22" t="str">
        <f t="array" ref="C419">IFERROR(INDEX(Summary!$I$3:$I$1000,SMALL((Summary!$I$3:$I$1000="")/0.1%+ROW($3:$1000),ROW()-2)-2)&amp;"","")</f>
        <v/>
      </c>
      <c r="D419" s="22" t="str">
        <v/>
      </c>
      <c r="E419" s="22" t="str">
        <f t="shared" si="25"/>
        <v/>
      </c>
      <c r="F419" s="56" t="str">
        <f>IF(AMS!I439="","",AMS!I439)</f>
        <v/>
      </c>
      <c r="G419" s="56" t="str">
        <f>IF(AMS!J439="","",AMS!J439)</f>
        <v/>
      </c>
      <c r="H419" s="22" t="str">
        <f t="array" ref="H419">IF(A419&lt;&gt;" ",IFERROR(INDEX(Summary!$G$3:$G$1000,SMALL((Summary!$G$3:$G$1000="")/0.1%+ROW($3:$1000),ROW()-2)-2)&amp;"",""),"")</f>
        <v/>
      </c>
      <c r="I419" s="22" t="str">
        <f t="shared" si="26"/>
        <v/>
      </c>
      <c r="J419" s="22" t="str">
        <f t="shared" si="27"/>
        <v/>
      </c>
    </row>
    <row r="420" spans="1:10">
      <c r="A420" s="56" t="str">
        <f>IF(AMS!H440="","",AMS!H440)</f>
        <v/>
      </c>
      <c r="B420" s="22" t="str">
        <f t="shared" si="24"/>
        <v/>
      </c>
      <c r="C420" s="22" t="str">
        <f t="array" ref="C420">IFERROR(INDEX(Summary!$I$3:$I$1000,SMALL((Summary!$I$3:$I$1000="")/0.1%+ROW($3:$1000),ROW()-2)-2)&amp;"","")</f>
        <v/>
      </c>
      <c r="D420" s="22" t="str">
        <v/>
      </c>
      <c r="E420" s="22" t="str">
        <f t="shared" si="25"/>
        <v/>
      </c>
      <c r="F420" s="56" t="str">
        <f>IF(AMS!I440="","",AMS!I440)</f>
        <v/>
      </c>
      <c r="G420" s="56" t="str">
        <f>IF(AMS!J440="","",AMS!J440)</f>
        <v/>
      </c>
      <c r="H420" s="22" t="str">
        <f t="array" ref="H420">IF(A420&lt;&gt;" ",IFERROR(INDEX(Summary!$G$3:$G$1000,SMALL((Summary!$G$3:$G$1000="")/0.1%+ROW($3:$1000),ROW()-2)-2)&amp;"",""),"")</f>
        <v/>
      </c>
      <c r="I420" s="22" t="str">
        <f t="shared" si="26"/>
        <v/>
      </c>
      <c r="J420" s="22" t="str">
        <f t="shared" si="27"/>
        <v/>
      </c>
    </row>
    <row r="421" spans="1:10">
      <c r="A421" s="56" t="str">
        <f>IF(AMS!H441="","",AMS!H441)</f>
        <v/>
      </c>
      <c r="B421" s="22" t="str">
        <f t="shared" si="24"/>
        <v/>
      </c>
      <c r="C421" s="22" t="str">
        <f t="array" ref="C421">IFERROR(INDEX(Summary!$I$3:$I$1000,SMALL((Summary!$I$3:$I$1000="")/0.1%+ROW($3:$1000),ROW()-2)-2)&amp;"","")</f>
        <v/>
      </c>
      <c r="D421" s="22" t="str">
        <v/>
      </c>
      <c r="E421" s="22" t="str">
        <f t="shared" si="25"/>
        <v/>
      </c>
      <c r="F421" s="56" t="str">
        <f>IF(AMS!I441="","",AMS!I441)</f>
        <v/>
      </c>
      <c r="G421" s="56" t="str">
        <f>IF(AMS!J441="","",AMS!J441)</f>
        <v/>
      </c>
      <c r="H421" s="22" t="str">
        <f t="array" ref="H421">IF(A421&lt;&gt;" ",IFERROR(INDEX(Summary!$G$3:$G$1000,SMALL((Summary!$G$3:$G$1000="")/0.1%+ROW($3:$1000),ROW()-2)-2)&amp;"",""),"")</f>
        <v/>
      </c>
      <c r="I421" s="22" t="str">
        <f t="shared" si="26"/>
        <v/>
      </c>
      <c r="J421" s="22" t="str">
        <f t="shared" si="27"/>
        <v/>
      </c>
    </row>
    <row r="422" spans="1:10">
      <c r="A422" s="56" t="str">
        <f>IF(AMS!H442="","",AMS!H442)</f>
        <v/>
      </c>
      <c r="B422" s="22" t="str">
        <f t="shared" si="24"/>
        <v/>
      </c>
      <c r="C422" s="22" t="str">
        <f t="array" ref="C422">IFERROR(INDEX(Summary!$I$3:$I$1000,SMALL((Summary!$I$3:$I$1000="")/0.1%+ROW($3:$1000),ROW()-2)-2)&amp;"","")</f>
        <v/>
      </c>
      <c r="D422" s="22" t="str">
        <v/>
      </c>
      <c r="E422" s="22" t="str">
        <f t="shared" si="25"/>
        <v/>
      </c>
      <c r="F422" s="56" t="str">
        <f>IF(AMS!I442="","",AMS!I442)</f>
        <v/>
      </c>
      <c r="G422" s="56" t="str">
        <f>IF(AMS!J442="","",AMS!J442)</f>
        <v/>
      </c>
      <c r="H422" s="22" t="str">
        <f t="array" ref="H422">IF(A422&lt;&gt;" ",IFERROR(INDEX(Summary!$G$3:$G$1000,SMALL((Summary!$G$3:$G$1000="")/0.1%+ROW($3:$1000),ROW()-2)-2)&amp;"",""),"")</f>
        <v/>
      </c>
      <c r="I422" s="22" t="str">
        <f t="shared" si="26"/>
        <v/>
      </c>
      <c r="J422" s="22" t="str">
        <f t="shared" si="27"/>
        <v/>
      </c>
    </row>
    <row r="423" spans="1:10">
      <c r="A423" s="56" t="str">
        <f>IF(AMS!H443="","",AMS!H443)</f>
        <v/>
      </c>
      <c r="B423" s="22" t="str">
        <f t="shared" si="24"/>
        <v/>
      </c>
      <c r="C423" s="22" t="str">
        <f t="array" ref="C423">IFERROR(INDEX(Summary!$I$3:$I$1000,SMALL((Summary!$I$3:$I$1000="")/0.1%+ROW($3:$1000),ROW()-2)-2)&amp;"","")</f>
        <v/>
      </c>
      <c r="D423" s="22" t="str">
        <v/>
      </c>
      <c r="E423" s="22" t="str">
        <f t="shared" si="25"/>
        <v/>
      </c>
      <c r="F423" s="56" t="str">
        <f>IF(AMS!I443="","",AMS!I443)</f>
        <v/>
      </c>
      <c r="G423" s="56" t="str">
        <f>IF(AMS!J443="","",AMS!J443)</f>
        <v/>
      </c>
      <c r="H423" s="22" t="str">
        <f t="array" ref="H423">IF(A423&lt;&gt;" ",IFERROR(INDEX(Summary!$G$3:$G$1000,SMALL((Summary!$G$3:$G$1000="")/0.1%+ROW($3:$1000),ROW()-2)-2)&amp;"",""),"")</f>
        <v/>
      </c>
      <c r="I423" s="22" t="str">
        <f t="shared" si="26"/>
        <v/>
      </c>
      <c r="J423" s="22" t="str">
        <f t="shared" si="27"/>
        <v/>
      </c>
    </row>
    <row r="424" spans="1:10">
      <c r="A424" s="56" t="str">
        <f>IF(AMS!H444="","",AMS!H444)</f>
        <v/>
      </c>
      <c r="B424" s="22" t="str">
        <f t="shared" si="24"/>
        <v/>
      </c>
      <c r="C424" s="22" t="str">
        <f t="array" ref="C424">IFERROR(INDEX(Summary!$I$3:$I$1000,SMALL((Summary!$I$3:$I$1000="")/0.1%+ROW($3:$1000),ROW()-2)-2)&amp;"","")</f>
        <v/>
      </c>
      <c r="D424" s="22" t="str">
        <v/>
      </c>
      <c r="E424" s="22" t="str">
        <f t="shared" si="25"/>
        <v/>
      </c>
      <c r="F424" s="56" t="str">
        <f>IF(AMS!I444="","",AMS!I444)</f>
        <v/>
      </c>
      <c r="G424" s="56" t="str">
        <f>IF(AMS!J444="","",AMS!J444)</f>
        <v/>
      </c>
      <c r="H424" s="22" t="str">
        <f t="array" ref="H424">IF(A424&lt;&gt;" ",IFERROR(INDEX(Summary!$G$3:$G$1000,SMALL((Summary!$G$3:$G$1000="")/0.1%+ROW($3:$1000),ROW()-2)-2)&amp;"",""),"")</f>
        <v/>
      </c>
      <c r="I424" s="22" t="str">
        <f t="shared" si="26"/>
        <v/>
      </c>
      <c r="J424" s="22" t="str">
        <f t="shared" si="27"/>
        <v/>
      </c>
    </row>
    <row r="425" spans="1:10">
      <c r="A425" s="56" t="str">
        <f>IF(AMS!H445="","",AMS!H445)</f>
        <v/>
      </c>
      <c r="B425" s="22" t="str">
        <f t="shared" si="24"/>
        <v/>
      </c>
      <c r="C425" s="22" t="str">
        <f t="array" ref="C425">IFERROR(INDEX(Summary!$I$3:$I$1000,SMALL((Summary!$I$3:$I$1000="")/0.1%+ROW($3:$1000),ROW()-2)-2)&amp;"","")</f>
        <v/>
      </c>
      <c r="D425" s="22" t="str">
        <v/>
      </c>
      <c r="E425" s="22" t="str">
        <f t="shared" si="25"/>
        <v/>
      </c>
      <c r="F425" s="56" t="str">
        <f>IF(AMS!I445="","",AMS!I445)</f>
        <v/>
      </c>
      <c r="G425" s="56" t="str">
        <f>IF(AMS!J445="","",AMS!J445)</f>
        <v/>
      </c>
      <c r="H425" s="22" t="str">
        <f t="array" ref="H425">IF(A425&lt;&gt;" ",IFERROR(INDEX(Summary!$G$3:$G$1000,SMALL((Summary!$G$3:$G$1000="")/0.1%+ROW($3:$1000),ROW()-2)-2)&amp;"",""),"")</f>
        <v/>
      </c>
      <c r="I425" s="22" t="str">
        <f t="shared" si="26"/>
        <v/>
      </c>
      <c r="J425" s="22" t="str">
        <f t="shared" si="27"/>
        <v/>
      </c>
    </row>
    <row r="426" spans="1:10">
      <c r="A426" s="56" t="str">
        <f>IF(AMS!H446="","",AMS!H446)</f>
        <v/>
      </c>
      <c r="B426" s="22" t="str">
        <f t="shared" si="24"/>
        <v/>
      </c>
      <c r="C426" s="22" t="str">
        <f t="array" ref="C426">IFERROR(INDEX(Summary!$I$3:$I$1000,SMALL((Summary!$I$3:$I$1000="")/0.1%+ROW($3:$1000),ROW()-2)-2)&amp;"","")</f>
        <v/>
      </c>
      <c r="D426" s="22" t="str">
        <v/>
      </c>
      <c r="E426" s="22" t="str">
        <f t="shared" si="25"/>
        <v/>
      </c>
      <c r="F426" s="56" t="str">
        <f>IF(AMS!I446="","",AMS!I446)</f>
        <v/>
      </c>
      <c r="G426" s="56" t="str">
        <f>IF(AMS!J446="","",AMS!J446)</f>
        <v/>
      </c>
      <c r="H426" s="22" t="str">
        <f t="array" ref="H426">IF(A426&lt;&gt;" ",IFERROR(INDEX(Summary!$G$3:$G$1000,SMALL((Summary!$G$3:$G$1000="")/0.1%+ROW($3:$1000),ROW()-2)-2)&amp;"",""),"")</f>
        <v/>
      </c>
      <c r="I426" s="22" t="str">
        <f t="shared" si="26"/>
        <v/>
      </c>
      <c r="J426" s="22" t="str">
        <f t="shared" si="27"/>
        <v/>
      </c>
    </row>
    <row r="427" spans="1:10">
      <c r="A427" s="56" t="str">
        <f>IF(AMS!H447="","",AMS!H447)</f>
        <v/>
      </c>
      <c r="B427" s="22" t="str">
        <f t="shared" si="24"/>
        <v/>
      </c>
      <c r="C427" s="22" t="str">
        <f t="array" ref="C427">IFERROR(INDEX(Summary!$I$3:$I$1000,SMALL((Summary!$I$3:$I$1000="")/0.1%+ROW($3:$1000),ROW()-2)-2)&amp;"","")</f>
        <v/>
      </c>
      <c r="D427" s="22" t="str">
        <v/>
      </c>
      <c r="E427" s="22" t="str">
        <f t="shared" si="25"/>
        <v/>
      </c>
      <c r="F427" s="56" t="str">
        <f>IF(AMS!I447="","",AMS!I447)</f>
        <v/>
      </c>
      <c r="G427" s="56" t="str">
        <f>IF(AMS!J447="","",AMS!J447)</f>
        <v/>
      </c>
      <c r="H427" s="22" t="str">
        <f t="array" ref="H427">IF(A427&lt;&gt;" ",IFERROR(INDEX(Summary!$G$3:$G$1000,SMALL((Summary!$G$3:$G$1000="")/0.1%+ROW($3:$1000),ROW()-2)-2)&amp;"",""),"")</f>
        <v/>
      </c>
      <c r="I427" s="22" t="str">
        <f t="shared" si="26"/>
        <v/>
      </c>
      <c r="J427" s="22" t="str">
        <f t="shared" si="27"/>
        <v/>
      </c>
    </row>
    <row r="428" spans="1:10">
      <c r="A428" s="56" t="str">
        <f>IF(AMS!H448="","",AMS!H448)</f>
        <v/>
      </c>
      <c r="B428" s="22" t="str">
        <f t="shared" si="24"/>
        <v/>
      </c>
      <c r="C428" s="22" t="str">
        <f t="array" ref="C428">IFERROR(INDEX(Summary!$I$3:$I$1000,SMALL((Summary!$I$3:$I$1000="")/0.1%+ROW($3:$1000),ROW()-2)-2)&amp;"","")</f>
        <v/>
      </c>
      <c r="D428" s="22" t="str">
        <v/>
      </c>
      <c r="E428" s="22" t="str">
        <f t="shared" si="25"/>
        <v/>
      </c>
      <c r="F428" s="56" t="str">
        <f>IF(AMS!I448="","",AMS!I448)</f>
        <v/>
      </c>
      <c r="G428" s="56" t="str">
        <f>IF(AMS!J448="","",AMS!J448)</f>
        <v/>
      </c>
      <c r="H428" s="22" t="str">
        <f t="array" ref="H428">IF(A428&lt;&gt;" ",IFERROR(INDEX(Summary!$G$3:$G$1000,SMALL((Summary!$G$3:$G$1000="")/0.1%+ROW($3:$1000),ROW()-2)-2)&amp;"",""),"")</f>
        <v/>
      </c>
      <c r="I428" s="22" t="str">
        <f t="shared" si="26"/>
        <v/>
      </c>
      <c r="J428" s="22" t="str">
        <f t="shared" si="27"/>
        <v/>
      </c>
    </row>
    <row r="429" spans="1:10">
      <c r="A429" s="56" t="str">
        <f>IF(AMS!H449="","",AMS!H449)</f>
        <v/>
      </c>
      <c r="B429" s="22" t="str">
        <f t="shared" si="24"/>
        <v/>
      </c>
      <c r="C429" s="22" t="str">
        <f t="array" ref="C429">IFERROR(INDEX(Summary!$I$3:$I$1000,SMALL((Summary!$I$3:$I$1000="")/0.1%+ROW($3:$1000),ROW()-2)-2)&amp;"","")</f>
        <v/>
      </c>
      <c r="D429" s="22" t="str">
        <v/>
      </c>
      <c r="E429" s="22" t="str">
        <f t="shared" si="25"/>
        <v/>
      </c>
      <c r="F429" s="56" t="str">
        <f>IF(AMS!I449="","",AMS!I449)</f>
        <v/>
      </c>
      <c r="G429" s="56" t="str">
        <f>IF(AMS!J449="","",AMS!J449)</f>
        <v/>
      </c>
      <c r="H429" s="22" t="str">
        <f t="array" ref="H429">IF(A429&lt;&gt;" ",IFERROR(INDEX(Summary!$G$3:$G$1000,SMALL((Summary!$G$3:$G$1000="")/0.1%+ROW($3:$1000),ROW()-2)-2)&amp;"",""),"")</f>
        <v/>
      </c>
      <c r="I429" s="22" t="str">
        <f t="shared" si="26"/>
        <v/>
      </c>
      <c r="J429" s="22" t="str">
        <f t="shared" si="27"/>
        <v/>
      </c>
    </row>
    <row r="430" spans="1:10">
      <c r="A430" s="56" t="str">
        <f>IF(AMS!H450="","",AMS!H450)</f>
        <v/>
      </c>
      <c r="B430" s="22" t="str">
        <f t="shared" si="24"/>
        <v/>
      </c>
      <c r="C430" s="22" t="str">
        <f t="array" ref="C430">IFERROR(INDEX(Summary!$I$3:$I$1000,SMALL((Summary!$I$3:$I$1000="")/0.1%+ROW($3:$1000),ROW()-2)-2)&amp;"","")</f>
        <v/>
      </c>
      <c r="D430" s="22" t="str">
        <v/>
      </c>
      <c r="E430" s="22" t="str">
        <f t="shared" si="25"/>
        <v/>
      </c>
      <c r="F430" s="56" t="str">
        <f>IF(AMS!I450="","",AMS!I450)</f>
        <v/>
      </c>
      <c r="G430" s="56" t="str">
        <f>IF(AMS!J450="","",AMS!J450)</f>
        <v/>
      </c>
      <c r="H430" s="22" t="str">
        <f t="array" ref="H430">IF(A430&lt;&gt;" ",IFERROR(INDEX(Summary!$G$3:$G$1000,SMALL((Summary!$G$3:$G$1000="")/0.1%+ROW($3:$1000),ROW()-2)-2)&amp;"",""),"")</f>
        <v/>
      </c>
      <c r="I430" s="22" t="str">
        <f t="shared" si="26"/>
        <v/>
      </c>
      <c r="J430" s="22" t="str">
        <f t="shared" si="27"/>
        <v/>
      </c>
    </row>
    <row r="431" spans="1:10">
      <c r="A431" s="56" t="str">
        <f>IF(AMS!H451="","",AMS!H451)</f>
        <v/>
      </c>
      <c r="B431" s="22" t="str">
        <f t="shared" si="24"/>
        <v/>
      </c>
      <c r="C431" s="22" t="str">
        <f t="array" ref="C431">IFERROR(INDEX(Summary!$I$3:$I$1000,SMALL((Summary!$I$3:$I$1000="")/0.1%+ROW($3:$1000),ROW()-2)-2)&amp;"","")</f>
        <v/>
      </c>
      <c r="D431" s="22" t="str">
        <v/>
      </c>
      <c r="E431" s="22" t="str">
        <f t="shared" si="25"/>
        <v/>
      </c>
      <c r="F431" s="56" t="str">
        <f>IF(AMS!I451="","",AMS!I451)</f>
        <v/>
      </c>
      <c r="G431" s="56" t="str">
        <f>IF(AMS!J451="","",AMS!J451)</f>
        <v/>
      </c>
      <c r="H431" s="22" t="str">
        <f t="array" ref="H431">IF(A431&lt;&gt;" ",IFERROR(INDEX(Summary!$G$3:$G$1000,SMALL((Summary!$G$3:$G$1000="")/0.1%+ROW($3:$1000),ROW()-2)-2)&amp;"",""),"")</f>
        <v/>
      </c>
      <c r="I431" s="22" t="str">
        <f t="shared" si="26"/>
        <v/>
      </c>
      <c r="J431" s="22" t="str">
        <f t="shared" si="27"/>
        <v/>
      </c>
    </row>
    <row r="432" spans="1:10">
      <c r="A432" s="56" t="str">
        <f>IF(AMS!H452="","",AMS!H452)</f>
        <v/>
      </c>
      <c r="B432" s="22" t="str">
        <f t="shared" si="24"/>
        <v/>
      </c>
      <c r="C432" s="22" t="str">
        <f t="array" ref="C432">IFERROR(INDEX(Summary!$I$3:$I$1000,SMALL((Summary!$I$3:$I$1000="")/0.1%+ROW($3:$1000),ROW()-2)-2)&amp;"","")</f>
        <v/>
      </c>
      <c r="D432" s="22" t="str">
        <v/>
      </c>
      <c r="E432" s="22" t="str">
        <f t="shared" si="25"/>
        <v/>
      </c>
      <c r="F432" s="56" t="str">
        <f>IF(AMS!I452="","",AMS!I452)</f>
        <v/>
      </c>
      <c r="G432" s="56" t="str">
        <f>IF(AMS!J452="","",AMS!J452)</f>
        <v/>
      </c>
      <c r="H432" s="22" t="str">
        <f t="array" ref="H432">IF(A432&lt;&gt;" ",IFERROR(INDEX(Summary!$G$3:$G$1000,SMALL((Summary!$G$3:$G$1000="")/0.1%+ROW($3:$1000),ROW()-2)-2)&amp;"",""),"")</f>
        <v/>
      </c>
      <c r="I432" s="22" t="str">
        <f t="shared" si="26"/>
        <v/>
      </c>
      <c r="J432" s="22" t="str">
        <f t="shared" si="27"/>
        <v/>
      </c>
    </row>
    <row r="433" spans="1:10">
      <c r="A433" s="56" t="str">
        <f>IF(AMS!H453="","",AMS!H453)</f>
        <v/>
      </c>
      <c r="B433" s="22" t="str">
        <f t="shared" si="24"/>
        <v/>
      </c>
      <c r="C433" s="22" t="str">
        <f t="array" ref="C433">IFERROR(INDEX(Summary!$I$3:$I$1000,SMALL((Summary!$I$3:$I$1000="")/0.1%+ROW($3:$1000),ROW()-2)-2)&amp;"","")</f>
        <v/>
      </c>
      <c r="D433" s="22" t="str">
        <v/>
      </c>
      <c r="E433" s="22" t="str">
        <f t="shared" si="25"/>
        <v/>
      </c>
      <c r="F433" s="56" t="str">
        <f>IF(AMS!I453="","",AMS!I453)</f>
        <v/>
      </c>
      <c r="G433" s="56" t="str">
        <f>IF(AMS!J453="","",AMS!J453)</f>
        <v/>
      </c>
      <c r="H433" s="22" t="str">
        <f t="array" ref="H433">IF(A433&lt;&gt;" ",IFERROR(INDEX(Summary!$G$3:$G$1000,SMALL((Summary!$G$3:$G$1000="")/0.1%+ROW($3:$1000),ROW()-2)-2)&amp;"",""),"")</f>
        <v/>
      </c>
      <c r="I433" s="22" t="str">
        <f t="shared" si="26"/>
        <v/>
      </c>
      <c r="J433" s="22" t="str">
        <f t="shared" si="27"/>
        <v/>
      </c>
    </row>
    <row r="434" spans="1:10">
      <c r="A434" s="56" t="str">
        <f>IF(AMS!H454="","",AMS!H454)</f>
        <v/>
      </c>
      <c r="B434" s="22" t="str">
        <f t="shared" si="24"/>
        <v/>
      </c>
      <c r="C434" s="22" t="str">
        <f t="array" ref="C434">IFERROR(INDEX(Summary!$I$3:$I$1000,SMALL((Summary!$I$3:$I$1000="")/0.1%+ROW($3:$1000),ROW()-2)-2)&amp;"","")</f>
        <v/>
      </c>
      <c r="D434" s="22" t="str">
        <v/>
      </c>
      <c r="E434" s="22" t="str">
        <f t="shared" si="25"/>
        <v/>
      </c>
      <c r="F434" s="56" t="str">
        <f>IF(AMS!I454="","",AMS!I454)</f>
        <v/>
      </c>
      <c r="G434" s="56" t="str">
        <f>IF(AMS!J454="","",AMS!J454)</f>
        <v/>
      </c>
      <c r="H434" s="22" t="str">
        <f t="array" ref="H434">IF(A434&lt;&gt;" ",IFERROR(INDEX(Summary!$G$3:$G$1000,SMALL((Summary!$G$3:$G$1000="")/0.1%+ROW($3:$1000),ROW()-2)-2)&amp;"",""),"")</f>
        <v/>
      </c>
      <c r="I434" s="22" t="str">
        <f t="shared" si="26"/>
        <v/>
      </c>
      <c r="J434" s="22" t="str">
        <f t="shared" si="27"/>
        <v/>
      </c>
    </row>
    <row r="435" spans="1:10">
      <c r="A435" s="56" t="str">
        <f>IF(AMS!H455="","",AMS!H455)</f>
        <v/>
      </c>
      <c r="B435" s="22" t="str">
        <f t="shared" si="24"/>
        <v/>
      </c>
      <c r="C435" s="22" t="str">
        <f t="array" ref="C435">IFERROR(INDEX(Summary!$I$3:$I$1000,SMALL((Summary!$I$3:$I$1000="")/0.1%+ROW($3:$1000),ROW()-2)-2)&amp;"","")</f>
        <v/>
      </c>
      <c r="D435" s="22" t="str">
        <v/>
      </c>
      <c r="E435" s="22" t="str">
        <f t="shared" si="25"/>
        <v/>
      </c>
      <c r="F435" s="56" t="str">
        <f>IF(AMS!I455="","",AMS!I455)</f>
        <v/>
      </c>
      <c r="G435" s="56" t="str">
        <f>IF(AMS!J455="","",AMS!J455)</f>
        <v/>
      </c>
      <c r="H435" s="22" t="str">
        <f t="array" ref="H435">IF(A435&lt;&gt;" ",IFERROR(INDEX(Summary!$G$3:$G$1000,SMALL((Summary!$G$3:$G$1000="")/0.1%+ROW($3:$1000),ROW()-2)-2)&amp;"",""),"")</f>
        <v/>
      </c>
      <c r="I435" s="22" t="str">
        <f t="shared" si="26"/>
        <v/>
      </c>
      <c r="J435" s="22" t="str">
        <f t="shared" si="27"/>
        <v/>
      </c>
    </row>
    <row r="436" spans="1:10">
      <c r="A436" s="56" t="str">
        <f>IF(AMS!H456="","",AMS!H456)</f>
        <v/>
      </c>
      <c r="B436" s="22" t="str">
        <f t="shared" si="24"/>
        <v/>
      </c>
      <c r="C436" s="22" t="str">
        <f t="array" ref="C436">IFERROR(INDEX(Summary!$I$3:$I$1000,SMALL((Summary!$I$3:$I$1000="")/0.1%+ROW($3:$1000),ROW()-2)-2)&amp;"","")</f>
        <v/>
      </c>
      <c r="D436" s="22" t="str">
        <v/>
      </c>
      <c r="E436" s="22" t="str">
        <f t="shared" si="25"/>
        <v/>
      </c>
      <c r="F436" s="56" t="str">
        <f>IF(AMS!I456="","",AMS!I456)</f>
        <v/>
      </c>
      <c r="G436" s="56" t="str">
        <f>IF(AMS!J456="","",AMS!J456)</f>
        <v/>
      </c>
      <c r="H436" s="22" t="str">
        <f t="array" ref="H436">IF(A436&lt;&gt;" ",IFERROR(INDEX(Summary!$G$3:$G$1000,SMALL((Summary!$G$3:$G$1000="")/0.1%+ROW($3:$1000),ROW()-2)-2)&amp;"",""),"")</f>
        <v/>
      </c>
      <c r="I436" s="22" t="str">
        <f t="shared" si="26"/>
        <v/>
      </c>
      <c r="J436" s="22" t="str">
        <f t="shared" si="27"/>
        <v/>
      </c>
    </row>
    <row r="437" spans="1:10">
      <c r="A437" s="56" t="str">
        <f>IF(AMS!H457="","",AMS!H457)</f>
        <v/>
      </c>
      <c r="B437" s="22" t="str">
        <f t="shared" si="24"/>
        <v/>
      </c>
      <c r="C437" s="22" t="str">
        <f t="array" ref="C437">IFERROR(INDEX(Summary!$I$3:$I$1000,SMALL((Summary!$I$3:$I$1000="")/0.1%+ROW($3:$1000),ROW()-2)-2)&amp;"","")</f>
        <v/>
      </c>
      <c r="D437" s="22" t="str">
        <v/>
      </c>
      <c r="E437" s="22" t="str">
        <f t="shared" si="25"/>
        <v/>
      </c>
      <c r="F437" s="56" t="str">
        <f>IF(AMS!I457="","",AMS!I457)</f>
        <v/>
      </c>
      <c r="G437" s="56" t="str">
        <f>IF(AMS!J457="","",AMS!J457)</f>
        <v/>
      </c>
      <c r="H437" s="22" t="str">
        <f t="array" ref="H437">IF(A437&lt;&gt;" ",IFERROR(INDEX(Summary!$G$3:$G$1000,SMALL((Summary!$G$3:$G$1000="")/0.1%+ROW($3:$1000),ROW()-2)-2)&amp;"",""),"")</f>
        <v/>
      </c>
      <c r="I437" s="22" t="str">
        <f t="shared" si="26"/>
        <v/>
      </c>
      <c r="J437" s="22" t="str">
        <f t="shared" si="27"/>
        <v/>
      </c>
    </row>
    <row r="438" spans="1:10">
      <c r="A438" s="56" t="str">
        <f>IF(AMS!H458="","",AMS!H458)</f>
        <v/>
      </c>
      <c r="B438" s="22" t="str">
        <f t="shared" si="24"/>
        <v/>
      </c>
      <c r="C438" s="22" t="str">
        <f t="array" ref="C438">IFERROR(INDEX(Summary!$I$3:$I$1000,SMALL((Summary!$I$3:$I$1000="")/0.1%+ROW($3:$1000),ROW()-2)-2)&amp;"","")</f>
        <v/>
      </c>
      <c r="D438" s="22" t="str">
        <v/>
      </c>
      <c r="E438" s="22" t="str">
        <f t="shared" si="25"/>
        <v/>
      </c>
      <c r="F438" s="56" t="str">
        <f>IF(AMS!I458="","",AMS!I458)</f>
        <v/>
      </c>
      <c r="G438" s="56" t="str">
        <f>IF(AMS!J458="","",AMS!J458)</f>
        <v/>
      </c>
      <c r="H438" s="22" t="str">
        <f t="array" ref="H438">IF(A438&lt;&gt;" ",IFERROR(INDEX(Summary!$G$3:$G$1000,SMALL((Summary!$G$3:$G$1000="")/0.1%+ROW($3:$1000),ROW()-2)-2)&amp;"",""),"")</f>
        <v/>
      </c>
      <c r="I438" s="22" t="str">
        <f t="shared" si="26"/>
        <v/>
      </c>
      <c r="J438" s="22" t="str">
        <f t="shared" si="27"/>
        <v/>
      </c>
    </row>
    <row r="439" spans="1:10">
      <c r="A439" s="56" t="str">
        <f>IF(AMS!H459="","",AMS!H459)</f>
        <v/>
      </c>
      <c r="B439" s="22" t="str">
        <f t="shared" si="24"/>
        <v/>
      </c>
      <c r="C439" s="22" t="str">
        <f t="array" ref="C439">IFERROR(INDEX(Summary!$I$3:$I$1000,SMALL((Summary!$I$3:$I$1000="")/0.1%+ROW($3:$1000),ROW()-2)-2)&amp;"","")</f>
        <v/>
      </c>
      <c r="D439" s="22" t="str">
        <v/>
      </c>
      <c r="E439" s="22" t="str">
        <f t="shared" si="25"/>
        <v/>
      </c>
      <c r="F439" s="56" t="str">
        <f>IF(AMS!I459="","",AMS!I459)</f>
        <v/>
      </c>
      <c r="G439" s="56" t="str">
        <f>IF(AMS!J459="","",AMS!J459)</f>
        <v/>
      </c>
      <c r="H439" s="22" t="str">
        <f t="array" ref="H439">IF(A439&lt;&gt;" ",IFERROR(INDEX(Summary!$G$3:$G$1000,SMALL((Summary!$G$3:$G$1000="")/0.1%+ROW($3:$1000),ROW()-2)-2)&amp;"",""),"")</f>
        <v/>
      </c>
      <c r="I439" s="22" t="str">
        <f t="shared" si="26"/>
        <v/>
      </c>
      <c r="J439" s="22" t="str">
        <f t="shared" si="27"/>
        <v/>
      </c>
    </row>
    <row r="440" spans="1:10">
      <c r="A440" s="56" t="str">
        <f>IF(AMS!H460="","",AMS!H460)</f>
        <v/>
      </c>
      <c r="B440" s="22" t="str">
        <f t="shared" si="24"/>
        <v/>
      </c>
      <c r="C440" s="22" t="str">
        <f t="array" ref="C440">IFERROR(INDEX(Summary!$I$3:$I$1000,SMALL((Summary!$I$3:$I$1000="")/0.1%+ROW($3:$1000),ROW()-2)-2)&amp;"","")</f>
        <v/>
      </c>
      <c r="D440" s="22" t="str">
        <v/>
      </c>
      <c r="E440" s="22" t="str">
        <f t="shared" si="25"/>
        <v/>
      </c>
      <c r="F440" s="56" t="str">
        <f>IF(AMS!I460="","",AMS!I460)</f>
        <v/>
      </c>
      <c r="G440" s="56" t="str">
        <f>IF(AMS!J460="","",AMS!J460)</f>
        <v/>
      </c>
      <c r="H440" s="22" t="str">
        <f t="array" ref="H440">IF(A440&lt;&gt;" ",IFERROR(INDEX(Summary!$G$3:$G$1000,SMALL((Summary!$G$3:$G$1000="")/0.1%+ROW($3:$1000),ROW()-2)-2)&amp;"",""),"")</f>
        <v/>
      </c>
      <c r="I440" s="22" t="str">
        <f t="shared" si="26"/>
        <v/>
      </c>
      <c r="J440" s="22" t="str">
        <f t="shared" si="27"/>
        <v/>
      </c>
    </row>
    <row r="441" spans="1:10">
      <c r="A441" s="56" t="str">
        <f>IF(AMS!H461="","",AMS!H461)</f>
        <v/>
      </c>
      <c r="B441" s="22" t="str">
        <f t="shared" si="24"/>
        <v/>
      </c>
      <c r="C441" s="22" t="str">
        <f t="array" ref="C441">IFERROR(INDEX(Summary!$I$3:$I$1000,SMALL((Summary!$I$3:$I$1000="")/0.1%+ROW($3:$1000),ROW()-2)-2)&amp;"","")</f>
        <v/>
      </c>
      <c r="D441" s="22" t="str">
        <v/>
      </c>
      <c r="E441" s="22" t="str">
        <f t="shared" si="25"/>
        <v/>
      </c>
      <c r="F441" s="56" t="str">
        <f>IF(AMS!I461="","",AMS!I461)</f>
        <v/>
      </c>
      <c r="G441" s="56" t="str">
        <f>IF(AMS!J461="","",AMS!J461)</f>
        <v/>
      </c>
      <c r="H441" s="22" t="str">
        <f t="array" ref="H441">IF(A441&lt;&gt;" ",IFERROR(INDEX(Summary!$G$3:$G$1000,SMALL((Summary!$G$3:$G$1000="")/0.1%+ROW($3:$1000),ROW()-2)-2)&amp;"",""),"")</f>
        <v/>
      </c>
      <c r="I441" s="22" t="str">
        <f t="shared" si="26"/>
        <v/>
      </c>
      <c r="J441" s="22" t="str">
        <f t="shared" si="27"/>
        <v/>
      </c>
    </row>
    <row r="442" spans="1:10">
      <c r="A442" s="56" t="str">
        <f>IF(AMS!H462="","",AMS!H462)</f>
        <v/>
      </c>
      <c r="B442" s="22" t="str">
        <f t="shared" si="24"/>
        <v/>
      </c>
      <c r="C442" s="22" t="str">
        <f t="array" ref="C442">IFERROR(INDEX(Summary!$I$3:$I$1000,SMALL((Summary!$I$3:$I$1000="")/0.1%+ROW($3:$1000),ROW()-2)-2)&amp;"","")</f>
        <v/>
      </c>
      <c r="D442" s="22" t="str">
        <v/>
      </c>
      <c r="E442" s="22" t="str">
        <f t="shared" si="25"/>
        <v/>
      </c>
      <c r="F442" s="56" t="str">
        <f>IF(AMS!I462="","",AMS!I462)</f>
        <v/>
      </c>
      <c r="G442" s="56" t="str">
        <f>IF(AMS!J462="","",AMS!J462)</f>
        <v/>
      </c>
      <c r="H442" s="22" t="str">
        <f t="array" ref="H442">IF(A442&lt;&gt;" ",IFERROR(INDEX(Summary!$G$3:$G$1000,SMALL((Summary!$G$3:$G$1000="")/0.1%+ROW($3:$1000),ROW()-2)-2)&amp;"",""),"")</f>
        <v/>
      </c>
      <c r="I442" s="22" t="str">
        <f t="shared" si="26"/>
        <v/>
      </c>
      <c r="J442" s="22" t="str">
        <f t="shared" si="27"/>
        <v/>
      </c>
    </row>
    <row r="443" spans="1:10">
      <c r="A443" s="56" t="str">
        <f>IF(AMS!H463="","",AMS!H463)</f>
        <v/>
      </c>
      <c r="B443" s="22" t="str">
        <f t="shared" si="24"/>
        <v/>
      </c>
      <c r="C443" s="22" t="str">
        <f t="array" ref="C443">IFERROR(INDEX(Summary!$I$3:$I$1000,SMALL((Summary!$I$3:$I$1000="")/0.1%+ROW($3:$1000),ROW()-2)-2)&amp;"","")</f>
        <v/>
      </c>
      <c r="D443" s="22" t="str">
        <v/>
      </c>
      <c r="E443" s="22" t="str">
        <f t="shared" si="25"/>
        <v/>
      </c>
      <c r="F443" s="56" t="str">
        <f>IF(AMS!I463="","",AMS!I463)</f>
        <v/>
      </c>
      <c r="G443" s="56" t="str">
        <f>IF(AMS!J463="","",AMS!J463)</f>
        <v/>
      </c>
      <c r="H443" s="22" t="str">
        <f t="array" ref="H443">IF(A443&lt;&gt;" ",IFERROR(INDEX(Summary!$G$3:$G$1000,SMALL((Summary!$G$3:$G$1000="")/0.1%+ROW($3:$1000),ROW()-2)-2)&amp;"",""),"")</f>
        <v/>
      </c>
      <c r="I443" s="22" t="str">
        <f t="shared" si="26"/>
        <v/>
      </c>
      <c r="J443" s="22" t="str">
        <f t="shared" si="27"/>
        <v/>
      </c>
    </row>
    <row r="444" spans="1:10">
      <c r="A444" s="56" t="str">
        <f>IF(AMS!H464="","",AMS!H464)</f>
        <v/>
      </c>
      <c r="B444" s="22" t="str">
        <f t="shared" si="24"/>
        <v/>
      </c>
      <c r="C444" s="22" t="str">
        <f t="array" ref="C444">IFERROR(INDEX(Summary!$I$3:$I$1000,SMALL((Summary!$I$3:$I$1000="")/0.1%+ROW($3:$1000),ROW()-2)-2)&amp;"","")</f>
        <v/>
      </c>
      <c r="D444" s="22" t="str">
        <v/>
      </c>
      <c r="E444" s="22" t="str">
        <f t="shared" si="25"/>
        <v/>
      </c>
      <c r="F444" s="56" t="str">
        <f>IF(AMS!I464="","",AMS!I464)</f>
        <v/>
      </c>
      <c r="G444" s="56" t="str">
        <f>IF(AMS!J464="","",AMS!J464)</f>
        <v/>
      </c>
      <c r="H444" s="22" t="str">
        <f t="array" ref="H444">IF(A444&lt;&gt;" ",IFERROR(INDEX(Summary!$G$3:$G$1000,SMALL((Summary!$G$3:$G$1000="")/0.1%+ROW($3:$1000),ROW()-2)-2)&amp;"",""),"")</f>
        <v/>
      </c>
      <c r="I444" s="22" t="str">
        <f t="shared" si="26"/>
        <v/>
      </c>
      <c r="J444" s="22" t="str">
        <f t="shared" si="27"/>
        <v/>
      </c>
    </row>
    <row r="445" spans="1:10">
      <c r="A445" s="56" t="str">
        <f>IF(AMS!H465="","",AMS!H465)</f>
        <v/>
      </c>
      <c r="B445" s="22" t="str">
        <f t="shared" si="24"/>
        <v/>
      </c>
      <c r="C445" s="22" t="str">
        <f t="array" ref="C445">IFERROR(INDEX(Summary!$I$3:$I$1000,SMALL((Summary!$I$3:$I$1000="")/0.1%+ROW($3:$1000),ROW()-2)-2)&amp;"","")</f>
        <v/>
      </c>
      <c r="D445" s="22" t="str">
        <v/>
      </c>
      <c r="E445" s="22" t="str">
        <f t="shared" si="25"/>
        <v/>
      </c>
      <c r="F445" s="56" t="str">
        <f>IF(AMS!I465="","",AMS!I465)</f>
        <v/>
      </c>
      <c r="G445" s="56" t="str">
        <f>IF(AMS!J465="","",AMS!J465)</f>
        <v/>
      </c>
      <c r="H445" s="22" t="str">
        <f t="array" ref="H445">IF(A445&lt;&gt;" ",IFERROR(INDEX(Summary!$G$3:$G$1000,SMALL((Summary!$G$3:$G$1000="")/0.1%+ROW($3:$1000),ROW()-2)-2)&amp;"",""),"")</f>
        <v/>
      </c>
      <c r="I445" s="22" t="str">
        <f t="shared" si="26"/>
        <v/>
      </c>
      <c r="J445" s="22" t="str">
        <f t="shared" si="27"/>
        <v/>
      </c>
    </row>
    <row r="446" spans="1:10">
      <c r="A446" s="56" t="str">
        <f>IF(AMS!H466="","",AMS!H466)</f>
        <v/>
      </c>
      <c r="B446" s="22" t="str">
        <f t="shared" si="24"/>
        <v/>
      </c>
      <c r="C446" s="22" t="str">
        <f t="array" ref="C446">IFERROR(INDEX(Summary!$I$3:$I$1000,SMALL((Summary!$I$3:$I$1000="")/0.1%+ROW($3:$1000),ROW()-2)-2)&amp;"","")</f>
        <v/>
      </c>
      <c r="D446" s="22" t="str">
        <v/>
      </c>
      <c r="E446" s="22" t="str">
        <f t="shared" si="25"/>
        <v/>
      </c>
      <c r="F446" s="56" t="str">
        <f>IF(AMS!I466="","",AMS!I466)</f>
        <v/>
      </c>
      <c r="G446" s="56" t="str">
        <f>IF(AMS!J466="","",AMS!J466)</f>
        <v/>
      </c>
      <c r="H446" s="22" t="str">
        <f t="array" ref="H446">IF(A446&lt;&gt;" ",IFERROR(INDEX(Summary!$G$3:$G$1000,SMALL((Summary!$G$3:$G$1000="")/0.1%+ROW($3:$1000),ROW()-2)-2)&amp;"",""),"")</f>
        <v/>
      </c>
      <c r="I446" s="22" t="str">
        <f t="shared" si="26"/>
        <v/>
      </c>
      <c r="J446" s="22" t="str">
        <f t="shared" si="27"/>
        <v/>
      </c>
    </row>
    <row r="447" spans="1:10">
      <c r="A447" s="56" t="str">
        <f>IF(AMS!H467="","",AMS!H467)</f>
        <v/>
      </c>
      <c r="B447" s="22" t="str">
        <f t="shared" si="24"/>
        <v/>
      </c>
      <c r="C447" s="22" t="str">
        <f t="array" ref="C447">IFERROR(INDEX(Summary!$I$3:$I$1000,SMALL((Summary!$I$3:$I$1000="")/0.1%+ROW($3:$1000),ROW()-2)-2)&amp;"","")</f>
        <v/>
      </c>
      <c r="D447" s="22" t="str">
        <v/>
      </c>
      <c r="E447" s="22" t="str">
        <f t="shared" si="25"/>
        <v/>
      </c>
      <c r="F447" s="56" t="str">
        <f>IF(AMS!I467="","",AMS!I467)</f>
        <v/>
      </c>
      <c r="G447" s="56" t="str">
        <f>IF(AMS!J467="","",AMS!J467)</f>
        <v/>
      </c>
      <c r="H447" s="22" t="str">
        <f t="array" ref="H447">IF(A447&lt;&gt;" ",IFERROR(INDEX(Summary!$G$3:$G$1000,SMALL((Summary!$G$3:$G$1000="")/0.1%+ROW($3:$1000),ROW()-2)-2)&amp;"",""),"")</f>
        <v/>
      </c>
      <c r="I447" s="22" t="str">
        <f t="shared" si="26"/>
        <v/>
      </c>
      <c r="J447" s="22" t="str">
        <f t="shared" si="27"/>
        <v/>
      </c>
    </row>
    <row r="448" spans="1:10">
      <c r="A448" s="56" t="str">
        <f>IF(AMS!H468="","",AMS!H468)</f>
        <v/>
      </c>
      <c r="B448" s="22" t="str">
        <f t="shared" si="24"/>
        <v/>
      </c>
      <c r="C448" s="22" t="str">
        <f t="array" ref="C448">IFERROR(INDEX(Summary!$I$3:$I$1000,SMALL((Summary!$I$3:$I$1000="")/0.1%+ROW($3:$1000),ROW()-2)-2)&amp;"","")</f>
        <v/>
      </c>
      <c r="D448" s="22" t="str">
        <v/>
      </c>
      <c r="E448" s="22" t="str">
        <f t="shared" si="25"/>
        <v/>
      </c>
      <c r="F448" s="56" t="str">
        <f>IF(AMS!I468="","",AMS!I468)</f>
        <v/>
      </c>
      <c r="G448" s="56" t="str">
        <f>IF(AMS!J468="","",AMS!J468)</f>
        <v/>
      </c>
      <c r="H448" s="22" t="str">
        <f t="array" ref="H448">IF(A448&lt;&gt;" ",IFERROR(INDEX(Summary!$G$3:$G$1000,SMALL((Summary!$G$3:$G$1000="")/0.1%+ROW($3:$1000),ROW()-2)-2)&amp;"",""),"")</f>
        <v/>
      </c>
      <c r="I448" s="22" t="str">
        <f t="shared" si="26"/>
        <v/>
      </c>
      <c r="J448" s="22" t="str">
        <f t="shared" si="27"/>
        <v/>
      </c>
    </row>
    <row r="449" spans="1:10">
      <c r="A449" s="56" t="str">
        <f>IF(AMS!H469="","",AMS!H469)</f>
        <v/>
      </c>
      <c r="B449" s="22" t="str">
        <f t="shared" si="24"/>
        <v/>
      </c>
      <c r="C449" s="22" t="str">
        <f t="array" ref="C449">IFERROR(INDEX(Summary!$I$3:$I$1000,SMALL((Summary!$I$3:$I$1000="")/0.1%+ROW($3:$1000),ROW()-2)-2)&amp;"","")</f>
        <v/>
      </c>
      <c r="D449" s="22" t="str">
        <v/>
      </c>
      <c r="E449" s="22" t="str">
        <f t="shared" si="25"/>
        <v/>
      </c>
      <c r="F449" s="56" t="str">
        <f>IF(AMS!I469="","",AMS!I469)</f>
        <v/>
      </c>
      <c r="G449" s="56" t="str">
        <f>IF(AMS!J469="","",AMS!J469)</f>
        <v/>
      </c>
      <c r="H449" s="22" t="str">
        <f t="array" ref="H449">IF(A449&lt;&gt;" ",IFERROR(INDEX(Summary!$G$3:$G$1000,SMALL((Summary!$G$3:$G$1000="")/0.1%+ROW($3:$1000),ROW()-2)-2)&amp;"",""),"")</f>
        <v/>
      </c>
      <c r="I449" s="22" t="str">
        <f t="shared" si="26"/>
        <v/>
      </c>
      <c r="J449" s="22" t="str">
        <f t="shared" si="27"/>
        <v/>
      </c>
    </row>
    <row r="450" spans="1:10">
      <c r="A450" s="56" t="str">
        <f>IF(AMS!H470="","",AMS!H470)</f>
        <v/>
      </c>
      <c r="B450" s="22" t="str">
        <f t="shared" si="24"/>
        <v/>
      </c>
      <c r="C450" s="22" t="str">
        <f t="array" ref="C450">IFERROR(INDEX(Summary!$I$3:$I$1000,SMALL((Summary!$I$3:$I$1000="")/0.1%+ROW($3:$1000),ROW()-2)-2)&amp;"","")</f>
        <v/>
      </c>
      <c r="D450" s="22" t="str">
        <v/>
      </c>
      <c r="E450" s="22" t="str">
        <f t="shared" si="25"/>
        <v/>
      </c>
      <c r="F450" s="56" t="str">
        <f>IF(AMS!I470="","",AMS!I470)</f>
        <v/>
      </c>
      <c r="G450" s="56" t="str">
        <f>IF(AMS!J470="","",AMS!J470)</f>
        <v/>
      </c>
      <c r="H450" s="22" t="str">
        <f t="array" ref="H450">IF(A450&lt;&gt;" ",IFERROR(INDEX(Summary!$G$3:$G$1000,SMALL((Summary!$G$3:$G$1000="")/0.1%+ROW($3:$1000),ROW()-2)-2)&amp;"",""),"")</f>
        <v/>
      </c>
      <c r="I450" s="22" t="str">
        <f t="shared" si="26"/>
        <v/>
      </c>
      <c r="J450" s="22" t="str">
        <f t="shared" si="27"/>
        <v/>
      </c>
    </row>
    <row r="451" spans="1:10">
      <c r="A451" s="56" t="str">
        <f>IF(AMS!H471="","",AMS!H471)</f>
        <v/>
      </c>
      <c r="B451" s="22" t="str">
        <f t="shared" ref="B451:B514" si="28">IF(A451&lt;&gt;"",IFERROR(IF(SEARCH(".",A451),LEFT(SUBSTITUTE(A451,".",""),6)),LEFT(SUBSTITUTE(SUBSTITUTE(TRIM(A451)," ","")," ",""),6)),"")</f>
        <v/>
      </c>
      <c r="C451" s="22" t="str">
        <f t="array" ref="C451">IFERROR(INDEX(Summary!$I$3:$I$1000,SMALL((Summary!$I$3:$I$1000="")/0.1%+ROW($3:$1000),ROW()-2)-2)&amp;"","")</f>
        <v/>
      </c>
      <c r="D451" s="22" t="str">
        <v/>
      </c>
      <c r="E451" s="22" t="str">
        <f t="shared" ref="E451:E514" si="29">LEFT(D451,6)</f>
        <v/>
      </c>
      <c r="F451" s="56" t="str">
        <f>IF(AMS!I471="","",AMS!I471)</f>
        <v/>
      </c>
      <c r="G451" s="56" t="str">
        <f>IF(AMS!J471="","",AMS!J471)</f>
        <v/>
      </c>
      <c r="H451" s="22" t="str">
        <f t="array" ref="H451">IF(A451&lt;&gt;" ",IFERROR(INDEX(Summary!$G$3:$G$1000,SMALL((Summary!$G$3:$G$1000="")/0.1%+ROW($3:$1000),ROW()-2)-2)&amp;"",""),"")</f>
        <v/>
      </c>
      <c r="I451" s="22" t="str">
        <f t="shared" ref="I451:I514" si="30">B451&amp;F451</f>
        <v/>
      </c>
      <c r="J451" s="22" t="str">
        <f t="shared" ref="J451:J514" si="31">IF(D451="","",RIGHT(D451,LEN(D451)-6))</f>
        <v/>
      </c>
    </row>
    <row r="452" spans="1:10">
      <c r="A452" s="56" t="str">
        <f>IF(AMS!H472="","",AMS!H472)</f>
        <v/>
      </c>
      <c r="B452" s="22" t="str">
        <f t="shared" si="28"/>
        <v/>
      </c>
      <c r="C452" s="22" t="str">
        <f t="array" ref="C452">IFERROR(INDEX(Summary!$I$3:$I$1000,SMALL((Summary!$I$3:$I$1000="")/0.1%+ROW($3:$1000),ROW()-2)-2)&amp;"","")</f>
        <v/>
      </c>
      <c r="D452" s="22" t="str">
        <v/>
      </c>
      <c r="E452" s="22" t="str">
        <f t="shared" si="29"/>
        <v/>
      </c>
      <c r="F452" s="56" t="str">
        <f>IF(AMS!I472="","",AMS!I472)</f>
        <v/>
      </c>
      <c r="G452" s="56" t="str">
        <f>IF(AMS!J472="","",AMS!J472)</f>
        <v/>
      </c>
      <c r="H452" s="22" t="str">
        <f t="array" ref="H452">IF(A452&lt;&gt;" ",IFERROR(INDEX(Summary!$G$3:$G$1000,SMALL((Summary!$G$3:$G$1000="")/0.1%+ROW($3:$1000),ROW()-2)-2)&amp;"",""),"")</f>
        <v/>
      </c>
      <c r="I452" s="22" t="str">
        <f t="shared" si="30"/>
        <v/>
      </c>
      <c r="J452" s="22" t="str">
        <f t="shared" si="31"/>
        <v/>
      </c>
    </row>
    <row r="453" spans="1:10">
      <c r="A453" s="56" t="str">
        <f>IF(AMS!H473="","",AMS!H473)</f>
        <v/>
      </c>
      <c r="B453" s="22" t="str">
        <f t="shared" si="28"/>
        <v/>
      </c>
      <c r="C453" s="22" t="str">
        <f t="array" ref="C453">IFERROR(INDEX(Summary!$I$3:$I$1000,SMALL((Summary!$I$3:$I$1000="")/0.1%+ROW($3:$1000),ROW()-2)-2)&amp;"","")</f>
        <v/>
      </c>
      <c r="D453" s="22" t="str">
        <v/>
      </c>
      <c r="E453" s="22" t="str">
        <f t="shared" si="29"/>
        <v/>
      </c>
      <c r="F453" s="56" t="str">
        <f>IF(AMS!I473="","",AMS!I473)</f>
        <v/>
      </c>
      <c r="G453" s="56" t="str">
        <f>IF(AMS!J473="","",AMS!J473)</f>
        <v/>
      </c>
      <c r="H453" s="22" t="str">
        <f t="array" ref="H453">IF(A453&lt;&gt;" ",IFERROR(INDEX(Summary!$G$3:$G$1000,SMALL((Summary!$G$3:$G$1000="")/0.1%+ROW($3:$1000),ROW()-2)-2)&amp;"",""),"")</f>
        <v/>
      </c>
      <c r="I453" s="22" t="str">
        <f t="shared" si="30"/>
        <v/>
      </c>
      <c r="J453" s="22" t="str">
        <f t="shared" si="31"/>
        <v/>
      </c>
    </row>
    <row r="454" spans="1:10">
      <c r="A454" s="56" t="str">
        <f>IF(AMS!H474="","",AMS!H474)</f>
        <v/>
      </c>
      <c r="B454" s="22" t="str">
        <f t="shared" si="28"/>
        <v/>
      </c>
      <c r="C454" s="22" t="str">
        <f t="array" ref="C454">IFERROR(INDEX(Summary!$I$3:$I$1000,SMALL((Summary!$I$3:$I$1000="")/0.1%+ROW($3:$1000),ROW()-2)-2)&amp;"","")</f>
        <v/>
      </c>
      <c r="D454" s="22" t="str">
        <v/>
      </c>
      <c r="E454" s="22" t="str">
        <f t="shared" si="29"/>
        <v/>
      </c>
      <c r="F454" s="56" t="str">
        <f>IF(AMS!I474="","",AMS!I474)</f>
        <v/>
      </c>
      <c r="G454" s="56" t="str">
        <f>IF(AMS!J474="","",AMS!J474)</f>
        <v/>
      </c>
      <c r="H454" s="22" t="str">
        <f t="array" ref="H454">IF(A454&lt;&gt;" ",IFERROR(INDEX(Summary!$G$3:$G$1000,SMALL((Summary!$G$3:$G$1000="")/0.1%+ROW($3:$1000),ROW()-2)-2)&amp;"",""),"")</f>
        <v/>
      </c>
      <c r="I454" s="22" t="str">
        <f t="shared" si="30"/>
        <v/>
      </c>
      <c r="J454" s="22" t="str">
        <f t="shared" si="31"/>
        <v/>
      </c>
    </row>
    <row r="455" spans="1:10">
      <c r="A455" s="56" t="str">
        <f>IF(AMS!H475="","",AMS!H475)</f>
        <v/>
      </c>
      <c r="B455" s="22" t="str">
        <f t="shared" si="28"/>
        <v/>
      </c>
      <c r="C455" s="22" t="str">
        <f t="array" ref="C455">IFERROR(INDEX(Summary!$I$3:$I$1000,SMALL((Summary!$I$3:$I$1000="")/0.1%+ROW($3:$1000),ROW()-2)-2)&amp;"","")</f>
        <v/>
      </c>
      <c r="D455" s="22" t="str">
        <v/>
      </c>
      <c r="E455" s="22" t="str">
        <f t="shared" si="29"/>
        <v/>
      </c>
      <c r="F455" s="56" t="str">
        <f>IF(AMS!I475="","",AMS!I475)</f>
        <v/>
      </c>
      <c r="G455" s="56" t="str">
        <f>IF(AMS!J475="","",AMS!J475)</f>
        <v/>
      </c>
      <c r="H455" s="22" t="str">
        <f t="array" ref="H455">IF(A455&lt;&gt;" ",IFERROR(INDEX(Summary!$G$3:$G$1000,SMALL((Summary!$G$3:$G$1000="")/0.1%+ROW($3:$1000),ROW()-2)-2)&amp;"",""),"")</f>
        <v/>
      </c>
      <c r="I455" s="22" t="str">
        <f t="shared" si="30"/>
        <v/>
      </c>
      <c r="J455" s="22" t="str">
        <f t="shared" si="31"/>
        <v/>
      </c>
    </row>
    <row r="456" spans="1:10">
      <c r="A456" s="56" t="str">
        <f>IF(AMS!H476="","",AMS!H476)</f>
        <v/>
      </c>
      <c r="B456" s="22" t="str">
        <f t="shared" si="28"/>
        <v/>
      </c>
      <c r="C456" s="22" t="str">
        <f t="array" ref="C456">IFERROR(INDEX(Summary!$I$3:$I$1000,SMALL((Summary!$I$3:$I$1000="")/0.1%+ROW($3:$1000),ROW()-2)-2)&amp;"","")</f>
        <v/>
      </c>
      <c r="D456" s="22" t="str">
        <v/>
      </c>
      <c r="E456" s="22" t="str">
        <f t="shared" si="29"/>
        <v/>
      </c>
      <c r="F456" s="56" t="str">
        <f>IF(AMS!I476="","",AMS!I476)</f>
        <v/>
      </c>
      <c r="G456" s="56" t="str">
        <f>IF(AMS!J476="","",AMS!J476)</f>
        <v/>
      </c>
      <c r="H456" s="22" t="str">
        <f t="array" ref="H456">IF(A456&lt;&gt;" ",IFERROR(INDEX(Summary!$G$3:$G$1000,SMALL((Summary!$G$3:$G$1000="")/0.1%+ROW($3:$1000),ROW()-2)-2)&amp;"",""),"")</f>
        <v/>
      </c>
      <c r="I456" s="22" t="str">
        <f t="shared" si="30"/>
        <v/>
      </c>
      <c r="J456" s="22" t="str">
        <f t="shared" si="31"/>
        <v/>
      </c>
    </row>
    <row r="457" spans="1:10">
      <c r="A457" s="56" t="str">
        <f>IF(AMS!H477="","",AMS!H477)</f>
        <v/>
      </c>
      <c r="B457" s="22" t="str">
        <f t="shared" si="28"/>
        <v/>
      </c>
      <c r="C457" s="22" t="str">
        <f t="array" ref="C457">IFERROR(INDEX(Summary!$I$3:$I$1000,SMALL((Summary!$I$3:$I$1000="")/0.1%+ROW($3:$1000),ROW()-2)-2)&amp;"","")</f>
        <v/>
      </c>
      <c r="D457" s="22" t="str">
        <v/>
      </c>
      <c r="E457" s="22" t="str">
        <f t="shared" si="29"/>
        <v/>
      </c>
      <c r="F457" s="56" t="str">
        <f>IF(AMS!I477="","",AMS!I477)</f>
        <v/>
      </c>
      <c r="G457" s="56" t="str">
        <f>IF(AMS!J477="","",AMS!J477)</f>
        <v/>
      </c>
      <c r="H457" s="22" t="str">
        <f t="array" ref="H457">IF(A457&lt;&gt;" ",IFERROR(INDEX(Summary!$G$3:$G$1000,SMALL((Summary!$G$3:$G$1000="")/0.1%+ROW($3:$1000),ROW()-2)-2)&amp;"",""),"")</f>
        <v/>
      </c>
      <c r="I457" s="22" t="str">
        <f t="shared" si="30"/>
        <v/>
      </c>
      <c r="J457" s="22" t="str">
        <f t="shared" si="31"/>
        <v/>
      </c>
    </row>
    <row r="458" spans="1:10">
      <c r="A458" s="56" t="str">
        <f>IF(AMS!H478="","",AMS!H478)</f>
        <v/>
      </c>
      <c r="B458" s="22" t="str">
        <f t="shared" si="28"/>
        <v/>
      </c>
      <c r="C458" s="22" t="str">
        <f t="array" ref="C458">IFERROR(INDEX(Summary!$I$3:$I$1000,SMALL((Summary!$I$3:$I$1000="")/0.1%+ROW($3:$1000),ROW()-2)-2)&amp;"","")</f>
        <v/>
      </c>
      <c r="D458" s="22" t="str">
        <v/>
      </c>
      <c r="E458" s="22" t="str">
        <f t="shared" si="29"/>
        <v/>
      </c>
      <c r="F458" s="56" t="str">
        <f>IF(AMS!I478="","",AMS!I478)</f>
        <v/>
      </c>
      <c r="G458" s="56" t="str">
        <f>IF(AMS!J478="","",AMS!J478)</f>
        <v/>
      </c>
      <c r="H458" s="22" t="str">
        <f t="array" ref="H458">IF(A458&lt;&gt;" ",IFERROR(INDEX(Summary!$G$3:$G$1000,SMALL((Summary!$G$3:$G$1000="")/0.1%+ROW($3:$1000),ROW()-2)-2)&amp;"",""),"")</f>
        <v/>
      </c>
      <c r="I458" s="22" t="str">
        <f t="shared" si="30"/>
        <v/>
      </c>
      <c r="J458" s="22" t="str">
        <f t="shared" si="31"/>
        <v/>
      </c>
    </row>
    <row r="459" spans="1:10">
      <c r="A459" s="56" t="str">
        <f>IF(AMS!H479="","",AMS!H479)</f>
        <v/>
      </c>
      <c r="B459" s="22" t="str">
        <f t="shared" si="28"/>
        <v/>
      </c>
      <c r="C459" s="22" t="str">
        <f t="array" ref="C459">IFERROR(INDEX(Summary!$I$3:$I$1000,SMALL((Summary!$I$3:$I$1000="")/0.1%+ROW($3:$1000),ROW()-2)-2)&amp;"","")</f>
        <v/>
      </c>
      <c r="D459" s="22" t="str">
        <v/>
      </c>
      <c r="E459" s="22" t="str">
        <f t="shared" si="29"/>
        <v/>
      </c>
      <c r="F459" s="56" t="str">
        <f>IF(AMS!I479="","",AMS!I479)</f>
        <v/>
      </c>
      <c r="G459" s="56" t="str">
        <f>IF(AMS!J479="","",AMS!J479)</f>
        <v/>
      </c>
      <c r="H459" s="22" t="str">
        <f t="array" ref="H459">IF(A459&lt;&gt;" ",IFERROR(INDEX(Summary!$G$3:$G$1000,SMALL((Summary!$G$3:$G$1000="")/0.1%+ROW($3:$1000),ROW()-2)-2)&amp;"",""),"")</f>
        <v/>
      </c>
      <c r="I459" s="22" t="str">
        <f t="shared" si="30"/>
        <v/>
      </c>
      <c r="J459" s="22" t="str">
        <f t="shared" si="31"/>
        <v/>
      </c>
    </row>
    <row r="460" spans="1:10">
      <c r="A460" s="56" t="str">
        <f>IF(AMS!H480="","",AMS!H480)</f>
        <v/>
      </c>
      <c r="B460" s="22" t="str">
        <f t="shared" si="28"/>
        <v/>
      </c>
      <c r="C460" s="22" t="str">
        <f t="array" ref="C460">IFERROR(INDEX(Summary!$I$3:$I$1000,SMALL((Summary!$I$3:$I$1000="")/0.1%+ROW($3:$1000),ROW()-2)-2)&amp;"","")</f>
        <v/>
      </c>
      <c r="D460" s="22" t="str">
        <v/>
      </c>
      <c r="E460" s="22" t="str">
        <f t="shared" si="29"/>
        <v/>
      </c>
      <c r="F460" s="56" t="str">
        <f>IF(AMS!I480="","",AMS!I480)</f>
        <v/>
      </c>
      <c r="G460" s="56" t="str">
        <f>IF(AMS!J480="","",AMS!J480)</f>
        <v/>
      </c>
      <c r="H460" s="22" t="str">
        <f t="array" ref="H460">IF(A460&lt;&gt;" ",IFERROR(INDEX(Summary!$G$3:$G$1000,SMALL((Summary!$G$3:$G$1000="")/0.1%+ROW($3:$1000),ROW()-2)-2)&amp;"",""),"")</f>
        <v/>
      </c>
      <c r="I460" s="22" t="str">
        <f t="shared" si="30"/>
        <v/>
      </c>
      <c r="J460" s="22" t="str">
        <f t="shared" si="31"/>
        <v/>
      </c>
    </row>
    <row r="461" spans="1:10">
      <c r="A461" s="56" t="str">
        <f>IF(AMS!H481="","",AMS!H481)</f>
        <v/>
      </c>
      <c r="B461" s="22" t="str">
        <f t="shared" si="28"/>
        <v/>
      </c>
      <c r="C461" s="22" t="str">
        <f t="array" ref="C461">IFERROR(INDEX(Summary!$I$3:$I$1000,SMALL((Summary!$I$3:$I$1000="")/0.1%+ROW($3:$1000),ROW()-2)-2)&amp;"","")</f>
        <v/>
      </c>
      <c r="D461" s="22" t="str">
        <v/>
      </c>
      <c r="E461" s="22" t="str">
        <f t="shared" si="29"/>
        <v/>
      </c>
      <c r="F461" s="56" t="str">
        <f>IF(AMS!I481="","",AMS!I481)</f>
        <v/>
      </c>
      <c r="G461" s="56" t="str">
        <f>IF(AMS!J481="","",AMS!J481)</f>
        <v/>
      </c>
      <c r="H461" s="22" t="str">
        <f t="array" ref="H461">IF(A461&lt;&gt;" ",IFERROR(INDEX(Summary!$G$3:$G$1000,SMALL((Summary!$G$3:$G$1000="")/0.1%+ROW($3:$1000),ROW()-2)-2)&amp;"",""),"")</f>
        <v/>
      </c>
      <c r="I461" s="22" t="str">
        <f t="shared" si="30"/>
        <v/>
      </c>
      <c r="J461" s="22" t="str">
        <f t="shared" si="31"/>
        <v/>
      </c>
    </row>
    <row r="462" spans="1:10">
      <c r="A462" s="56" t="str">
        <f>IF(AMS!H482="","",AMS!H482)</f>
        <v/>
      </c>
      <c r="B462" s="22" t="str">
        <f t="shared" si="28"/>
        <v/>
      </c>
      <c r="C462" s="22" t="str">
        <f t="array" ref="C462">IFERROR(INDEX(Summary!$I$3:$I$1000,SMALL((Summary!$I$3:$I$1000="")/0.1%+ROW($3:$1000),ROW()-2)-2)&amp;"","")</f>
        <v/>
      </c>
      <c r="D462" s="22" t="str">
        <v/>
      </c>
      <c r="E462" s="22" t="str">
        <f t="shared" si="29"/>
        <v/>
      </c>
      <c r="F462" s="56" t="str">
        <f>IF(AMS!I482="","",AMS!I482)</f>
        <v/>
      </c>
      <c r="G462" s="56" t="str">
        <f>IF(AMS!J482="","",AMS!J482)</f>
        <v/>
      </c>
      <c r="H462" s="22" t="str">
        <f t="array" ref="H462">IF(A462&lt;&gt;" ",IFERROR(INDEX(Summary!$G$3:$G$1000,SMALL((Summary!$G$3:$G$1000="")/0.1%+ROW($3:$1000),ROW()-2)-2)&amp;"",""),"")</f>
        <v/>
      </c>
      <c r="I462" s="22" t="str">
        <f t="shared" si="30"/>
        <v/>
      </c>
      <c r="J462" s="22" t="str">
        <f t="shared" si="31"/>
        <v/>
      </c>
    </row>
    <row r="463" spans="1:10">
      <c r="A463" s="56" t="str">
        <f>IF(AMS!H483="","",AMS!H483)</f>
        <v/>
      </c>
      <c r="B463" s="22" t="str">
        <f t="shared" si="28"/>
        <v/>
      </c>
      <c r="C463" s="22" t="str">
        <f t="array" ref="C463">IFERROR(INDEX(Summary!$I$3:$I$1000,SMALL((Summary!$I$3:$I$1000="")/0.1%+ROW($3:$1000),ROW()-2)-2)&amp;"","")</f>
        <v/>
      </c>
      <c r="D463" s="22" t="str">
        <v/>
      </c>
      <c r="E463" s="22" t="str">
        <f t="shared" si="29"/>
        <v/>
      </c>
      <c r="F463" s="56" t="str">
        <f>IF(AMS!I483="","",AMS!I483)</f>
        <v/>
      </c>
      <c r="G463" s="56" t="str">
        <f>IF(AMS!J483="","",AMS!J483)</f>
        <v/>
      </c>
      <c r="H463" s="22" t="str">
        <f t="array" ref="H463">IF(A463&lt;&gt;" ",IFERROR(INDEX(Summary!$G$3:$G$1000,SMALL((Summary!$G$3:$G$1000="")/0.1%+ROW($3:$1000),ROW()-2)-2)&amp;"",""),"")</f>
        <v/>
      </c>
      <c r="I463" s="22" t="str">
        <f t="shared" si="30"/>
        <v/>
      </c>
      <c r="J463" s="22" t="str">
        <f t="shared" si="31"/>
        <v/>
      </c>
    </row>
    <row r="464" spans="1:10">
      <c r="A464" s="56" t="str">
        <f>IF(AMS!H484="","",AMS!H484)</f>
        <v/>
      </c>
      <c r="B464" s="22" t="str">
        <f t="shared" si="28"/>
        <v/>
      </c>
      <c r="C464" s="22" t="str">
        <f t="array" ref="C464">IFERROR(INDEX(Summary!$I$3:$I$1000,SMALL((Summary!$I$3:$I$1000="")/0.1%+ROW($3:$1000),ROW()-2)-2)&amp;"","")</f>
        <v/>
      </c>
      <c r="D464" s="22" t="str">
        <v/>
      </c>
      <c r="E464" s="22" t="str">
        <f t="shared" si="29"/>
        <v/>
      </c>
      <c r="F464" s="56" t="str">
        <f>IF(AMS!I484="","",AMS!I484)</f>
        <v/>
      </c>
      <c r="G464" s="56" t="str">
        <f>IF(AMS!J484="","",AMS!J484)</f>
        <v/>
      </c>
      <c r="H464" s="22" t="str">
        <f t="array" ref="H464">IF(A464&lt;&gt;" ",IFERROR(INDEX(Summary!$G$3:$G$1000,SMALL((Summary!$G$3:$G$1000="")/0.1%+ROW($3:$1000),ROW()-2)-2)&amp;"",""),"")</f>
        <v/>
      </c>
      <c r="I464" s="22" t="str">
        <f t="shared" si="30"/>
        <v/>
      </c>
      <c r="J464" s="22" t="str">
        <f t="shared" si="31"/>
        <v/>
      </c>
    </row>
    <row r="465" spans="1:10">
      <c r="A465" s="56" t="str">
        <f>IF(AMS!H485="","",AMS!H485)</f>
        <v/>
      </c>
      <c r="B465" s="22" t="str">
        <f t="shared" si="28"/>
        <v/>
      </c>
      <c r="C465" s="22" t="str">
        <f t="array" ref="C465">IFERROR(INDEX(Summary!$I$3:$I$1000,SMALL((Summary!$I$3:$I$1000="")/0.1%+ROW($3:$1000),ROW()-2)-2)&amp;"","")</f>
        <v/>
      </c>
      <c r="D465" s="22" t="str">
        <v/>
      </c>
      <c r="E465" s="22" t="str">
        <f t="shared" si="29"/>
        <v/>
      </c>
      <c r="F465" s="56" t="str">
        <f>IF(AMS!I485="","",AMS!I485)</f>
        <v/>
      </c>
      <c r="G465" s="56" t="str">
        <f>IF(AMS!J485="","",AMS!J485)</f>
        <v/>
      </c>
      <c r="H465" s="22" t="str">
        <f t="array" ref="H465">IF(A465&lt;&gt;" ",IFERROR(INDEX(Summary!$G$3:$G$1000,SMALL((Summary!$G$3:$G$1000="")/0.1%+ROW($3:$1000),ROW()-2)-2)&amp;"",""),"")</f>
        <v/>
      </c>
      <c r="I465" s="22" t="str">
        <f t="shared" si="30"/>
        <v/>
      </c>
      <c r="J465" s="22" t="str">
        <f t="shared" si="31"/>
        <v/>
      </c>
    </row>
    <row r="466" spans="1:10">
      <c r="A466" s="56" t="str">
        <f>IF(AMS!H486="","",AMS!H486)</f>
        <v/>
      </c>
      <c r="B466" s="22" t="str">
        <f t="shared" si="28"/>
        <v/>
      </c>
      <c r="C466" s="22" t="str">
        <f t="array" ref="C466">IFERROR(INDEX(Summary!$I$3:$I$1000,SMALL((Summary!$I$3:$I$1000="")/0.1%+ROW($3:$1000),ROW()-2)-2)&amp;"","")</f>
        <v/>
      </c>
      <c r="D466" s="22" t="str">
        <v/>
      </c>
      <c r="E466" s="22" t="str">
        <f t="shared" si="29"/>
        <v/>
      </c>
      <c r="F466" s="56" t="str">
        <f>IF(AMS!I486="","",AMS!I486)</f>
        <v/>
      </c>
      <c r="G466" s="56" t="str">
        <f>IF(AMS!J486="","",AMS!J486)</f>
        <v/>
      </c>
      <c r="H466" s="22" t="str">
        <f t="array" ref="H466">IF(A466&lt;&gt;" ",IFERROR(INDEX(Summary!$G$3:$G$1000,SMALL((Summary!$G$3:$G$1000="")/0.1%+ROW($3:$1000),ROW()-2)-2)&amp;"",""),"")</f>
        <v/>
      </c>
      <c r="I466" s="22" t="str">
        <f t="shared" si="30"/>
        <v/>
      </c>
      <c r="J466" s="22" t="str">
        <f t="shared" si="31"/>
        <v/>
      </c>
    </row>
    <row r="467" spans="1:10">
      <c r="A467" s="56" t="str">
        <f>IF(AMS!H487="","",AMS!H487)</f>
        <v/>
      </c>
      <c r="B467" s="22" t="str">
        <f t="shared" si="28"/>
        <v/>
      </c>
      <c r="C467" s="22" t="str">
        <f t="array" ref="C467">IFERROR(INDEX(Summary!$I$3:$I$1000,SMALL((Summary!$I$3:$I$1000="")/0.1%+ROW($3:$1000),ROW()-2)-2)&amp;"","")</f>
        <v/>
      </c>
      <c r="D467" s="22" t="str">
        <v/>
      </c>
      <c r="E467" s="22" t="str">
        <f t="shared" si="29"/>
        <v/>
      </c>
      <c r="F467" s="56" t="str">
        <f>IF(AMS!I487="","",AMS!I487)</f>
        <v/>
      </c>
      <c r="G467" s="56" t="str">
        <f>IF(AMS!J487="","",AMS!J487)</f>
        <v/>
      </c>
      <c r="H467" s="22" t="str">
        <f t="array" ref="H467">IF(A467&lt;&gt;" ",IFERROR(INDEX(Summary!$G$3:$G$1000,SMALL((Summary!$G$3:$G$1000="")/0.1%+ROW($3:$1000),ROW()-2)-2)&amp;"",""),"")</f>
        <v/>
      </c>
      <c r="I467" s="22" t="str">
        <f t="shared" si="30"/>
        <v/>
      </c>
      <c r="J467" s="22" t="str">
        <f t="shared" si="31"/>
        <v/>
      </c>
    </row>
    <row r="468" spans="1:10">
      <c r="A468" s="56" t="str">
        <f>IF(AMS!H488="","",AMS!H488)</f>
        <v/>
      </c>
      <c r="B468" s="22" t="str">
        <f t="shared" si="28"/>
        <v/>
      </c>
      <c r="C468" s="22" t="str">
        <f t="array" ref="C468">IFERROR(INDEX(Summary!$I$3:$I$1000,SMALL((Summary!$I$3:$I$1000="")/0.1%+ROW($3:$1000),ROW()-2)-2)&amp;"","")</f>
        <v/>
      </c>
      <c r="D468" s="22" t="str">
        <v/>
      </c>
      <c r="E468" s="22" t="str">
        <f t="shared" si="29"/>
        <v/>
      </c>
      <c r="F468" s="56" t="str">
        <f>IF(AMS!I488="","",AMS!I488)</f>
        <v/>
      </c>
      <c r="G468" s="56" t="str">
        <f>IF(AMS!J488="","",AMS!J488)</f>
        <v/>
      </c>
      <c r="H468" s="22" t="str">
        <f t="array" ref="H468">IF(A468&lt;&gt;" ",IFERROR(INDEX(Summary!$G$3:$G$1000,SMALL((Summary!$G$3:$G$1000="")/0.1%+ROW($3:$1000),ROW()-2)-2)&amp;"",""),"")</f>
        <v/>
      </c>
      <c r="I468" s="22" t="str">
        <f t="shared" si="30"/>
        <v/>
      </c>
      <c r="J468" s="22" t="str">
        <f t="shared" si="31"/>
        <v/>
      </c>
    </row>
    <row r="469" spans="1:10">
      <c r="A469" s="56" t="str">
        <f>IF(AMS!H489="","",AMS!H489)</f>
        <v/>
      </c>
      <c r="B469" s="22" t="str">
        <f t="shared" si="28"/>
        <v/>
      </c>
      <c r="C469" s="22" t="str">
        <f t="array" ref="C469">IFERROR(INDEX(Summary!$I$3:$I$1000,SMALL((Summary!$I$3:$I$1000="")/0.1%+ROW($3:$1000),ROW()-2)-2)&amp;"","")</f>
        <v/>
      </c>
      <c r="D469" s="22" t="str">
        <v/>
      </c>
      <c r="E469" s="22" t="str">
        <f t="shared" si="29"/>
        <v/>
      </c>
      <c r="F469" s="56" t="str">
        <f>IF(AMS!I489="","",AMS!I489)</f>
        <v/>
      </c>
      <c r="G469" s="56" t="str">
        <f>IF(AMS!J489="","",AMS!J489)</f>
        <v/>
      </c>
      <c r="H469" s="22" t="str">
        <f t="array" ref="H469">IF(A469&lt;&gt;" ",IFERROR(INDEX(Summary!$G$3:$G$1000,SMALL((Summary!$G$3:$G$1000="")/0.1%+ROW($3:$1000),ROW()-2)-2)&amp;"",""),"")</f>
        <v/>
      </c>
      <c r="I469" s="22" t="str">
        <f t="shared" si="30"/>
        <v/>
      </c>
      <c r="J469" s="22" t="str">
        <f t="shared" si="31"/>
        <v/>
      </c>
    </row>
    <row r="470" spans="1:10">
      <c r="A470" s="56" t="str">
        <f>IF(AMS!H490="","",AMS!H490)</f>
        <v/>
      </c>
      <c r="B470" s="22" t="str">
        <f t="shared" si="28"/>
        <v/>
      </c>
      <c r="C470" s="22" t="str">
        <f t="array" ref="C470">IFERROR(INDEX(Summary!$I$3:$I$1000,SMALL((Summary!$I$3:$I$1000="")/0.1%+ROW($3:$1000),ROW()-2)-2)&amp;"","")</f>
        <v/>
      </c>
      <c r="D470" s="22" t="str">
        <v/>
      </c>
      <c r="E470" s="22" t="str">
        <f t="shared" si="29"/>
        <v/>
      </c>
      <c r="F470" s="56" t="str">
        <f>IF(AMS!I490="","",AMS!I490)</f>
        <v/>
      </c>
      <c r="G470" s="56" t="str">
        <f>IF(AMS!J490="","",AMS!J490)</f>
        <v/>
      </c>
      <c r="H470" s="22" t="str">
        <f t="array" ref="H470">IF(A470&lt;&gt;" ",IFERROR(INDEX(Summary!$G$3:$G$1000,SMALL((Summary!$G$3:$G$1000="")/0.1%+ROW($3:$1000),ROW()-2)-2)&amp;"",""),"")</f>
        <v/>
      </c>
      <c r="I470" s="22" t="str">
        <f t="shared" si="30"/>
        <v/>
      </c>
      <c r="J470" s="22" t="str">
        <f t="shared" si="31"/>
        <v/>
      </c>
    </row>
    <row r="471" spans="1:10">
      <c r="A471" s="56" t="str">
        <f>IF(AMS!H491="","",AMS!H491)</f>
        <v/>
      </c>
      <c r="B471" s="22" t="str">
        <f t="shared" si="28"/>
        <v/>
      </c>
      <c r="C471" s="22" t="str">
        <f t="array" ref="C471">IFERROR(INDEX(Summary!$I$3:$I$1000,SMALL((Summary!$I$3:$I$1000="")/0.1%+ROW($3:$1000),ROW()-2)-2)&amp;"","")</f>
        <v/>
      </c>
      <c r="D471" s="22" t="str">
        <v/>
      </c>
      <c r="E471" s="22" t="str">
        <f t="shared" si="29"/>
        <v/>
      </c>
      <c r="F471" s="56" t="str">
        <f>IF(AMS!I491="","",AMS!I491)</f>
        <v/>
      </c>
      <c r="G471" s="56" t="str">
        <f>IF(AMS!J491="","",AMS!J491)</f>
        <v/>
      </c>
      <c r="H471" s="22" t="str">
        <f t="array" ref="H471">IF(A471&lt;&gt;" ",IFERROR(INDEX(Summary!$G$3:$G$1000,SMALL((Summary!$G$3:$G$1000="")/0.1%+ROW($3:$1000),ROW()-2)-2)&amp;"",""),"")</f>
        <v/>
      </c>
      <c r="I471" s="22" t="str">
        <f t="shared" si="30"/>
        <v/>
      </c>
      <c r="J471" s="22" t="str">
        <f t="shared" si="31"/>
        <v/>
      </c>
    </row>
    <row r="472" spans="1:10">
      <c r="A472" s="56" t="str">
        <f>IF(AMS!H492="","",AMS!H492)</f>
        <v/>
      </c>
      <c r="B472" s="22" t="str">
        <f t="shared" si="28"/>
        <v/>
      </c>
      <c r="C472" s="22" t="str">
        <f t="array" ref="C472">IFERROR(INDEX(Summary!$I$3:$I$1000,SMALL((Summary!$I$3:$I$1000="")/0.1%+ROW($3:$1000),ROW()-2)-2)&amp;"","")</f>
        <v/>
      </c>
      <c r="D472" s="22" t="str">
        <v/>
      </c>
      <c r="E472" s="22" t="str">
        <f t="shared" si="29"/>
        <v/>
      </c>
      <c r="F472" s="56" t="str">
        <f>IF(AMS!I492="","",AMS!I492)</f>
        <v/>
      </c>
      <c r="G472" s="56" t="str">
        <f>IF(AMS!J492="","",AMS!J492)</f>
        <v/>
      </c>
      <c r="H472" s="22" t="str">
        <f t="array" ref="H472">IF(A472&lt;&gt;" ",IFERROR(INDEX(Summary!$G$3:$G$1000,SMALL((Summary!$G$3:$G$1000="")/0.1%+ROW($3:$1000),ROW()-2)-2)&amp;"",""),"")</f>
        <v/>
      </c>
      <c r="I472" s="22" t="str">
        <f t="shared" si="30"/>
        <v/>
      </c>
      <c r="J472" s="22" t="str">
        <f t="shared" si="31"/>
        <v/>
      </c>
    </row>
    <row r="473" spans="1:10">
      <c r="A473" s="56" t="str">
        <f>IF(AMS!H493="","",AMS!H493)</f>
        <v/>
      </c>
      <c r="B473" s="22" t="str">
        <f t="shared" si="28"/>
        <v/>
      </c>
      <c r="C473" s="22" t="str">
        <f t="array" ref="C473">IFERROR(INDEX(Summary!$I$3:$I$1000,SMALL((Summary!$I$3:$I$1000="")/0.1%+ROW($3:$1000),ROW()-2)-2)&amp;"","")</f>
        <v/>
      </c>
      <c r="D473" s="22" t="str">
        <v/>
      </c>
      <c r="E473" s="22" t="str">
        <f t="shared" si="29"/>
        <v/>
      </c>
      <c r="F473" s="56" t="str">
        <f>IF(AMS!I493="","",AMS!I493)</f>
        <v/>
      </c>
      <c r="G473" s="56" t="str">
        <f>IF(AMS!J493="","",AMS!J493)</f>
        <v/>
      </c>
      <c r="H473" s="22" t="str">
        <f t="array" ref="H473">IF(A473&lt;&gt;" ",IFERROR(INDEX(Summary!$G$3:$G$1000,SMALL((Summary!$G$3:$G$1000="")/0.1%+ROW($3:$1000),ROW()-2)-2)&amp;"",""),"")</f>
        <v/>
      </c>
      <c r="I473" s="22" t="str">
        <f t="shared" si="30"/>
        <v/>
      </c>
      <c r="J473" s="22" t="str">
        <f t="shared" si="31"/>
        <v/>
      </c>
    </row>
    <row r="474" spans="1:10">
      <c r="A474" s="56" t="str">
        <f>IF(AMS!H494="","",AMS!H494)</f>
        <v/>
      </c>
      <c r="B474" s="22" t="str">
        <f t="shared" si="28"/>
        <v/>
      </c>
      <c r="C474" s="22" t="str">
        <f t="array" ref="C474">IFERROR(INDEX(Summary!$I$3:$I$1000,SMALL((Summary!$I$3:$I$1000="")/0.1%+ROW($3:$1000),ROW()-2)-2)&amp;"","")</f>
        <v/>
      </c>
      <c r="D474" s="22" t="str">
        <v/>
      </c>
      <c r="E474" s="22" t="str">
        <f t="shared" si="29"/>
        <v/>
      </c>
      <c r="F474" s="56" t="str">
        <f>IF(AMS!I494="","",AMS!I494)</f>
        <v/>
      </c>
      <c r="G474" s="56" t="str">
        <f>IF(AMS!J494="","",AMS!J494)</f>
        <v/>
      </c>
      <c r="H474" s="22" t="str">
        <f t="array" ref="H474">IF(A474&lt;&gt;" ",IFERROR(INDEX(Summary!$G$3:$G$1000,SMALL((Summary!$G$3:$G$1000="")/0.1%+ROW($3:$1000),ROW()-2)-2)&amp;"",""),"")</f>
        <v/>
      </c>
      <c r="I474" s="22" t="str">
        <f t="shared" si="30"/>
        <v/>
      </c>
      <c r="J474" s="22" t="str">
        <f t="shared" si="31"/>
        <v/>
      </c>
    </row>
    <row r="475" spans="1:10">
      <c r="A475" s="56" t="str">
        <f>IF(AMS!H495="","",AMS!H495)</f>
        <v/>
      </c>
      <c r="B475" s="22" t="str">
        <f t="shared" si="28"/>
        <v/>
      </c>
      <c r="C475" s="22" t="str">
        <f t="array" ref="C475">IFERROR(INDEX(Summary!$I$3:$I$1000,SMALL((Summary!$I$3:$I$1000="")/0.1%+ROW($3:$1000),ROW()-2)-2)&amp;"","")</f>
        <v/>
      </c>
      <c r="D475" s="22" t="str">
        <v/>
      </c>
      <c r="E475" s="22" t="str">
        <f t="shared" si="29"/>
        <v/>
      </c>
      <c r="F475" s="56" t="str">
        <f>IF(AMS!I495="","",AMS!I495)</f>
        <v/>
      </c>
      <c r="G475" s="56" t="str">
        <f>IF(AMS!J495="","",AMS!J495)</f>
        <v/>
      </c>
      <c r="H475" s="22" t="str">
        <f t="array" ref="H475">IF(A475&lt;&gt;" ",IFERROR(INDEX(Summary!$G$3:$G$1000,SMALL((Summary!$G$3:$G$1000="")/0.1%+ROW($3:$1000),ROW()-2)-2)&amp;"",""),"")</f>
        <v/>
      </c>
      <c r="I475" s="22" t="str">
        <f t="shared" si="30"/>
        <v/>
      </c>
      <c r="J475" s="22" t="str">
        <f t="shared" si="31"/>
        <v/>
      </c>
    </row>
    <row r="476" spans="1:10">
      <c r="A476" s="56" t="str">
        <f>IF(AMS!H496="","",AMS!H496)</f>
        <v/>
      </c>
      <c r="B476" s="22" t="str">
        <f t="shared" si="28"/>
        <v/>
      </c>
      <c r="C476" s="22" t="str">
        <f t="array" ref="C476">IFERROR(INDEX(Summary!$I$3:$I$1000,SMALL((Summary!$I$3:$I$1000="")/0.1%+ROW($3:$1000),ROW()-2)-2)&amp;"","")</f>
        <v/>
      </c>
      <c r="D476" s="22" t="str">
        <v/>
      </c>
      <c r="E476" s="22" t="str">
        <f t="shared" si="29"/>
        <v/>
      </c>
      <c r="F476" s="56" t="str">
        <f>IF(AMS!I496="","",AMS!I496)</f>
        <v/>
      </c>
      <c r="G476" s="56" t="str">
        <f>IF(AMS!J496="","",AMS!J496)</f>
        <v/>
      </c>
      <c r="H476" s="22" t="str">
        <f t="array" ref="H476">IF(A476&lt;&gt;" ",IFERROR(INDEX(Summary!$G$3:$G$1000,SMALL((Summary!$G$3:$G$1000="")/0.1%+ROW($3:$1000),ROW()-2)-2)&amp;"",""),"")</f>
        <v/>
      </c>
      <c r="I476" s="22" t="str">
        <f t="shared" si="30"/>
        <v/>
      </c>
      <c r="J476" s="22" t="str">
        <f t="shared" si="31"/>
        <v/>
      </c>
    </row>
    <row r="477" spans="1:10">
      <c r="A477" s="56" t="str">
        <f>IF(AMS!H497="","",AMS!H497)</f>
        <v/>
      </c>
      <c r="B477" s="22" t="str">
        <f t="shared" si="28"/>
        <v/>
      </c>
      <c r="C477" s="22" t="str">
        <f t="array" ref="C477">IFERROR(INDEX(Summary!$I$3:$I$1000,SMALL((Summary!$I$3:$I$1000="")/0.1%+ROW($3:$1000),ROW()-2)-2)&amp;"","")</f>
        <v/>
      </c>
      <c r="D477" s="22" t="str">
        <v/>
      </c>
      <c r="E477" s="22" t="str">
        <f t="shared" si="29"/>
        <v/>
      </c>
      <c r="F477" s="56" t="str">
        <f>IF(AMS!I497="","",AMS!I497)</f>
        <v/>
      </c>
      <c r="G477" s="56" t="str">
        <f>IF(AMS!J497="","",AMS!J497)</f>
        <v/>
      </c>
      <c r="H477" s="22" t="str">
        <f t="array" ref="H477">IF(A477&lt;&gt;" ",IFERROR(INDEX(Summary!$G$3:$G$1000,SMALL((Summary!$G$3:$G$1000="")/0.1%+ROW($3:$1000),ROW()-2)-2)&amp;"",""),"")</f>
        <v/>
      </c>
      <c r="I477" s="22" t="str">
        <f t="shared" si="30"/>
        <v/>
      </c>
      <c r="J477" s="22" t="str">
        <f t="shared" si="31"/>
        <v/>
      </c>
    </row>
    <row r="478" spans="1:10">
      <c r="A478" s="56" t="str">
        <f>IF(AMS!H498="","",AMS!H498)</f>
        <v/>
      </c>
      <c r="B478" s="22" t="str">
        <f t="shared" si="28"/>
        <v/>
      </c>
      <c r="C478" s="22" t="str">
        <f t="array" ref="C478">IFERROR(INDEX(Summary!$I$3:$I$1000,SMALL((Summary!$I$3:$I$1000="")/0.1%+ROW($3:$1000),ROW()-2)-2)&amp;"","")</f>
        <v/>
      </c>
      <c r="D478" s="22" t="str">
        <v/>
      </c>
      <c r="E478" s="22" t="str">
        <f t="shared" si="29"/>
        <v/>
      </c>
      <c r="F478" s="56" t="str">
        <f>IF(AMS!I498="","",AMS!I498)</f>
        <v/>
      </c>
      <c r="G478" s="56" t="str">
        <f>IF(AMS!J498="","",AMS!J498)</f>
        <v/>
      </c>
      <c r="H478" s="22" t="str">
        <f t="array" ref="H478">IF(A478&lt;&gt;" ",IFERROR(INDEX(Summary!$G$3:$G$1000,SMALL((Summary!$G$3:$G$1000="")/0.1%+ROW($3:$1000),ROW()-2)-2)&amp;"",""),"")</f>
        <v/>
      </c>
      <c r="I478" s="22" t="str">
        <f t="shared" si="30"/>
        <v/>
      </c>
      <c r="J478" s="22" t="str">
        <f t="shared" si="31"/>
        <v/>
      </c>
    </row>
    <row r="479" spans="1:10">
      <c r="A479" s="56" t="str">
        <f>IF(AMS!H499="","",AMS!H499)</f>
        <v/>
      </c>
      <c r="B479" s="22" t="str">
        <f t="shared" si="28"/>
        <v/>
      </c>
      <c r="C479" s="22" t="str">
        <f t="array" ref="C479">IFERROR(INDEX(Summary!$I$3:$I$1000,SMALL((Summary!$I$3:$I$1000="")/0.1%+ROW($3:$1000),ROW()-2)-2)&amp;"","")</f>
        <v/>
      </c>
      <c r="D479" s="22" t="str">
        <v/>
      </c>
      <c r="E479" s="22" t="str">
        <f t="shared" si="29"/>
        <v/>
      </c>
      <c r="F479" s="56" t="str">
        <f>IF(AMS!I499="","",AMS!I499)</f>
        <v/>
      </c>
      <c r="G479" s="56" t="str">
        <f>IF(AMS!J499="","",AMS!J499)</f>
        <v/>
      </c>
      <c r="H479" s="22" t="str">
        <f t="array" ref="H479">IF(A479&lt;&gt;" ",IFERROR(INDEX(Summary!$G$3:$G$1000,SMALL((Summary!$G$3:$G$1000="")/0.1%+ROW($3:$1000),ROW()-2)-2)&amp;"",""),"")</f>
        <v/>
      </c>
      <c r="I479" s="22" t="str">
        <f t="shared" si="30"/>
        <v/>
      </c>
      <c r="J479" s="22" t="str">
        <f t="shared" si="31"/>
        <v/>
      </c>
    </row>
    <row r="480" spans="1:10">
      <c r="A480" s="56" t="str">
        <f>IF(AMS!H500="","",AMS!H500)</f>
        <v/>
      </c>
      <c r="B480" s="22" t="str">
        <f t="shared" si="28"/>
        <v/>
      </c>
      <c r="C480" s="22" t="str">
        <f t="array" ref="C480">IFERROR(INDEX(Summary!$I$3:$I$1000,SMALL((Summary!$I$3:$I$1000="")/0.1%+ROW($3:$1000),ROW()-2)-2)&amp;"","")</f>
        <v/>
      </c>
      <c r="D480" s="22" t="str">
        <v/>
      </c>
      <c r="E480" s="22" t="str">
        <f t="shared" si="29"/>
        <v/>
      </c>
      <c r="F480" s="56" t="str">
        <f>IF(AMS!I500="","",AMS!I500)</f>
        <v/>
      </c>
      <c r="G480" s="56" t="str">
        <f>IF(AMS!J500="","",AMS!J500)</f>
        <v/>
      </c>
      <c r="H480" s="22" t="str">
        <f t="array" ref="H480">IF(A480&lt;&gt;" ",IFERROR(INDEX(Summary!$G$3:$G$1000,SMALL((Summary!$G$3:$G$1000="")/0.1%+ROW($3:$1000),ROW()-2)-2)&amp;"",""),"")</f>
        <v/>
      </c>
      <c r="I480" s="22" t="str">
        <f t="shared" si="30"/>
        <v/>
      </c>
      <c r="J480" s="22" t="str">
        <f t="shared" si="31"/>
        <v/>
      </c>
    </row>
    <row r="481" spans="1:10">
      <c r="A481" s="56" t="str">
        <f>IF(AMS!H501="","",AMS!H501)</f>
        <v/>
      </c>
      <c r="B481" s="22" t="str">
        <f t="shared" si="28"/>
        <v/>
      </c>
      <c r="C481" s="22" t="str">
        <f t="array" ref="C481">IFERROR(INDEX(Summary!$I$3:$I$1000,SMALL((Summary!$I$3:$I$1000="")/0.1%+ROW($3:$1000),ROW()-2)-2)&amp;"","")</f>
        <v/>
      </c>
      <c r="D481" s="22" t="str">
        <v/>
      </c>
      <c r="E481" s="22" t="str">
        <f t="shared" si="29"/>
        <v/>
      </c>
      <c r="F481" s="56" t="str">
        <f>IF(AMS!I501="","",AMS!I501)</f>
        <v/>
      </c>
      <c r="G481" s="56" t="str">
        <f>IF(AMS!J501="","",AMS!J501)</f>
        <v/>
      </c>
      <c r="H481" s="22" t="str">
        <f t="array" ref="H481">IF(A481&lt;&gt;" ",IFERROR(INDEX(Summary!$G$3:$G$1000,SMALL((Summary!$G$3:$G$1000="")/0.1%+ROW($3:$1000),ROW()-2)-2)&amp;"",""),"")</f>
        <v/>
      </c>
      <c r="I481" s="22" t="str">
        <f t="shared" si="30"/>
        <v/>
      </c>
      <c r="J481" s="22" t="str">
        <f t="shared" si="31"/>
        <v/>
      </c>
    </row>
    <row r="482" spans="1:10">
      <c r="A482" s="56" t="str">
        <f>IF(AMS!H502="","",AMS!H502)</f>
        <v/>
      </c>
      <c r="B482" s="22" t="str">
        <f t="shared" si="28"/>
        <v/>
      </c>
      <c r="C482" s="22" t="str">
        <f t="array" ref="C482">IFERROR(INDEX(Summary!$I$3:$I$1000,SMALL((Summary!$I$3:$I$1000="")/0.1%+ROW($3:$1000),ROW()-2)-2)&amp;"","")</f>
        <v/>
      </c>
      <c r="D482" s="22" t="str">
        <v/>
      </c>
      <c r="E482" s="22" t="str">
        <f t="shared" si="29"/>
        <v/>
      </c>
      <c r="F482" s="56" t="str">
        <f>IF(AMS!I502="","",AMS!I502)</f>
        <v/>
      </c>
      <c r="G482" s="56" t="str">
        <f>IF(AMS!J502="","",AMS!J502)</f>
        <v/>
      </c>
      <c r="H482" s="22" t="str">
        <f t="array" ref="H482">IF(A482&lt;&gt;" ",IFERROR(INDEX(Summary!$G$3:$G$1000,SMALL((Summary!$G$3:$G$1000="")/0.1%+ROW($3:$1000),ROW()-2)-2)&amp;"",""),"")</f>
        <v/>
      </c>
      <c r="I482" s="22" t="str">
        <f t="shared" si="30"/>
        <v/>
      </c>
      <c r="J482" s="22" t="str">
        <f t="shared" si="31"/>
        <v/>
      </c>
    </row>
    <row r="483" spans="1:10">
      <c r="A483" s="56" t="str">
        <f>IF(AMS!H503="","",AMS!H503)</f>
        <v/>
      </c>
      <c r="B483" s="22" t="str">
        <f t="shared" si="28"/>
        <v/>
      </c>
      <c r="C483" s="22" t="str">
        <f t="array" ref="C483">IFERROR(INDEX(Summary!$I$3:$I$1000,SMALL((Summary!$I$3:$I$1000="")/0.1%+ROW($3:$1000),ROW()-2)-2)&amp;"","")</f>
        <v/>
      </c>
      <c r="D483" s="22" t="str">
        <v/>
      </c>
      <c r="E483" s="22" t="str">
        <f t="shared" si="29"/>
        <v/>
      </c>
      <c r="F483" s="56" t="str">
        <f>IF(AMS!I503="","",AMS!I503)</f>
        <v/>
      </c>
      <c r="G483" s="56" t="str">
        <f>IF(AMS!J503="","",AMS!J503)</f>
        <v/>
      </c>
      <c r="H483" s="22" t="str">
        <f t="array" ref="H483">IF(A483&lt;&gt;" ",IFERROR(INDEX(Summary!$G$3:$G$1000,SMALL((Summary!$G$3:$G$1000="")/0.1%+ROW($3:$1000),ROW()-2)-2)&amp;"",""),"")</f>
        <v/>
      </c>
      <c r="I483" s="22" t="str">
        <f t="shared" si="30"/>
        <v/>
      </c>
      <c r="J483" s="22" t="str">
        <f t="shared" si="31"/>
        <v/>
      </c>
    </row>
    <row r="484" spans="1:10">
      <c r="A484" s="56" t="str">
        <f>IF(AMS!H504="","",AMS!H504)</f>
        <v/>
      </c>
      <c r="B484" s="22" t="str">
        <f t="shared" si="28"/>
        <v/>
      </c>
      <c r="C484" s="22" t="str">
        <f t="array" ref="C484">IFERROR(INDEX(Summary!$I$3:$I$1000,SMALL((Summary!$I$3:$I$1000="")/0.1%+ROW($3:$1000),ROW()-2)-2)&amp;"","")</f>
        <v/>
      </c>
      <c r="D484" s="22" t="str">
        <v/>
      </c>
      <c r="E484" s="22" t="str">
        <f t="shared" si="29"/>
        <v/>
      </c>
      <c r="F484" s="56" t="str">
        <f>IF(AMS!I504="","",AMS!I504)</f>
        <v/>
      </c>
      <c r="G484" s="56" t="str">
        <f>IF(AMS!J504="","",AMS!J504)</f>
        <v/>
      </c>
      <c r="H484" s="22" t="str">
        <f t="array" ref="H484">IF(A484&lt;&gt;" ",IFERROR(INDEX(Summary!$G$3:$G$1000,SMALL((Summary!$G$3:$G$1000="")/0.1%+ROW($3:$1000),ROW()-2)-2)&amp;"",""),"")</f>
        <v/>
      </c>
      <c r="I484" s="22" t="str">
        <f t="shared" si="30"/>
        <v/>
      </c>
      <c r="J484" s="22" t="str">
        <f t="shared" si="31"/>
        <v/>
      </c>
    </row>
    <row r="485" spans="1:10">
      <c r="A485" s="56" t="str">
        <f>IF(AMS!H505="","",AMS!H505)</f>
        <v/>
      </c>
      <c r="B485" s="22" t="str">
        <f t="shared" si="28"/>
        <v/>
      </c>
      <c r="C485" s="22" t="str">
        <f t="array" ref="C485">IFERROR(INDEX(Summary!$I$3:$I$1000,SMALL((Summary!$I$3:$I$1000="")/0.1%+ROW($3:$1000),ROW()-2)-2)&amp;"","")</f>
        <v/>
      </c>
      <c r="D485" s="22" t="str">
        <v/>
      </c>
      <c r="E485" s="22" t="str">
        <f t="shared" si="29"/>
        <v/>
      </c>
      <c r="F485" s="56" t="str">
        <f>IF(AMS!I505="","",AMS!I505)</f>
        <v/>
      </c>
      <c r="G485" s="56" t="str">
        <f>IF(AMS!J505="","",AMS!J505)</f>
        <v/>
      </c>
      <c r="H485" s="22" t="str">
        <f t="array" ref="H485">IF(A485&lt;&gt;" ",IFERROR(INDEX(Summary!$G$3:$G$1000,SMALL((Summary!$G$3:$G$1000="")/0.1%+ROW($3:$1000),ROW()-2)-2)&amp;"",""),"")</f>
        <v/>
      </c>
      <c r="I485" s="22" t="str">
        <f t="shared" si="30"/>
        <v/>
      </c>
      <c r="J485" s="22" t="str">
        <f t="shared" si="31"/>
        <v/>
      </c>
    </row>
    <row r="486" spans="1:10">
      <c r="A486" s="56" t="str">
        <f>IF(AMS!H506="","",AMS!H506)</f>
        <v/>
      </c>
      <c r="B486" s="22" t="str">
        <f t="shared" si="28"/>
        <v/>
      </c>
      <c r="C486" s="22" t="str">
        <f t="array" ref="C486">IFERROR(INDEX(Summary!$I$3:$I$1000,SMALL((Summary!$I$3:$I$1000="")/0.1%+ROW($3:$1000),ROW()-2)-2)&amp;"","")</f>
        <v/>
      </c>
      <c r="D486" s="22" t="str">
        <v/>
      </c>
      <c r="E486" s="22" t="str">
        <f t="shared" si="29"/>
        <v/>
      </c>
      <c r="F486" s="56" t="str">
        <f>IF(AMS!I506="","",AMS!I506)</f>
        <v/>
      </c>
      <c r="G486" s="56" t="str">
        <f>IF(AMS!J506="","",AMS!J506)</f>
        <v/>
      </c>
      <c r="H486" s="22" t="str">
        <f t="array" ref="H486">IF(A486&lt;&gt;" ",IFERROR(INDEX(Summary!$G$3:$G$1000,SMALL((Summary!$G$3:$G$1000="")/0.1%+ROW($3:$1000),ROW()-2)-2)&amp;"",""),"")</f>
        <v/>
      </c>
      <c r="I486" s="22" t="str">
        <f t="shared" si="30"/>
        <v/>
      </c>
      <c r="J486" s="22" t="str">
        <f t="shared" si="31"/>
        <v/>
      </c>
    </row>
    <row r="487" spans="1:10">
      <c r="A487" s="56" t="str">
        <f>IF(AMS!H507="","",AMS!H507)</f>
        <v/>
      </c>
      <c r="B487" s="22" t="str">
        <f t="shared" si="28"/>
        <v/>
      </c>
      <c r="C487" s="22" t="str">
        <f t="array" ref="C487">IFERROR(INDEX(Summary!$I$3:$I$1000,SMALL((Summary!$I$3:$I$1000="")/0.1%+ROW($3:$1000),ROW()-2)-2)&amp;"","")</f>
        <v/>
      </c>
      <c r="D487" s="22" t="str">
        <v/>
      </c>
      <c r="E487" s="22" t="str">
        <f t="shared" si="29"/>
        <v/>
      </c>
      <c r="F487" s="56" t="str">
        <f>IF(AMS!I507="","",AMS!I507)</f>
        <v/>
      </c>
      <c r="G487" s="56" t="str">
        <f>IF(AMS!J507="","",AMS!J507)</f>
        <v/>
      </c>
      <c r="H487" s="22" t="str">
        <f t="array" ref="H487">IF(A487&lt;&gt;" ",IFERROR(INDEX(Summary!$G$3:$G$1000,SMALL((Summary!$G$3:$G$1000="")/0.1%+ROW($3:$1000),ROW()-2)-2)&amp;"",""),"")</f>
        <v/>
      </c>
      <c r="I487" s="22" t="str">
        <f t="shared" si="30"/>
        <v/>
      </c>
      <c r="J487" s="22" t="str">
        <f t="shared" si="31"/>
        <v/>
      </c>
    </row>
    <row r="488" spans="1:10">
      <c r="A488" s="56" t="str">
        <f>IF(AMS!H508="","",AMS!H508)</f>
        <v/>
      </c>
      <c r="B488" s="22" t="str">
        <f t="shared" si="28"/>
        <v/>
      </c>
      <c r="C488" s="22" t="str">
        <f t="array" ref="C488">IFERROR(INDEX(Summary!$I$3:$I$1000,SMALL((Summary!$I$3:$I$1000="")/0.1%+ROW($3:$1000),ROW()-2)-2)&amp;"","")</f>
        <v/>
      </c>
      <c r="D488" s="22" t="str">
        <v/>
      </c>
      <c r="E488" s="22" t="str">
        <f t="shared" si="29"/>
        <v/>
      </c>
      <c r="F488" s="56" t="str">
        <f>IF(AMS!I508="","",AMS!I508)</f>
        <v/>
      </c>
      <c r="G488" s="56" t="str">
        <f>IF(AMS!J508="","",AMS!J508)</f>
        <v/>
      </c>
      <c r="H488" s="22" t="str">
        <f t="array" ref="H488">IF(A488&lt;&gt;" ",IFERROR(INDEX(Summary!$G$3:$G$1000,SMALL((Summary!$G$3:$G$1000="")/0.1%+ROW($3:$1000),ROW()-2)-2)&amp;"",""),"")</f>
        <v/>
      </c>
      <c r="I488" s="22" t="str">
        <f t="shared" si="30"/>
        <v/>
      </c>
      <c r="J488" s="22" t="str">
        <f t="shared" si="31"/>
        <v/>
      </c>
    </row>
    <row r="489" spans="1:10">
      <c r="A489" s="56" t="str">
        <f>IF(AMS!H509="","",AMS!H509)</f>
        <v/>
      </c>
      <c r="B489" s="22" t="str">
        <f t="shared" si="28"/>
        <v/>
      </c>
      <c r="C489" s="22" t="str">
        <f t="array" ref="C489">IFERROR(INDEX(Summary!$I$3:$I$1000,SMALL((Summary!$I$3:$I$1000="")/0.1%+ROW($3:$1000),ROW()-2)-2)&amp;"","")</f>
        <v/>
      </c>
      <c r="D489" s="22" t="str">
        <v/>
      </c>
      <c r="E489" s="22" t="str">
        <f t="shared" si="29"/>
        <v/>
      </c>
      <c r="F489" s="56" t="str">
        <f>IF(AMS!I509="","",AMS!I509)</f>
        <v/>
      </c>
      <c r="G489" s="56" t="str">
        <f>IF(AMS!J509="","",AMS!J509)</f>
        <v/>
      </c>
      <c r="H489" s="22" t="str">
        <f t="array" ref="H489">IF(A489&lt;&gt;" ",IFERROR(INDEX(Summary!$G$3:$G$1000,SMALL((Summary!$G$3:$G$1000="")/0.1%+ROW($3:$1000),ROW()-2)-2)&amp;"",""),"")</f>
        <v/>
      </c>
      <c r="I489" s="22" t="str">
        <f t="shared" si="30"/>
        <v/>
      </c>
      <c r="J489" s="22" t="str">
        <f t="shared" si="31"/>
        <v/>
      </c>
    </row>
    <row r="490" spans="1:10">
      <c r="A490" s="56" t="str">
        <f>IF(AMS!H510="","",AMS!H510)</f>
        <v/>
      </c>
      <c r="B490" s="22" t="str">
        <f t="shared" si="28"/>
        <v/>
      </c>
      <c r="C490" s="22" t="str">
        <f t="array" ref="C490">IFERROR(INDEX(Summary!$I$3:$I$1000,SMALL((Summary!$I$3:$I$1000="")/0.1%+ROW($3:$1000),ROW()-2)-2)&amp;"","")</f>
        <v/>
      </c>
      <c r="D490" s="22" t="str">
        <v/>
      </c>
      <c r="E490" s="22" t="str">
        <f t="shared" si="29"/>
        <v/>
      </c>
      <c r="F490" s="56" t="str">
        <f>IF(AMS!I510="","",AMS!I510)</f>
        <v/>
      </c>
      <c r="G490" s="56" t="str">
        <f>IF(AMS!J510="","",AMS!J510)</f>
        <v/>
      </c>
      <c r="H490" s="22" t="str">
        <f t="array" ref="H490">IF(A490&lt;&gt;" ",IFERROR(INDEX(Summary!$G$3:$G$1000,SMALL((Summary!$G$3:$G$1000="")/0.1%+ROW($3:$1000),ROW()-2)-2)&amp;"",""),"")</f>
        <v/>
      </c>
      <c r="I490" s="22" t="str">
        <f t="shared" si="30"/>
        <v/>
      </c>
      <c r="J490" s="22" t="str">
        <f t="shared" si="31"/>
        <v/>
      </c>
    </row>
    <row r="491" spans="1:10">
      <c r="A491" s="56" t="str">
        <f>IF(AMS!H511="","",AMS!H511)</f>
        <v/>
      </c>
      <c r="B491" s="22" t="str">
        <f t="shared" si="28"/>
        <v/>
      </c>
      <c r="C491" s="22" t="str">
        <f t="array" ref="C491">IFERROR(INDEX(Summary!$I$3:$I$1000,SMALL((Summary!$I$3:$I$1000="")/0.1%+ROW($3:$1000),ROW()-2)-2)&amp;"","")</f>
        <v/>
      </c>
      <c r="D491" s="22" t="str">
        <v/>
      </c>
      <c r="E491" s="22" t="str">
        <f t="shared" si="29"/>
        <v/>
      </c>
      <c r="F491" s="56" t="str">
        <f>IF(AMS!I511="","",AMS!I511)</f>
        <v/>
      </c>
      <c r="G491" s="56" t="str">
        <f>IF(AMS!J511="","",AMS!J511)</f>
        <v/>
      </c>
      <c r="H491" s="22" t="str">
        <f t="array" ref="H491">IF(A491&lt;&gt;" ",IFERROR(INDEX(Summary!$G$3:$G$1000,SMALL((Summary!$G$3:$G$1000="")/0.1%+ROW($3:$1000),ROW()-2)-2)&amp;"",""),"")</f>
        <v/>
      </c>
      <c r="I491" s="22" t="str">
        <f t="shared" si="30"/>
        <v/>
      </c>
      <c r="J491" s="22" t="str">
        <f t="shared" si="31"/>
        <v/>
      </c>
    </row>
    <row r="492" spans="1:10">
      <c r="A492" s="56" t="str">
        <f>IF(AMS!H512="","",AMS!H512)</f>
        <v/>
      </c>
      <c r="B492" s="22" t="str">
        <f t="shared" si="28"/>
        <v/>
      </c>
      <c r="C492" s="22" t="str">
        <f t="array" ref="C492">IFERROR(INDEX(Summary!$I$3:$I$1000,SMALL((Summary!$I$3:$I$1000="")/0.1%+ROW($3:$1000),ROW()-2)-2)&amp;"","")</f>
        <v/>
      </c>
      <c r="D492" s="22" t="str">
        <v/>
      </c>
      <c r="E492" s="22" t="str">
        <f t="shared" si="29"/>
        <v/>
      </c>
      <c r="F492" s="56" t="str">
        <f>IF(AMS!I512="","",AMS!I512)</f>
        <v/>
      </c>
      <c r="G492" s="56" t="str">
        <f>IF(AMS!J512="","",AMS!J512)</f>
        <v/>
      </c>
      <c r="H492" s="22" t="str">
        <f t="array" ref="H492">IF(A492&lt;&gt;" ",IFERROR(INDEX(Summary!$G$3:$G$1000,SMALL((Summary!$G$3:$G$1000="")/0.1%+ROW($3:$1000),ROW()-2)-2)&amp;"",""),"")</f>
        <v/>
      </c>
      <c r="I492" s="22" t="str">
        <f t="shared" si="30"/>
        <v/>
      </c>
      <c r="J492" s="22" t="str">
        <f t="shared" si="31"/>
        <v/>
      </c>
    </row>
    <row r="493" spans="1:10">
      <c r="A493" s="56" t="str">
        <f>IF(AMS!H513="","",AMS!H513)</f>
        <v/>
      </c>
      <c r="B493" s="22" t="str">
        <f t="shared" si="28"/>
        <v/>
      </c>
      <c r="C493" s="22" t="str">
        <f t="array" ref="C493">IFERROR(INDEX(Summary!$I$3:$I$1000,SMALL((Summary!$I$3:$I$1000="")/0.1%+ROW($3:$1000),ROW()-2)-2)&amp;"","")</f>
        <v/>
      </c>
      <c r="D493" s="22" t="str">
        <v/>
      </c>
      <c r="E493" s="22" t="str">
        <f t="shared" si="29"/>
        <v/>
      </c>
      <c r="F493" s="56" t="str">
        <f>IF(AMS!I513="","",AMS!I513)</f>
        <v/>
      </c>
      <c r="G493" s="56" t="str">
        <f>IF(AMS!J513="","",AMS!J513)</f>
        <v/>
      </c>
      <c r="H493" s="22" t="str">
        <f t="array" ref="H493">IF(A493&lt;&gt;" ",IFERROR(INDEX(Summary!$G$3:$G$1000,SMALL((Summary!$G$3:$G$1000="")/0.1%+ROW($3:$1000),ROW()-2)-2)&amp;"",""),"")</f>
        <v/>
      </c>
      <c r="I493" s="22" t="str">
        <f t="shared" si="30"/>
        <v/>
      </c>
      <c r="J493" s="22" t="str">
        <f t="shared" si="31"/>
        <v/>
      </c>
    </row>
    <row r="494" spans="1:10">
      <c r="A494" s="56" t="str">
        <f>IF(AMS!H514="","",AMS!H514)</f>
        <v/>
      </c>
      <c r="B494" s="22" t="str">
        <f t="shared" si="28"/>
        <v/>
      </c>
      <c r="C494" s="22" t="str">
        <f t="array" ref="C494">IFERROR(INDEX(Summary!$I$3:$I$1000,SMALL((Summary!$I$3:$I$1000="")/0.1%+ROW($3:$1000),ROW()-2)-2)&amp;"","")</f>
        <v/>
      </c>
      <c r="D494" s="22" t="str">
        <v/>
      </c>
      <c r="E494" s="22" t="str">
        <f t="shared" si="29"/>
        <v/>
      </c>
      <c r="F494" s="56" t="str">
        <f>IF(AMS!I514="","",AMS!I514)</f>
        <v/>
      </c>
      <c r="G494" s="56" t="str">
        <f>IF(AMS!J514="","",AMS!J514)</f>
        <v/>
      </c>
      <c r="H494" s="22" t="str">
        <f t="array" ref="H494">IF(A494&lt;&gt;" ",IFERROR(INDEX(Summary!$G$3:$G$1000,SMALL((Summary!$G$3:$G$1000="")/0.1%+ROW($3:$1000),ROW()-2)-2)&amp;"",""),"")</f>
        <v/>
      </c>
      <c r="I494" s="22" t="str">
        <f t="shared" si="30"/>
        <v/>
      </c>
      <c r="J494" s="22" t="str">
        <f t="shared" si="31"/>
        <v/>
      </c>
    </row>
    <row r="495" spans="1:10">
      <c r="A495" s="56" t="str">
        <f>IF(AMS!H515="","",AMS!H515)</f>
        <v/>
      </c>
      <c r="B495" s="22" t="str">
        <f t="shared" si="28"/>
        <v/>
      </c>
      <c r="C495" s="22" t="str">
        <f t="array" ref="C495">IFERROR(INDEX(Summary!$I$3:$I$1000,SMALL((Summary!$I$3:$I$1000="")/0.1%+ROW($3:$1000),ROW()-2)-2)&amp;"","")</f>
        <v/>
      </c>
      <c r="D495" s="22" t="str">
        <v/>
      </c>
      <c r="E495" s="22" t="str">
        <f t="shared" si="29"/>
        <v/>
      </c>
      <c r="F495" s="56" t="str">
        <f>IF(AMS!I515="","",AMS!I515)</f>
        <v/>
      </c>
      <c r="G495" s="56" t="str">
        <f>IF(AMS!J515="","",AMS!J515)</f>
        <v/>
      </c>
      <c r="H495" s="22" t="str">
        <f t="array" ref="H495">IF(A495&lt;&gt;" ",IFERROR(INDEX(Summary!$G$3:$G$1000,SMALL((Summary!$G$3:$G$1000="")/0.1%+ROW($3:$1000),ROW()-2)-2)&amp;"",""),"")</f>
        <v/>
      </c>
      <c r="I495" s="22" t="str">
        <f t="shared" si="30"/>
        <v/>
      </c>
      <c r="J495" s="22" t="str">
        <f t="shared" si="31"/>
        <v/>
      </c>
    </row>
    <row r="496" spans="1:10">
      <c r="A496" s="56" t="str">
        <f>IF(AMS!H516="","",AMS!H516)</f>
        <v/>
      </c>
      <c r="B496" s="22" t="str">
        <f t="shared" si="28"/>
        <v/>
      </c>
      <c r="C496" s="22" t="str">
        <f t="array" ref="C496">IFERROR(INDEX(Summary!$I$3:$I$1000,SMALL((Summary!$I$3:$I$1000="")/0.1%+ROW($3:$1000),ROW()-2)-2)&amp;"","")</f>
        <v/>
      </c>
      <c r="D496" s="22" t="str">
        <v/>
      </c>
      <c r="E496" s="22" t="str">
        <f t="shared" si="29"/>
        <v/>
      </c>
      <c r="F496" s="56" t="str">
        <f>IF(AMS!I516="","",AMS!I516)</f>
        <v/>
      </c>
      <c r="G496" s="56" t="str">
        <f>IF(AMS!J516="","",AMS!J516)</f>
        <v/>
      </c>
      <c r="H496" s="22" t="str">
        <f t="array" ref="H496">IF(A496&lt;&gt;" ",IFERROR(INDEX(Summary!$G$3:$G$1000,SMALL((Summary!$G$3:$G$1000="")/0.1%+ROW($3:$1000),ROW()-2)-2)&amp;"",""),"")</f>
        <v/>
      </c>
      <c r="I496" s="22" t="str">
        <f t="shared" si="30"/>
        <v/>
      </c>
      <c r="J496" s="22" t="str">
        <f t="shared" si="31"/>
        <v/>
      </c>
    </row>
    <row r="497" spans="1:10">
      <c r="A497" s="56" t="str">
        <f>IF(AMS!H517="","",AMS!H517)</f>
        <v/>
      </c>
      <c r="B497" s="22" t="str">
        <f t="shared" si="28"/>
        <v/>
      </c>
      <c r="C497" s="22" t="str">
        <f t="array" ref="C497">IFERROR(INDEX(Summary!$I$3:$I$1000,SMALL((Summary!$I$3:$I$1000="")/0.1%+ROW($3:$1000),ROW()-2)-2)&amp;"","")</f>
        <v/>
      </c>
      <c r="D497" s="22" t="str">
        <v/>
      </c>
      <c r="E497" s="22" t="str">
        <f t="shared" si="29"/>
        <v/>
      </c>
      <c r="F497" s="56" t="str">
        <f>IF(AMS!I517="","",AMS!I517)</f>
        <v/>
      </c>
      <c r="G497" s="56" t="str">
        <f>IF(AMS!J517="","",AMS!J517)</f>
        <v/>
      </c>
      <c r="H497" s="22" t="str">
        <f t="array" ref="H497">IF(A497&lt;&gt;" ",IFERROR(INDEX(Summary!$G$3:$G$1000,SMALL((Summary!$G$3:$G$1000="")/0.1%+ROW($3:$1000),ROW()-2)-2)&amp;"",""),"")</f>
        <v/>
      </c>
      <c r="I497" s="22" t="str">
        <f t="shared" si="30"/>
        <v/>
      </c>
      <c r="J497" s="22" t="str">
        <f t="shared" si="31"/>
        <v/>
      </c>
    </row>
    <row r="498" spans="1:10">
      <c r="A498" s="56" t="str">
        <f>IF(AMS!H518="","",AMS!H518)</f>
        <v/>
      </c>
      <c r="B498" s="22" t="str">
        <f t="shared" si="28"/>
        <v/>
      </c>
      <c r="C498" s="22" t="str">
        <f t="array" ref="C498">IFERROR(INDEX(Summary!$I$3:$I$1000,SMALL((Summary!$I$3:$I$1000="")/0.1%+ROW($3:$1000),ROW()-2)-2)&amp;"","")</f>
        <v/>
      </c>
      <c r="D498" s="22" t="str">
        <v/>
      </c>
      <c r="E498" s="22" t="str">
        <f t="shared" si="29"/>
        <v/>
      </c>
      <c r="F498" s="56" t="str">
        <f>IF(AMS!I518="","",AMS!I518)</f>
        <v/>
      </c>
      <c r="G498" s="56" t="str">
        <f>IF(AMS!J518="","",AMS!J518)</f>
        <v/>
      </c>
      <c r="H498" s="22" t="str">
        <f t="array" ref="H498">IF(A498&lt;&gt;" ",IFERROR(INDEX(Summary!$G$3:$G$1000,SMALL((Summary!$G$3:$G$1000="")/0.1%+ROW($3:$1000),ROW()-2)-2)&amp;"",""),"")</f>
        <v/>
      </c>
      <c r="I498" s="22" t="str">
        <f t="shared" si="30"/>
        <v/>
      </c>
      <c r="J498" s="22" t="str">
        <f t="shared" si="31"/>
        <v/>
      </c>
    </row>
    <row r="499" spans="1:10">
      <c r="A499" s="56" t="str">
        <f>IF(AMS!H519="","",AMS!H519)</f>
        <v/>
      </c>
      <c r="B499" s="22" t="str">
        <f t="shared" si="28"/>
        <v/>
      </c>
      <c r="C499" s="22" t="str">
        <f t="array" ref="C499">IFERROR(INDEX(Summary!$I$3:$I$1000,SMALL((Summary!$I$3:$I$1000="")/0.1%+ROW($3:$1000),ROW()-2)-2)&amp;"","")</f>
        <v/>
      </c>
      <c r="D499" s="22" t="str">
        <v/>
      </c>
      <c r="E499" s="22" t="str">
        <f t="shared" si="29"/>
        <v/>
      </c>
      <c r="F499" s="56" t="str">
        <f>IF(AMS!I519="","",AMS!I519)</f>
        <v/>
      </c>
      <c r="G499" s="56" t="str">
        <f>IF(AMS!J519="","",AMS!J519)</f>
        <v/>
      </c>
      <c r="H499" s="22" t="str">
        <f t="array" ref="H499">IF(A499&lt;&gt;" ",IFERROR(INDEX(Summary!$G$3:$G$1000,SMALL((Summary!$G$3:$G$1000="")/0.1%+ROW($3:$1000),ROW()-2)-2)&amp;"",""),"")</f>
        <v/>
      </c>
      <c r="I499" s="22" t="str">
        <f t="shared" si="30"/>
        <v/>
      </c>
      <c r="J499" s="22" t="str">
        <f t="shared" si="31"/>
        <v/>
      </c>
    </row>
    <row r="500" spans="1:10">
      <c r="A500" s="56" t="str">
        <f>IF(AMS!H520="","",AMS!H520)</f>
        <v/>
      </c>
      <c r="B500" s="22" t="str">
        <f t="shared" si="28"/>
        <v/>
      </c>
      <c r="C500" s="22" t="str">
        <f t="array" ref="C500">IFERROR(INDEX(Summary!$I$3:$I$1000,SMALL((Summary!$I$3:$I$1000="")/0.1%+ROW($3:$1000),ROW()-2)-2)&amp;"","")</f>
        <v/>
      </c>
      <c r="D500" s="22" t="str">
        <v/>
      </c>
      <c r="E500" s="22" t="str">
        <f t="shared" si="29"/>
        <v/>
      </c>
      <c r="F500" s="56" t="str">
        <f>IF(AMS!I520="","",AMS!I520)</f>
        <v/>
      </c>
      <c r="G500" s="56" t="str">
        <f>IF(AMS!J520="","",AMS!J520)</f>
        <v/>
      </c>
      <c r="H500" s="22" t="str">
        <f t="array" ref="H500">IF(A500&lt;&gt;" ",IFERROR(INDEX(Summary!$G$3:$G$1000,SMALL((Summary!$G$3:$G$1000="")/0.1%+ROW($3:$1000),ROW()-2)-2)&amp;"",""),"")</f>
        <v/>
      </c>
      <c r="I500" s="22" t="str">
        <f t="shared" si="30"/>
        <v/>
      </c>
      <c r="J500" s="22" t="str">
        <f t="shared" si="31"/>
        <v/>
      </c>
    </row>
    <row r="501" spans="1:10">
      <c r="A501" s="56" t="str">
        <f>IF(AMS!H521="","",AMS!H521)</f>
        <v/>
      </c>
      <c r="B501" s="22" t="str">
        <f t="shared" si="28"/>
        <v/>
      </c>
      <c r="C501" s="22" t="str">
        <f t="array" ref="C501">IFERROR(INDEX(Summary!$I$3:$I$1000,SMALL((Summary!$I$3:$I$1000="")/0.1%+ROW($3:$1000),ROW()-2)-2)&amp;"","")</f>
        <v/>
      </c>
      <c r="D501" s="22" t="str">
        <v/>
      </c>
      <c r="E501" s="22" t="str">
        <f t="shared" si="29"/>
        <v/>
      </c>
      <c r="F501" s="56" t="str">
        <f>IF(AMS!I521="","",AMS!I521)</f>
        <v/>
      </c>
      <c r="G501" s="56" t="str">
        <f>IF(AMS!J521="","",AMS!J521)</f>
        <v/>
      </c>
      <c r="H501" s="22" t="str">
        <f t="array" ref="H501">IF(A501&lt;&gt;" ",IFERROR(INDEX(Summary!$G$3:$G$1000,SMALL((Summary!$G$3:$G$1000="")/0.1%+ROW($3:$1000),ROW()-2)-2)&amp;"",""),"")</f>
        <v/>
      </c>
      <c r="I501" s="22" t="str">
        <f t="shared" si="30"/>
        <v/>
      </c>
      <c r="J501" s="22" t="str">
        <f t="shared" si="31"/>
        <v/>
      </c>
    </row>
    <row r="502" spans="1:10">
      <c r="A502" s="56" t="str">
        <f>IF(AMS!H522="","",AMS!H522)</f>
        <v/>
      </c>
      <c r="B502" s="22" t="str">
        <f t="shared" si="28"/>
        <v/>
      </c>
      <c r="C502" s="22" t="str">
        <f t="array" ref="C502">IFERROR(INDEX(Summary!$I$3:$I$1000,SMALL((Summary!$I$3:$I$1000="")/0.1%+ROW($3:$1000),ROW()-2)-2)&amp;"","")</f>
        <v/>
      </c>
      <c r="D502" s="22" t="str">
        <v/>
      </c>
      <c r="E502" s="22" t="str">
        <f t="shared" si="29"/>
        <v/>
      </c>
      <c r="F502" s="56" t="str">
        <f>IF(AMS!I522="","",AMS!I522)</f>
        <v/>
      </c>
      <c r="G502" s="56" t="str">
        <f>IF(AMS!J522="","",AMS!J522)</f>
        <v/>
      </c>
      <c r="H502" s="22" t="str">
        <f t="array" ref="H502">IF(A502&lt;&gt;" ",IFERROR(INDEX(Summary!$G$3:$G$1000,SMALL((Summary!$G$3:$G$1000="")/0.1%+ROW($3:$1000),ROW()-2)-2)&amp;"",""),"")</f>
        <v/>
      </c>
      <c r="I502" s="22" t="str">
        <f t="shared" si="30"/>
        <v/>
      </c>
      <c r="J502" s="22" t="str">
        <f t="shared" si="31"/>
        <v/>
      </c>
    </row>
    <row r="503" spans="1:10">
      <c r="A503" s="56" t="str">
        <f>IF(AMS!H523="","",AMS!H523)</f>
        <v/>
      </c>
      <c r="B503" s="22" t="str">
        <f t="shared" si="28"/>
        <v/>
      </c>
      <c r="C503" s="22" t="str">
        <f t="array" ref="C503">IFERROR(INDEX(Summary!$I$3:$I$1000,SMALL((Summary!$I$3:$I$1000="")/0.1%+ROW($3:$1000),ROW()-2)-2)&amp;"","")</f>
        <v/>
      </c>
      <c r="D503" s="22" t="str">
        <v/>
      </c>
      <c r="E503" s="22" t="str">
        <f t="shared" si="29"/>
        <v/>
      </c>
      <c r="F503" s="56" t="str">
        <f>IF(AMS!I523="","",AMS!I523)</f>
        <v/>
      </c>
      <c r="G503" s="56" t="str">
        <f>IF(AMS!J523="","",AMS!J523)</f>
        <v/>
      </c>
      <c r="H503" s="22" t="str">
        <f t="array" ref="H503">IF(A503&lt;&gt;" ",IFERROR(INDEX(Summary!$G$3:$G$1000,SMALL((Summary!$G$3:$G$1000="")/0.1%+ROW($3:$1000),ROW()-2)-2)&amp;"",""),"")</f>
        <v/>
      </c>
      <c r="I503" s="22" t="str">
        <f t="shared" si="30"/>
        <v/>
      </c>
      <c r="J503" s="22" t="str">
        <f t="shared" si="31"/>
        <v/>
      </c>
    </row>
    <row r="504" spans="1:10">
      <c r="A504" s="56" t="str">
        <f>IF(AMS!H524="","",AMS!H524)</f>
        <v/>
      </c>
      <c r="B504" s="22" t="str">
        <f t="shared" si="28"/>
        <v/>
      </c>
      <c r="C504" s="22" t="str">
        <f t="array" ref="C504">IFERROR(INDEX(Summary!$I$3:$I$1000,SMALL((Summary!$I$3:$I$1000="")/0.1%+ROW($3:$1000),ROW()-2)-2)&amp;"","")</f>
        <v/>
      </c>
      <c r="D504" s="22" t="str">
        <v/>
      </c>
      <c r="E504" s="22" t="str">
        <f t="shared" si="29"/>
        <v/>
      </c>
      <c r="F504" s="56" t="str">
        <f>IF(AMS!I524="","",AMS!I524)</f>
        <v/>
      </c>
      <c r="G504" s="56" t="str">
        <f>IF(AMS!J524="","",AMS!J524)</f>
        <v/>
      </c>
      <c r="H504" s="22" t="str">
        <f t="array" ref="H504">IF(A504&lt;&gt;" ",IFERROR(INDEX(Summary!$G$3:$G$1000,SMALL((Summary!$G$3:$G$1000="")/0.1%+ROW($3:$1000),ROW()-2)-2)&amp;"",""),"")</f>
        <v/>
      </c>
      <c r="I504" s="22" t="str">
        <f t="shared" si="30"/>
        <v/>
      </c>
      <c r="J504" s="22" t="str">
        <f t="shared" si="31"/>
        <v/>
      </c>
    </row>
    <row r="505" spans="1:10">
      <c r="A505" s="56" t="str">
        <f>IF(AMS!H525="","",AMS!H525)</f>
        <v/>
      </c>
      <c r="B505" s="22" t="str">
        <f t="shared" si="28"/>
        <v/>
      </c>
      <c r="C505" s="22" t="str">
        <f t="array" ref="C505">IFERROR(INDEX(Summary!$I$3:$I$1000,SMALL((Summary!$I$3:$I$1000="")/0.1%+ROW($3:$1000),ROW()-2)-2)&amp;"","")</f>
        <v/>
      </c>
      <c r="D505" s="22" t="str">
        <v/>
      </c>
      <c r="E505" s="22" t="str">
        <f t="shared" si="29"/>
        <v/>
      </c>
      <c r="F505" s="56" t="str">
        <f>IF(AMS!I525="","",AMS!I525)</f>
        <v/>
      </c>
      <c r="G505" s="56" t="str">
        <f>IF(AMS!J525="","",AMS!J525)</f>
        <v/>
      </c>
      <c r="H505" s="22" t="str">
        <f t="array" ref="H505">IF(A505&lt;&gt;" ",IFERROR(INDEX(Summary!$G$3:$G$1000,SMALL((Summary!$G$3:$G$1000="")/0.1%+ROW($3:$1000),ROW()-2)-2)&amp;"",""),"")</f>
        <v/>
      </c>
      <c r="I505" s="22" t="str">
        <f t="shared" si="30"/>
        <v/>
      </c>
      <c r="J505" s="22" t="str">
        <f t="shared" si="31"/>
        <v/>
      </c>
    </row>
    <row r="506" spans="1:10">
      <c r="A506" s="56" t="str">
        <f>IF(AMS!H526="","",AMS!H526)</f>
        <v/>
      </c>
      <c r="B506" s="22" t="str">
        <f t="shared" si="28"/>
        <v/>
      </c>
      <c r="C506" s="22" t="str">
        <f t="array" ref="C506">IFERROR(INDEX(Summary!$I$3:$I$1000,SMALL((Summary!$I$3:$I$1000="")/0.1%+ROW($3:$1000),ROW()-2)-2)&amp;"","")</f>
        <v/>
      </c>
      <c r="D506" s="22" t="str">
        <v/>
      </c>
      <c r="E506" s="22" t="str">
        <f t="shared" si="29"/>
        <v/>
      </c>
      <c r="F506" s="56" t="str">
        <f>IF(AMS!I526="","",AMS!I526)</f>
        <v/>
      </c>
      <c r="G506" s="56" t="str">
        <f>IF(AMS!J526="","",AMS!J526)</f>
        <v/>
      </c>
      <c r="H506" s="22" t="str">
        <f t="array" ref="H506">IF(A506&lt;&gt;" ",IFERROR(INDEX(Summary!$G$3:$G$1000,SMALL((Summary!$G$3:$G$1000="")/0.1%+ROW($3:$1000),ROW()-2)-2)&amp;"",""),"")</f>
        <v/>
      </c>
      <c r="I506" s="22" t="str">
        <f t="shared" si="30"/>
        <v/>
      </c>
      <c r="J506" s="22" t="str">
        <f t="shared" si="31"/>
        <v/>
      </c>
    </row>
    <row r="507" spans="1:10">
      <c r="A507" s="56" t="str">
        <f>IF(AMS!H527="","",AMS!H527)</f>
        <v/>
      </c>
      <c r="B507" s="22" t="str">
        <f t="shared" si="28"/>
        <v/>
      </c>
      <c r="C507" s="22" t="str">
        <f t="array" ref="C507">IFERROR(INDEX(Summary!$I$3:$I$1000,SMALL((Summary!$I$3:$I$1000="")/0.1%+ROW($3:$1000),ROW()-2)-2)&amp;"","")</f>
        <v/>
      </c>
      <c r="D507" s="22" t="str">
        <v/>
      </c>
      <c r="E507" s="22" t="str">
        <f t="shared" si="29"/>
        <v/>
      </c>
      <c r="F507" s="56" t="str">
        <f>IF(AMS!I527="","",AMS!I527)</f>
        <v/>
      </c>
      <c r="G507" s="56" t="str">
        <f>IF(AMS!J527="","",AMS!J527)</f>
        <v/>
      </c>
      <c r="H507" s="22" t="str">
        <f t="array" ref="H507">IF(A507&lt;&gt;" ",IFERROR(INDEX(Summary!$G$3:$G$1000,SMALL((Summary!$G$3:$G$1000="")/0.1%+ROW($3:$1000),ROW()-2)-2)&amp;"",""),"")</f>
        <v/>
      </c>
      <c r="I507" s="22" t="str">
        <f t="shared" si="30"/>
        <v/>
      </c>
      <c r="J507" s="22" t="str">
        <f t="shared" si="31"/>
        <v/>
      </c>
    </row>
    <row r="508" spans="1:10">
      <c r="A508" s="56" t="str">
        <f>IF(AMS!H528="","",AMS!H528)</f>
        <v/>
      </c>
      <c r="B508" s="22" t="str">
        <f t="shared" si="28"/>
        <v/>
      </c>
      <c r="C508" s="22" t="str">
        <f t="array" ref="C508">IFERROR(INDEX(Summary!$I$3:$I$1000,SMALL((Summary!$I$3:$I$1000="")/0.1%+ROW($3:$1000),ROW()-2)-2)&amp;"","")</f>
        <v/>
      </c>
      <c r="D508" s="22" t="str">
        <v/>
      </c>
      <c r="E508" s="22" t="str">
        <f t="shared" si="29"/>
        <v/>
      </c>
      <c r="F508" s="56" t="str">
        <f>IF(AMS!I528="","",AMS!I528)</f>
        <v/>
      </c>
      <c r="G508" s="56" t="str">
        <f>IF(AMS!J528="","",AMS!J528)</f>
        <v/>
      </c>
      <c r="H508" s="22" t="str">
        <f t="array" ref="H508">IF(A508&lt;&gt;" ",IFERROR(INDEX(Summary!$G$3:$G$1000,SMALL((Summary!$G$3:$G$1000="")/0.1%+ROW($3:$1000),ROW()-2)-2)&amp;"",""),"")</f>
        <v/>
      </c>
      <c r="I508" s="22" t="str">
        <f t="shared" si="30"/>
        <v/>
      </c>
      <c r="J508" s="22" t="str">
        <f t="shared" si="31"/>
        <v/>
      </c>
    </row>
    <row r="509" spans="1:10">
      <c r="A509" s="56" t="str">
        <f>IF(AMS!H529="","",AMS!H529)</f>
        <v/>
      </c>
      <c r="B509" s="22" t="str">
        <f t="shared" si="28"/>
        <v/>
      </c>
      <c r="C509" s="22" t="str">
        <f t="array" ref="C509">IFERROR(INDEX(Summary!$I$3:$I$1000,SMALL((Summary!$I$3:$I$1000="")/0.1%+ROW($3:$1000),ROW()-2)-2)&amp;"","")</f>
        <v/>
      </c>
      <c r="D509" s="22" t="str">
        <v/>
      </c>
      <c r="E509" s="22" t="str">
        <f t="shared" si="29"/>
        <v/>
      </c>
      <c r="F509" s="56" t="str">
        <f>IF(AMS!I529="","",AMS!I529)</f>
        <v/>
      </c>
      <c r="G509" s="56" t="str">
        <f>IF(AMS!J529="","",AMS!J529)</f>
        <v/>
      </c>
      <c r="H509" s="22" t="str">
        <f t="array" ref="H509">IF(A509&lt;&gt;" ",IFERROR(INDEX(Summary!$G$3:$G$1000,SMALL((Summary!$G$3:$G$1000="")/0.1%+ROW($3:$1000),ROW()-2)-2)&amp;"",""),"")</f>
        <v/>
      </c>
      <c r="I509" s="22" t="str">
        <f t="shared" si="30"/>
        <v/>
      </c>
      <c r="J509" s="22" t="str">
        <f t="shared" si="31"/>
        <v/>
      </c>
    </row>
    <row r="510" spans="1:10">
      <c r="A510" s="56" t="str">
        <f>IF(AMS!H530="","",AMS!H530)</f>
        <v/>
      </c>
      <c r="B510" s="22" t="str">
        <f t="shared" si="28"/>
        <v/>
      </c>
      <c r="C510" s="22" t="str">
        <f t="array" ref="C510">IFERROR(INDEX(Summary!$I$3:$I$1000,SMALL((Summary!$I$3:$I$1000="")/0.1%+ROW($3:$1000),ROW()-2)-2)&amp;"","")</f>
        <v/>
      </c>
      <c r="D510" s="22" t="str">
        <v/>
      </c>
      <c r="E510" s="22" t="str">
        <f t="shared" si="29"/>
        <v/>
      </c>
      <c r="F510" s="56" t="str">
        <f>IF(AMS!I530="","",AMS!I530)</f>
        <v/>
      </c>
      <c r="G510" s="56" t="str">
        <f>IF(AMS!J530="","",AMS!J530)</f>
        <v/>
      </c>
      <c r="H510" s="22" t="str">
        <f t="array" ref="H510">IF(A510&lt;&gt;" ",IFERROR(INDEX(Summary!$G$3:$G$1000,SMALL((Summary!$G$3:$G$1000="")/0.1%+ROW($3:$1000),ROW()-2)-2)&amp;"",""),"")</f>
        <v/>
      </c>
      <c r="I510" s="22" t="str">
        <f t="shared" si="30"/>
        <v/>
      </c>
      <c r="J510" s="22" t="str">
        <f t="shared" si="31"/>
        <v/>
      </c>
    </row>
    <row r="511" spans="1:10">
      <c r="A511" s="56" t="str">
        <f>IF(AMS!H531="","",AMS!H531)</f>
        <v/>
      </c>
      <c r="B511" s="22" t="str">
        <f t="shared" si="28"/>
        <v/>
      </c>
      <c r="C511" s="22" t="str">
        <f t="array" ref="C511">IFERROR(INDEX(Summary!$I$3:$I$1000,SMALL((Summary!$I$3:$I$1000="")/0.1%+ROW($3:$1000),ROW()-2)-2)&amp;"","")</f>
        <v/>
      </c>
      <c r="D511" s="22" t="str">
        <v/>
      </c>
      <c r="E511" s="22" t="str">
        <f t="shared" si="29"/>
        <v/>
      </c>
      <c r="F511" s="56" t="str">
        <f>IF(AMS!I531="","",AMS!I531)</f>
        <v/>
      </c>
      <c r="G511" s="56" t="str">
        <f>IF(AMS!J531="","",AMS!J531)</f>
        <v/>
      </c>
      <c r="H511" s="22" t="str">
        <f t="array" ref="H511">IF(A511&lt;&gt;" ",IFERROR(INDEX(Summary!$G$3:$G$1000,SMALL((Summary!$G$3:$G$1000="")/0.1%+ROW($3:$1000),ROW()-2)-2)&amp;"",""),"")</f>
        <v/>
      </c>
      <c r="I511" s="22" t="str">
        <f t="shared" si="30"/>
        <v/>
      </c>
      <c r="J511" s="22" t="str">
        <f t="shared" si="31"/>
        <v/>
      </c>
    </row>
    <row r="512" spans="1:10">
      <c r="A512" s="56" t="str">
        <f>IF(AMS!H532="","",AMS!H532)</f>
        <v/>
      </c>
      <c r="B512" s="22" t="str">
        <f t="shared" si="28"/>
        <v/>
      </c>
      <c r="C512" s="22" t="str">
        <f t="array" ref="C512">IFERROR(INDEX(Summary!$I$3:$I$1000,SMALL((Summary!$I$3:$I$1000="")/0.1%+ROW($3:$1000),ROW()-2)-2)&amp;"","")</f>
        <v/>
      </c>
      <c r="D512" s="22" t="str">
        <v/>
      </c>
      <c r="E512" s="22" t="str">
        <f t="shared" si="29"/>
        <v/>
      </c>
      <c r="F512" s="56" t="str">
        <f>IF(AMS!I532="","",AMS!I532)</f>
        <v/>
      </c>
      <c r="G512" s="56" t="str">
        <f>IF(AMS!J532="","",AMS!J532)</f>
        <v/>
      </c>
      <c r="H512" s="22" t="str">
        <f t="array" ref="H512">IF(A512&lt;&gt;" ",IFERROR(INDEX(Summary!$G$3:$G$1000,SMALL((Summary!$G$3:$G$1000="")/0.1%+ROW($3:$1000),ROW()-2)-2)&amp;"",""),"")</f>
        <v/>
      </c>
      <c r="I512" s="22" t="str">
        <f t="shared" si="30"/>
        <v/>
      </c>
      <c r="J512" s="22" t="str">
        <f t="shared" si="31"/>
        <v/>
      </c>
    </row>
    <row r="513" spans="1:10">
      <c r="A513" s="56" t="str">
        <f>IF(AMS!H533="","",AMS!H533)</f>
        <v/>
      </c>
      <c r="B513" s="22" t="str">
        <f t="shared" si="28"/>
        <v/>
      </c>
      <c r="C513" s="22" t="str">
        <f t="array" ref="C513">IFERROR(INDEX(Summary!$I$3:$I$1000,SMALL((Summary!$I$3:$I$1000="")/0.1%+ROW($3:$1000),ROW()-2)-2)&amp;"","")</f>
        <v/>
      </c>
      <c r="D513" s="22" t="str">
        <v/>
      </c>
      <c r="E513" s="22" t="str">
        <f t="shared" si="29"/>
        <v/>
      </c>
      <c r="F513" s="56" t="str">
        <f>IF(AMS!I533="","",AMS!I533)</f>
        <v/>
      </c>
      <c r="G513" s="56" t="str">
        <f>IF(AMS!J533="","",AMS!J533)</f>
        <v/>
      </c>
      <c r="H513" s="22" t="str">
        <f t="array" ref="H513">IF(A513&lt;&gt;" ",IFERROR(INDEX(Summary!$G$3:$G$1000,SMALL((Summary!$G$3:$G$1000="")/0.1%+ROW($3:$1000),ROW()-2)-2)&amp;"",""),"")</f>
        <v/>
      </c>
      <c r="I513" s="22" t="str">
        <f t="shared" si="30"/>
        <v/>
      </c>
      <c r="J513" s="22" t="str">
        <f t="shared" si="31"/>
        <v/>
      </c>
    </row>
    <row r="514" spans="1:10">
      <c r="A514" s="56" t="str">
        <f>IF(AMS!H534="","",AMS!H534)</f>
        <v/>
      </c>
      <c r="B514" s="22" t="str">
        <f t="shared" si="28"/>
        <v/>
      </c>
      <c r="C514" s="22" t="str">
        <f t="array" ref="C514">IFERROR(INDEX(Summary!$I$3:$I$1000,SMALL((Summary!$I$3:$I$1000="")/0.1%+ROW($3:$1000),ROW()-2)-2)&amp;"","")</f>
        <v/>
      </c>
      <c r="D514" s="22" t="str">
        <v/>
      </c>
      <c r="E514" s="22" t="str">
        <f t="shared" si="29"/>
        <v/>
      </c>
      <c r="F514" s="56" t="str">
        <f>IF(AMS!I534="","",AMS!I534)</f>
        <v/>
      </c>
      <c r="G514" s="56" t="str">
        <f>IF(AMS!J534="","",AMS!J534)</f>
        <v/>
      </c>
      <c r="H514" s="22" t="str">
        <f t="array" ref="H514">IF(A514&lt;&gt;" ",IFERROR(INDEX(Summary!$G$3:$G$1000,SMALL((Summary!$G$3:$G$1000="")/0.1%+ROW($3:$1000),ROW()-2)-2)&amp;"",""),"")</f>
        <v/>
      </c>
      <c r="I514" s="22" t="str">
        <f t="shared" si="30"/>
        <v/>
      </c>
      <c r="J514" s="22" t="str">
        <f t="shared" si="31"/>
        <v/>
      </c>
    </row>
    <row r="515" spans="1:10">
      <c r="A515" s="56" t="str">
        <f>IF(AMS!H535="","",AMS!H535)</f>
        <v/>
      </c>
      <c r="B515" s="22" t="str">
        <f t="shared" ref="B515:B578" si="32">IF(A515&lt;&gt;"",IFERROR(IF(SEARCH(".",A515),LEFT(SUBSTITUTE(A515,".",""),6)),LEFT(SUBSTITUTE(SUBSTITUTE(TRIM(A515)," ","")," ",""),6)),"")</f>
        <v/>
      </c>
      <c r="C515" s="22" t="str">
        <f t="array" ref="C515">IFERROR(INDEX(Summary!$I$3:$I$1000,SMALL((Summary!$I$3:$I$1000="")/0.1%+ROW($3:$1000),ROW()-2)-2)&amp;"","")</f>
        <v/>
      </c>
      <c r="D515" s="22" t="str">
        <v/>
      </c>
      <c r="E515" s="22" t="str">
        <f t="shared" ref="E515:E578" si="33">LEFT(D515,6)</f>
        <v/>
      </c>
      <c r="F515" s="56" t="str">
        <f>IF(AMS!I535="","",AMS!I535)</f>
        <v/>
      </c>
      <c r="G515" s="56" t="str">
        <f>IF(AMS!J535="","",AMS!J535)</f>
        <v/>
      </c>
      <c r="H515" s="22" t="str">
        <f t="array" ref="H515">IF(A515&lt;&gt;" ",IFERROR(INDEX(Summary!$G$3:$G$1000,SMALL((Summary!$G$3:$G$1000="")/0.1%+ROW($3:$1000),ROW()-2)-2)&amp;"",""),"")</f>
        <v/>
      </c>
      <c r="I515" s="22" t="str">
        <f t="shared" ref="I515:I578" si="34">B515&amp;F515</f>
        <v/>
      </c>
      <c r="J515" s="22" t="str">
        <f t="shared" ref="J515:J578" si="35">IF(D515="","",RIGHT(D515,LEN(D515)-6))</f>
        <v/>
      </c>
    </row>
    <row r="516" spans="1:10">
      <c r="A516" s="56" t="str">
        <f>IF(AMS!H536="","",AMS!H536)</f>
        <v/>
      </c>
      <c r="B516" s="22" t="str">
        <f t="shared" si="32"/>
        <v/>
      </c>
      <c r="C516" s="22" t="str">
        <f t="array" ref="C516">IFERROR(INDEX(Summary!$I$3:$I$1000,SMALL((Summary!$I$3:$I$1000="")/0.1%+ROW($3:$1000),ROW()-2)-2)&amp;"","")</f>
        <v/>
      </c>
      <c r="D516" s="22" t="str">
        <v/>
      </c>
      <c r="E516" s="22" t="str">
        <f t="shared" si="33"/>
        <v/>
      </c>
      <c r="F516" s="56" t="str">
        <f>IF(AMS!I536="","",AMS!I536)</f>
        <v/>
      </c>
      <c r="G516" s="56" t="str">
        <f>IF(AMS!J536="","",AMS!J536)</f>
        <v/>
      </c>
      <c r="H516" s="22" t="str">
        <f t="array" ref="H516">IF(A516&lt;&gt;" ",IFERROR(INDEX(Summary!$G$3:$G$1000,SMALL((Summary!$G$3:$G$1000="")/0.1%+ROW($3:$1000),ROW()-2)-2)&amp;"",""),"")</f>
        <v/>
      </c>
      <c r="I516" s="22" t="str">
        <f t="shared" si="34"/>
        <v/>
      </c>
      <c r="J516" s="22" t="str">
        <f t="shared" si="35"/>
        <v/>
      </c>
    </row>
    <row r="517" spans="1:10">
      <c r="A517" s="56" t="str">
        <f>IF(AMS!H537="","",AMS!H537)</f>
        <v/>
      </c>
      <c r="B517" s="22" t="str">
        <f t="shared" si="32"/>
        <v/>
      </c>
      <c r="C517" s="22" t="str">
        <f t="array" ref="C517">IFERROR(INDEX(Summary!$I$3:$I$1000,SMALL((Summary!$I$3:$I$1000="")/0.1%+ROW($3:$1000),ROW()-2)-2)&amp;"","")</f>
        <v/>
      </c>
      <c r="D517" s="22" t="str">
        <v/>
      </c>
      <c r="E517" s="22" t="str">
        <f t="shared" si="33"/>
        <v/>
      </c>
      <c r="F517" s="56" t="str">
        <f>IF(AMS!I537="","",AMS!I537)</f>
        <v/>
      </c>
      <c r="G517" s="56" t="str">
        <f>IF(AMS!J537="","",AMS!J537)</f>
        <v/>
      </c>
      <c r="H517" s="22" t="str">
        <f t="array" ref="H517">IF(A517&lt;&gt;" ",IFERROR(INDEX(Summary!$G$3:$G$1000,SMALL((Summary!$G$3:$G$1000="")/0.1%+ROW($3:$1000),ROW()-2)-2)&amp;"",""),"")</f>
        <v/>
      </c>
      <c r="I517" s="22" t="str">
        <f t="shared" si="34"/>
        <v/>
      </c>
      <c r="J517" s="22" t="str">
        <f t="shared" si="35"/>
        <v/>
      </c>
    </row>
    <row r="518" spans="1:10">
      <c r="A518" s="56" t="str">
        <f>IF(AMS!H538="","",AMS!H538)</f>
        <v/>
      </c>
      <c r="B518" s="22" t="str">
        <f t="shared" si="32"/>
        <v/>
      </c>
      <c r="C518" s="22" t="str">
        <f t="array" ref="C518">IFERROR(INDEX(Summary!$I$3:$I$1000,SMALL((Summary!$I$3:$I$1000="")/0.1%+ROW($3:$1000),ROW()-2)-2)&amp;"","")</f>
        <v/>
      </c>
      <c r="D518" s="22" t="str">
        <v/>
      </c>
      <c r="E518" s="22" t="str">
        <f t="shared" si="33"/>
        <v/>
      </c>
      <c r="F518" s="56" t="str">
        <f>IF(AMS!I538="","",AMS!I538)</f>
        <v/>
      </c>
      <c r="G518" s="56" t="str">
        <f>IF(AMS!J538="","",AMS!J538)</f>
        <v/>
      </c>
      <c r="H518" s="22" t="str">
        <f t="array" ref="H518">IF(A518&lt;&gt;" ",IFERROR(INDEX(Summary!$G$3:$G$1000,SMALL((Summary!$G$3:$G$1000="")/0.1%+ROW($3:$1000),ROW()-2)-2)&amp;"",""),"")</f>
        <v/>
      </c>
      <c r="I518" s="22" t="str">
        <f t="shared" si="34"/>
        <v/>
      </c>
      <c r="J518" s="22" t="str">
        <f t="shared" si="35"/>
        <v/>
      </c>
    </row>
    <row r="519" spans="1:10">
      <c r="A519" s="56" t="str">
        <f>IF(AMS!H539="","",AMS!H539)</f>
        <v/>
      </c>
      <c r="B519" s="22" t="str">
        <f t="shared" si="32"/>
        <v/>
      </c>
      <c r="C519" s="22" t="str">
        <f t="array" ref="C519">IFERROR(INDEX(Summary!$I$3:$I$1000,SMALL((Summary!$I$3:$I$1000="")/0.1%+ROW($3:$1000),ROW()-2)-2)&amp;"","")</f>
        <v/>
      </c>
      <c r="D519" s="22" t="str">
        <v/>
      </c>
      <c r="E519" s="22" t="str">
        <f t="shared" si="33"/>
        <v/>
      </c>
      <c r="F519" s="56" t="str">
        <f>IF(AMS!I539="","",AMS!I539)</f>
        <v/>
      </c>
      <c r="G519" s="56" t="str">
        <f>IF(AMS!J539="","",AMS!J539)</f>
        <v/>
      </c>
      <c r="H519" s="22" t="str">
        <f t="array" ref="H519">IF(A519&lt;&gt;" ",IFERROR(INDEX(Summary!$G$3:$G$1000,SMALL((Summary!$G$3:$G$1000="")/0.1%+ROW($3:$1000),ROW()-2)-2)&amp;"",""),"")</f>
        <v/>
      </c>
      <c r="I519" s="22" t="str">
        <f t="shared" si="34"/>
        <v/>
      </c>
      <c r="J519" s="22" t="str">
        <f t="shared" si="35"/>
        <v/>
      </c>
    </row>
    <row r="520" spans="1:10">
      <c r="A520" s="56" t="str">
        <f>IF(AMS!H540="","",AMS!H540)</f>
        <v/>
      </c>
      <c r="B520" s="22" t="str">
        <f t="shared" si="32"/>
        <v/>
      </c>
      <c r="C520" s="22" t="str">
        <f t="array" ref="C520">IFERROR(INDEX(Summary!$I$3:$I$1000,SMALL((Summary!$I$3:$I$1000="")/0.1%+ROW($3:$1000),ROW()-2)-2)&amp;"","")</f>
        <v/>
      </c>
      <c r="D520" s="22" t="str">
        <v/>
      </c>
      <c r="E520" s="22" t="str">
        <f t="shared" si="33"/>
        <v/>
      </c>
      <c r="F520" s="56" t="str">
        <f>IF(AMS!I540="","",AMS!I540)</f>
        <v/>
      </c>
      <c r="G520" s="56" t="str">
        <f>IF(AMS!J540="","",AMS!J540)</f>
        <v/>
      </c>
      <c r="H520" s="22" t="str">
        <f t="array" ref="H520">IF(A520&lt;&gt;" ",IFERROR(INDEX(Summary!$G$3:$G$1000,SMALL((Summary!$G$3:$G$1000="")/0.1%+ROW($3:$1000),ROW()-2)-2)&amp;"",""),"")</f>
        <v/>
      </c>
      <c r="I520" s="22" t="str">
        <f t="shared" si="34"/>
        <v/>
      </c>
      <c r="J520" s="22" t="str">
        <f t="shared" si="35"/>
        <v/>
      </c>
    </row>
    <row r="521" spans="1:10">
      <c r="A521" s="56" t="str">
        <f>IF(AMS!H541="","",AMS!H541)</f>
        <v/>
      </c>
      <c r="B521" s="22" t="str">
        <f t="shared" si="32"/>
        <v/>
      </c>
      <c r="C521" s="22" t="str">
        <f t="array" ref="C521">IFERROR(INDEX(Summary!$I$3:$I$1000,SMALL((Summary!$I$3:$I$1000="")/0.1%+ROW($3:$1000),ROW()-2)-2)&amp;"","")</f>
        <v/>
      </c>
      <c r="D521" s="22" t="str">
        <v/>
      </c>
      <c r="E521" s="22" t="str">
        <f t="shared" si="33"/>
        <v/>
      </c>
      <c r="F521" s="56" t="str">
        <f>IF(AMS!I541="","",AMS!I541)</f>
        <v/>
      </c>
      <c r="G521" s="56" t="str">
        <f>IF(AMS!J541="","",AMS!J541)</f>
        <v/>
      </c>
      <c r="H521" s="22" t="str">
        <f t="array" ref="H521">IF(A521&lt;&gt;" ",IFERROR(INDEX(Summary!$G$3:$G$1000,SMALL((Summary!$G$3:$G$1000="")/0.1%+ROW($3:$1000),ROW()-2)-2)&amp;"",""),"")</f>
        <v/>
      </c>
      <c r="I521" s="22" t="str">
        <f t="shared" si="34"/>
        <v/>
      </c>
      <c r="J521" s="22" t="str">
        <f t="shared" si="35"/>
        <v/>
      </c>
    </row>
    <row r="522" spans="1:10">
      <c r="A522" s="56" t="str">
        <f>IF(AMS!H542="","",AMS!H542)</f>
        <v/>
      </c>
      <c r="B522" s="22" t="str">
        <f t="shared" si="32"/>
        <v/>
      </c>
      <c r="C522" s="22" t="str">
        <f t="array" ref="C522">IFERROR(INDEX(Summary!$I$3:$I$1000,SMALL((Summary!$I$3:$I$1000="")/0.1%+ROW($3:$1000),ROW()-2)-2)&amp;"","")</f>
        <v/>
      </c>
      <c r="D522" s="22" t="str">
        <v/>
      </c>
      <c r="E522" s="22" t="str">
        <f t="shared" si="33"/>
        <v/>
      </c>
      <c r="F522" s="56" t="str">
        <f>IF(AMS!I542="","",AMS!I542)</f>
        <v/>
      </c>
      <c r="G522" s="56" t="str">
        <f>IF(AMS!J542="","",AMS!J542)</f>
        <v/>
      </c>
      <c r="H522" s="22" t="str">
        <f t="array" ref="H522">IF(A522&lt;&gt;" ",IFERROR(INDEX(Summary!$G$3:$G$1000,SMALL((Summary!$G$3:$G$1000="")/0.1%+ROW($3:$1000),ROW()-2)-2)&amp;"",""),"")</f>
        <v/>
      </c>
      <c r="I522" s="22" t="str">
        <f t="shared" si="34"/>
        <v/>
      </c>
      <c r="J522" s="22" t="str">
        <f t="shared" si="35"/>
        <v/>
      </c>
    </row>
    <row r="523" spans="1:10">
      <c r="A523" s="56" t="str">
        <f>IF(AMS!H543="","",AMS!H543)</f>
        <v/>
      </c>
      <c r="B523" s="22" t="str">
        <f t="shared" si="32"/>
        <v/>
      </c>
      <c r="C523" s="22" t="str">
        <f t="array" ref="C523">IFERROR(INDEX(Summary!$I$3:$I$1000,SMALL((Summary!$I$3:$I$1000="")/0.1%+ROW($3:$1000),ROW()-2)-2)&amp;"","")</f>
        <v/>
      </c>
      <c r="D523" s="22" t="str">
        <v/>
      </c>
      <c r="E523" s="22" t="str">
        <f t="shared" si="33"/>
        <v/>
      </c>
      <c r="F523" s="56" t="str">
        <f>IF(AMS!I543="","",AMS!I543)</f>
        <v/>
      </c>
      <c r="G523" s="56" t="str">
        <f>IF(AMS!J543="","",AMS!J543)</f>
        <v/>
      </c>
      <c r="H523" s="22" t="str">
        <f t="array" ref="H523">IF(A523&lt;&gt;" ",IFERROR(INDEX(Summary!$G$3:$G$1000,SMALL((Summary!$G$3:$G$1000="")/0.1%+ROW($3:$1000),ROW()-2)-2)&amp;"",""),"")</f>
        <v/>
      </c>
      <c r="I523" s="22" t="str">
        <f t="shared" si="34"/>
        <v/>
      </c>
      <c r="J523" s="22" t="str">
        <f t="shared" si="35"/>
        <v/>
      </c>
    </row>
    <row r="524" spans="1:10">
      <c r="A524" s="56" t="str">
        <f>IF(AMS!H544="","",AMS!H544)</f>
        <v/>
      </c>
      <c r="B524" s="22" t="str">
        <f t="shared" si="32"/>
        <v/>
      </c>
      <c r="C524" s="22" t="str">
        <f t="array" ref="C524">IFERROR(INDEX(Summary!$I$3:$I$1000,SMALL((Summary!$I$3:$I$1000="")/0.1%+ROW($3:$1000),ROW()-2)-2)&amp;"","")</f>
        <v/>
      </c>
      <c r="D524" s="22" t="str">
        <v/>
      </c>
      <c r="E524" s="22" t="str">
        <f t="shared" si="33"/>
        <v/>
      </c>
      <c r="F524" s="56" t="str">
        <f>IF(AMS!I544="","",AMS!I544)</f>
        <v/>
      </c>
      <c r="G524" s="56" t="str">
        <f>IF(AMS!J544="","",AMS!J544)</f>
        <v/>
      </c>
      <c r="H524" s="22" t="str">
        <f t="array" ref="H524">IF(A524&lt;&gt;" ",IFERROR(INDEX(Summary!$G$3:$G$1000,SMALL((Summary!$G$3:$G$1000="")/0.1%+ROW($3:$1000),ROW()-2)-2)&amp;"",""),"")</f>
        <v/>
      </c>
      <c r="I524" s="22" t="str">
        <f t="shared" si="34"/>
        <v/>
      </c>
      <c r="J524" s="22" t="str">
        <f t="shared" si="35"/>
        <v/>
      </c>
    </row>
    <row r="525" spans="1:10">
      <c r="A525" s="56" t="str">
        <f>IF(AMS!H545="","",AMS!H545)</f>
        <v/>
      </c>
      <c r="B525" s="22" t="str">
        <f t="shared" si="32"/>
        <v/>
      </c>
      <c r="C525" s="22" t="str">
        <f t="array" ref="C525">IFERROR(INDEX(Summary!$I$3:$I$1000,SMALL((Summary!$I$3:$I$1000="")/0.1%+ROW($3:$1000),ROW()-2)-2)&amp;"","")</f>
        <v/>
      </c>
      <c r="D525" s="22" t="str">
        <v/>
      </c>
      <c r="E525" s="22" t="str">
        <f t="shared" si="33"/>
        <v/>
      </c>
      <c r="F525" s="56" t="str">
        <f>IF(AMS!I545="","",AMS!I545)</f>
        <v/>
      </c>
      <c r="G525" s="56" t="str">
        <f>IF(AMS!J545="","",AMS!J545)</f>
        <v/>
      </c>
      <c r="H525" s="22" t="str">
        <f t="array" ref="H525">IF(A525&lt;&gt;" ",IFERROR(INDEX(Summary!$G$3:$G$1000,SMALL((Summary!$G$3:$G$1000="")/0.1%+ROW($3:$1000),ROW()-2)-2)&amp;"",""),"")</f>
        <v/>
      </c>
      <c r="I525" s="22" t="str">
        <f t="shared" si="34"/>
        <v/>
      </c>
      <c r="J525" s="22" t="str">
        <f t="shared" si="35"/>
        <v/>
      </c>
    </row>
    <row r="526" spans="1:10">
      <c r="A526" s="56" t="str">
        <f>IF(AMS!H546="","",AMS!H546)</f>
        <v/>
      </c>
      <c r="B526" s="22" t="str">
        <f t="shared" si="32"/>
        <v/>
      </c>
      <c r="C526" s="22" t="str">
        <f t="array" ref="C526">IFERROR(INDEX(Summary!$I$3:$I$1000,SMALL((Summary!$I$3:$I$1000="")/0.1%+ROW($3:$1000),ROW()-2)-2)&amp;"","")</f>
        <v/>
      </c>
      <c r="D526" s="22" t="str">
        <v/>
      </c>
      <c r="E526" s="22" t="str">
        <f t="shared" si="33"/>
        <v/>
      </c>
      <c r="F526" s="56" t="str">
        <f>IF(AMS!I546="","",AMS!I546)</f>
        <v/>
      </c>
      <c r="G526" s="56" t="str">
        <f>IF(AMS!J546="","",AMS!J546)</f>
        <v/>
      </c>
      <c r="H526" s="22" t="str">
        <f t="array" ref="H526">IF(A526&lt;&gt;" ",IFERROR(INDEX(Summary!$G$3:$G$1000,SMALL((Summary!$G$3:$G$1000="")/0.1%+ROW($3:$1000),ROW()-2)-2)&amp;"",""),"")</f>
        <v/>
      </c>
      <c r="I526" s="22" t="str">
        <f t="shared" si="34"/>
        <v/>
      </c>
      <c r="J526" s="22" t="str">
        <f t="shared" si="35"/>
        <v/>
      </c>
    </row>
    <row r="527" spans="1:10">
      <c r="A527" s="56" t="str">
        <f>IF(AMS!H547="","",AMS!H547)</f>
        <v/>
      </c>
      <c r="B527" s="22" t="str">
        <f t="shared" si="32"/>
        <v/>
      </c>
      <c r="C527" s="22" t="str">
        <f t="array" ref="C527">IFERROR(INDEX(Summary!$I$3:$I$1000,SMALL((Summary!$I$3:$I$1000="")/0.1%+ROW($3:$1000),ROW()-2)-2)&amp;"","")</f>
        <v/>
      </c>
      <c r="D527" s="22" t="str">
        <v/>
      </c>
      <c r="E527" s="22" t="str">
        <f t="shared" si="33"/>
        <v/>
      </c>
      <c r="F527" s="56" t="str">
        <f>IF(AMS!I547="","",AMS!I547)</f>
        <v/>
      </c>
      <c r="G527" s="56" t="str">
        <f>IF(AMS!J547="","",AMS!J547)</f>
        <v/>
      </c>
      <c r="H527" s="22" t="str">
        <f t="array" ref="H527">IF(A527&lt;&gt;" ",IFERROR(INDEX(Summary!$G$3:$G$1000,SMALL((Summary!$G$3:$G$1000="")/0.1%+ROW($3:$1000),ROW()-2)-2)&amp;"",""),"")</f>
        <v/>
      </c>
      <c r="I527" s="22" t="str">
        <f t="shared" si="34"/>
        <v/>
      </c>
      <c r="J527" s="22" t="str">
        <f t="shared" si="35"/>
        <v/>
      </c>
    </row>
    <row r="528" spans="1:10">
      <c r="A528" s="56" t="str">
        <f>IF(AMS!H548="","",AMS!H548)</f>
        <v/>
      </c>
      <c r="B528" s="22" t="str">
        <f t="shared" si="32"/>
        <v/>
      </c>
      <c r="C528" s="22" t="str">
        <f t="array" ref="C528">IFERROR(INDEX(Summary!$I$3:$I$1000,SMALL((Summary!$I$3:$I$1000="")/0.1%+ROW($3:$1000),ROW()-2)-2)&amp;"","")</f>
        <v/>
      </c>
      <c r="D528" s="22" t="str">
        <v/>
      </c>
      <c r="E528" s="22" t="str">
        <f t="shared" si="33"/>
        <v/>
      </c>
      <c r="F528" s="56" t="str">
        <f>IF(AMS!I548="","",AMS!I548)</f>
        <v/>
      </c>
      <c r="G528" s="56" t="str">
        <f>IF(AMS!J548="","",AMS!J548)</f>
        <v/>
      </c>
      <c r="H528" s="22" t="str">
        <f t="array" ref="H528">IF(A528&lt;&gt;" ",IFERROR(INDEX(Summary!$G$3:$G$1000,SMALL((Summary!$G$3:$G$1000="")/0.1%+ROW($3:$1000),ROW()-2)-2)&amp;"",""),"")</f>
        <v/>
      </c>
      <c r="I528" s="22" t="str">
        <f t="shared" si="34"/>
        <v/>
      </c>
      <c r="J528" s="22" t="str">
        <f t="shared" si="35"/>
        <v/>
      </c>
    </row>
    <row r="529" spans="1:10">
      <c r="A529" s="56" t="str">
        <f>IF(AMS!H549="","",AMS!H549)</f>
        <v/>
      </c>
      <c r="B529" s="22" t="str">
        <f t="shared" si="32"/>
        <v/>
      </c>
      <c r="C529" s="22" t="str">
        <f t="array" ref="C529">IFERROR(INDEX(Summary!$I$3:$I$1000,SMALL((Summary!$I$3:$I$1000="")/0.1%+ROW($3:$1000),ROW()-2)-2)&amp;"","")</f>
        <v/>
      </c>
      <c r="D529" s="22" t="str">
        <v/>
      </c>
      <c r="E529" s="22" t="str">
        <f t="shared" si="33"/>
        <v/>
      </c>
      <c r="F529" s="56" t="str">
        <f>IF(AMS!I549="","",AMS!I549)</f>
        <v/>
      </c>
      <c r="G529" s="56" t="str">
        <f>IF(AMS!J549="","",AMS!J549)</f>
        <v/>
      </c>
      <c r="H529" s="22" t="str">
        <f t="array" ref="H529">IF(A529&lt;&gt;" ",IFERROR(INDEX(Summary!$G$3:$G$1000,SMALL((Summary!$G$3:$G$1000="")/0.1%+ROW($3:$1000),ROW()-2)-2)&amp;"",""),"")</f>
        <v/>
      </c>
      <c r="I529" s="22" t="str">
        <f t="shared" si="34"/>
        <v/>
      </c>
      <c r="J529" s="22" t="str">
        <f t="shared" si="35"/>
        <v/>
      </c>
    </row>
    <row r="530" spans="1:10">
      <c r="A530" s="56" t="str">
        <f>IF(AMS!H550="","",AMS!H550)</f>
        <v/>
      </c>
      <c r="B530" s="22" t="str">
        <f t="shared" si="32"/>
        <v/>
      </c>
      <c r="C530" s="22" t="str">
        <f t="array" ref="C530">IFERROR(INDEX(Summary!$I$3:$I$1000,SMALL((Summary!$I$3:$I$1000="")/0.1%+ROW($3:$1000),ROW()-2)-2)&amp;"","")</f>
        <v/>
      </c>
      <c r="D530" s="22" t="str">
        <v/>
      </c>
      <c r="E530" s="22" t="str">
        <f t="shared" si="33"/>
        <v/>
      </c>
      <c r="F530" s="56" t="str">
        <f>IF(AMS!I550="","",AMS!I550)</f>
        <v/>
      </c>
      <c r="G530" s="56" t="str">
        <f>IF(AMS!J550="","",AMS!J550)</f>
        <v/>
      </c>
      <c r="H530" s="22" t="str">
        <f t="array" ref="H530">IF(A530&lt;&gt;" ",IFERROR(INDEX(Summary!$G$3:$G$1000,SMALL((Summary!$G$3:$G$1000="")/0.1%+ROW($3:$1000),ROW()-2)-2)&amp;"",""),"")</f>
        <v/>
      </c>
      <c r="I530" s="22" t="str">
        <f t="shared" si="34"/>
        <v/>
      </c>
      <c r="J530" s="22" t="str">
        <f t="shared" si="35"/>
        <v/>
      </c>
    </row>
    <row r="531" spans="1:10">
      <c r="A531" s="56" t="str">
        <f>IF(AMS!H551="","",AMS!H551)</f>
        <v/>
      </c>
      <c r="B531" s="22" t="str">
        <f t="shared" si="32"/>
        <v/>
      </c>
      <c r="C531" s="22" t="str">
        <f t="array" ref="C531">IFERROR(INDEX(Summary!$I$3:$I$1000,SMALL((Summary!$I$3:$I$1000="")/0.1%+ROW($3:$1000),ROW()-2)-2)&amp;"","")</f>
        <v/>
      </c>
      <c r="D531" s="22" t="str">
        <v/>
      </c>
      <c r="E531" s="22" t="str">
        <f t="shared" si="33"/>
        <v/>
      </c>
      <c r="F531" s="56" t="str">
        <f>IF(AMS!I551="","",AMS!I551)</f>
        <v/>
      </c>
      <c r="G531" s="56" t="str">
        <f>IF(AMS!J551="","",AMS!J551)</f>
        <v/>
      </c>
      <c r="H531" s="22" t="str">
        <f t="array" ref="H531">IF(A531&lt;&gt;" ",IFERROR(INDEX(Summary!$G$3:$G$1000,SMALL((Summary!$G$3:$G$1000="")/0.1%+ROW($3:$1000),ROW()-2)-2)&amp;"",""),"")</f>
        <v/>
      </c>
      <c r="I531" s="22" t="str">
        <f t="shared" si="34"/>
        <v/>
      </c>
      <c r="J531" s="22" t="str">
        <f t="shared" si="35"/>
        <v/>
      </c>
    </row>
    <row r="532" spans="1:10">
      <c r="A532" s="56" t="str">
        <f>IF(AMS!H552="","",AMS!H552)</f>
        <v/>
      </c>
      <c r="B532" s="22" t="str">
        <f t="shared" si="32"/>
        <v/>
      </c>
      <c r="C532" s="22" t="str">
        <f t="array" ref="C532">IFERROR(INDEX(Summary!$I$3:$I$1000,SMALL((Summary!$I$3:$I$1000="")/0.1%+ROW($3:$1000),ROW()-2)-2)&amp;"","")</f>
        <v/>
      </c>
      <c r="D532" s="22" t="str">
        <v/>
      </c>
      <c r="E532" s="22" t="str">
        <f t="shared" si="33"/>
        <v/>
      </c>
      <c r="F532" s="56" t="str">
        <f>IF(AMS!I552="","",AMS!I552)</f>
        <v/>
      </c>
      <c r="G532" s="56" t="str">
        <f>IF(AMS!J552="","",AMS!J552)</f>
        <v/>
      </c>
      <c r="H532" s="22" t="str">
        <f t="array" ref="H532">IF(A532&lt;&gt;" ",IFERROR(INDEX(Summary!$G$3:$G$1000,SMALL((Summary!$G$3:$G$1000="")/0.1%+ROW($3:$1000),ROW()-2)-2)&amp;"",""),"")</f>
        <v/>
      </c>
      <c r="I532" s="22" t="str">
        <f t="shared" si="34"/>
        <v/>
      </c>
      <c r="J532" s="22" t="str">
        <f t="shared" si="35"/>
        <v/>
      </c>
    </row>
    <row r="533" spans="1:10">
      <c r="A533" s="56" t="str">
        <f>IF(AMS!H553="","",AMS!H553)</f>
        <v/>
      </c>
      <c r="B533" s="22" t="str">
        <f t="shared" si="32"/>
        <v/>
      </c>
      <c r="C533" s="22" t="str">
        <f t="array" ref="C533">IFERROR(INDEX(Summary!$I$3:$I$1000,SMALL((Summary!$I$3:$I$1000="")/0.1%+ROW($3:$1000),ROW()-2)-2)&amp;"","")</f>
        <v/>
      </c>
      <c r="D533" s="22" t="str">
        <v/>
      </c>
      <c r="E533" s="22" t="str">
        <f t="shared" si="33"/>
        <v/>
      </c>
      <c r="F533" s="56" t="str">
        <f>IF(AMS!I553="","",AMS!I553)</f>
        <v/>
      </c>
      <c r="G533" s="56" t="str">
        <f>IF(AMS!J553="","",AMS!J553)</f>
        <v/>
      </c>
      <c r="H533" s="22" t="str">
        <f t="array" ref="H533">IF(A533&lt;&gt;" ",IFERROR(INDEX(Summary!$G$3:$G$1000,SMALL((Summary!$G$3:$G$1000="")/0.1%+ROW($3:$1000),ROW()-2)-2)&amp;"",""),"")</f>
        <v/>
      </c>
      <c r="I533" s="22" t="str">
        <f t="shared" si="34"/>
        <v/>
      </c>
      <c r="J533" s="22" t="str">
        <f t="shared" si="35"/>
        <v/>
      </c>
    </row>
    <row r="534" spans="1:10">
      <c r="A534" s="56" t="str">
        <f>IF(AMS!H554="","",AMS!H554)</f>
        <v/>
      </c>
      <c r="B534" s="22" t="str">
        <f t="shared" si="32"/>
        <v/>
      </c>
      <c r="C534" s="22" t="str">
        <f t="array" ref="C534">IFERROR(INDEX(Summary!$I$3:$I$1000,SMALL((Summary!$I$3:$I$1000="")/0.1%+ROW($3:$1000),ROW()-2)-2)&amp;"","")</f>
        <v/>
      </c>
      <c r="D534" s="22" t="str">
        <v/>
      </c>
      <c r="E534" s="22" t="str">
        <f t="shared" si="33"/>
        <v/>
      </c>
      <c r="F534" s="56" t="str">
        <f>IF(AMS!I554="","",AMS!I554)</f>
        <v/>
      </c>
      <c r="G534" s="56" t="str">
        <f>IF(AMS!J554="","",AMS!J554)</f>
        <v/>
      </c>
      <c r="H534" s="22" t="str">
        <f t="array" ref="H534">IF(A534&lt;&gt;" ",IFERROR(INDEX(Summary!$G$3:$G$1000,SMALL((Summary!$G$3:$G$1000="")/0.1%+ROW($3:$1000),ROW()-2)-2)&amp;"",""),"")</f>
        <v/>
      </c>
      <c r="I534" s="22" t="str">
        <f t="shared" si="34"/>
        <v/>
      </c>
      <c r="J534" s="22" t="str">
        <f t="shared" si="35"/>
        <v/>
      </c>
    </row>
    <row r="535" spans="1:10">
      <c r="A535" s="56" t="str">
        <f>IF(AMS!H555="","",AMS!H555)</f>
        <v/>
      </c>
      <c r="B535" s="22" t="str">
        <f t="shared" si="32"/>
        <v/>
      </c>
      <c r="C535" s="22" t="str">
        <f t="array" ref="C535">IFERROR(INDEX(Summary!$I$3:$I$1000,SMALL((Summary!$I$3:$I$1000="")/0.1%+ROW($3:$1000),ROW()-2)-2)&amp;"","")</f>
        <v/>
      </c>
      <c r="D535" s="22" t="str">
        <v/>
      </c>
      <c r="E535" s="22" t="str">
        <f t="shared" si="33"/>
        <v/>
      </c>
      <c r="F535" s="56" t="str">
        <f>IF(AMS!I555="","",AMS!I555)</f>
        <v/>
      </c>
      <c r="G535" s="56" t="str">
        <f>IF(AMS!J555="","",AMS!J555)</f>
        <v/>
      </c>
      <c r="H535" s="22" t="str">
        <f t="array" ref="H535">IF(A535&lt;&gt;" ",IFERROR(INDEX(Summary!$G$3:$G$1000,SMALL((Summary!$G$3:$G$1000="")/0.1%+ROW($3:$1000),ROW()-2)-2)&amp;"",""),"")</f>
        <v/>
      </c>
      <c r="I535" s="22" t="str">
        <f t="shared" si="34"/>
        <v/>
      </c>
      <c r="J535" s="22" t="str">
        <f t="shared" si="35"/>
        <v/>
      </c>
    </row>
    <row r="536" spans="1:10">
      <c r="A536" s="56" t="str">
        <f>IF(AMS!H556="","",AMS!H556)</f>
        <v/>
      </c>
      <c r="B536" s="22" t="str">
        <f t="shared" si="32"/>
        <v/>
      </c>
      <c r="C536" s="22" t="str">
        <f t="array" ref="C536">IFERROR(INDEX(Summary!$I$3:$I$1000,SMALL((Summary!$I$3:$I$1000="")/0.1%+ROW($3:$1000),ROW()-2)-2)&amp;"","")</f>
        <v/>
      </c>
      <c r="D536" s="22" t="str">
        <v/>
      </c>
      <c r="E536" s="22" t="str">
        <f t="shared" si="33"/>
        <v/>
      </c>
      <c r="F536" s="56" t="str">
        <f>IF(AMS!I556="","",AMS!I556)</f>
        <v/>
      </c>
      <c r="G536" s="56" t="str">
        <f>IF(AMS!J556="","",AMS!J556)</f>
        <v/>
      </c>
      <c r="H536" s="22" t="str">
        <f t="array" ref="H536">IF(A536&lt;&gt;" ",IFERROR(INDEX(Summary!$G$3:$G$1000,SMALL((Summary!$G$3:$G$1000="")/0.1%+ROW($3:$1000),ROW()-2)-2)&amp;"",""),"")</f>
        <v/>
      </c>
      <c r="I536" s="22" t="str">
        <f t="shared" si="34"/>
        <v/>
      </c>
      <c r="J536" s="22" t="str">
        <f t="shared" si="35"/>
        <v/>
      </c>
    </row>
    <row r="537" spans="1:10">
      <c r="A537" s="56" t="str">
        <f>IF(AMS!H557="","",AMS!H557)</f>
        <v/>
      </c>
      <c r="B537" s="22" t="str">
        <f t="shared" si="32"/>
        <v/>
      </c>
      <c r="C537" s="22" t="str">
        <f t="array" ref="C537">IFERROR(INDEX(Summary!$I$3:$I$1000,SMALL((Summary!$I$3:$I$1000="")/0.1%+ROW($3:$1000),ROW()-2)-2)&amp;"","")</f>
        <v/>
      </c>
      <c r="D537" s="22" t="str">
        <v/>
      </c>
      <c r="E537" s="22" t="str">
        <f t="shared" si="33"/>
        <v/>
      </c>
      <c r="F537" s="56" t="str">
        <f>IF(AMS!I557="","",AMS!I557)</f>
        <v/>
      </c>
      <c r="G537" s="56" t="str">
        <f>IF(AMS!J557="","",AMS!J557)</f>
        <v/>
      </c>
      <c r="H537" s="22" t="str">
        <f t="array" ref="H537">IF(A537&lt;&gt;" ",IFERROR(INDEX(Summary!$G$3:$G$1000,SMALL((Summary!$G$3:$G$1000="")/0.1%+ROW($3:$1000),ROW()-2)-2)&amp;"",""),"")</f>
        <v/>
      </c>
      <c r="I537" s="22" t="str">
        <f t="shared" si="34"/>
        <v/>
      </c>
      <c r="J537" s="22" t="str">
        <f t="shared" si="35"/>
        <v/>
      </c>
    </row>
    <row r="538" spans="1:10">
      <c r="A538" s="56" t="str">
        <f>IF(AMS!H558="","",AMS!H558)</f>
        <v/>
      </c>
      <c r="B538" s="22" t="str">
        <f t="shared" si="32"/>
        <v/>
      </c>
      <c r="C538" s="22" t="str">
        <f t="array" ref="C538">IFERROR(INDEX(Summary!$I$3:$I$1000,SMALL((Summary!$I$3:$I$1000="")/0.1%+ROW($3:$1000),ROW()-2)-2)&amp;"","")</f>
        <v/>
      </c>
      <c r="D538" s="22" t="str">
        <v/>
      </c>
      <c r="E538" s="22" t="str">
        <f t="shared" si="33"/>
        <v/>
      </c>
      <c r="F538" s="56" t="str">
        <f>IF(AMS!I558="","",AMS!I558)</f>
        <v/>
      </c>
      <c r="G538" s="56" t="str">
        <f>IF(AMS!J558="","",AMS!J558)</f>
        <v/>
      </c>
      <c r="H538" s="22" t="str">
        <f t="array" ref="H538">IF(A538&lt;&gt;" ",IFERROR(INDEX(Summary!$G$3:$G$1000,SMALL((Summary!$G$3:$G$1000="")/0.1%+ROW($3:$1000),ROW()-2)-2)&amp;"",""),"")</f>
        <v/>
      </c>
      <c r="I538" s="22" t="str">
        <f t="shared" si="34"/>
        <v/>
      </c>
      <c r="J538" s="22" t="str">
        <f t="shared" si="35"/>
        <v/>
      </c>
    </row>
    <row r="539" spans="1:10">
      <c r="A539" s="56" t="str">
        <f>IF(AMS!H559="","",AMS!H559)</f>
        <v/>
      </c>
      <c r="B539" s="22" t="str">
        <f t="shared" si="32"/>
        <v/>
      </c>
      <c r="C539" s="22" t="str">
        <f t="array" ref="C539">IFERROR(INDEX(Summary!$I$3:$I$1000,SMALL((Summary!$I$3:$I$1000="")/0.1%+ROW($3:$1000),ROW()-2)-2)&amp;"","")</f>
        <v/>
      </c>
      <c r="D539" s="22" t="str">
        <v/>
      </c>
      <c r="E539" s="22" t="str">
        <f t="shared" si="33"/>
        <v/>
      </c>
      <c r="F539" s="56" t="str">
        <f>IF(AMS!I559="","",AMS!I559)</f>
        <v/>
      </c>
      <c r="G539" s="56" t="str">
        <f>IF(AMS!J559="","",AMS!J559)</f>
        <v/>
      </c>
      <c r="H539" s="22" t="str">
        <f t="array" ref="H539">IF(A539&lt;&gt;" ",IFERROR(INDEX(Summary!$G$3:$G$1000,SMALL((Summary!$G$3:$G$1000="")/0.1%+ROW($3:$1000),ROW()-2)-2)&amp;"",""),"")</f>
        <v/>
      </c>
      <c r="I539" s="22" t="str">
        <f t="shared" si="34"/>
        <v/>
      </c>
      <c r="J539" s="22" t="str">
        <f t="shared" si="35"/>
        <v/>
      </c>
    </row>
    <row r="540" spans="1:10">
      <c r="A540" s="56" t="str">
        <f>IF(AMS!H560="","",AMS!H560)</f>
        <v/>
      </c>
      <c r="B540" s="22" t="str">
        <f t="shared" si="32"/>
        <v/>
      </c>
      <c r="C540" s="22" t="str">
        <f t="array" ref="C540">IFERROR(INDEX(Summary!$I$3:$I$1000,SMALL((Summary!$I$3:$I$1000="")/0.1%+ROW($3:$1000),ROW()-2)-2)&amp;"","")</f>
        <v/>
      </c>
      <c r="D540" s="22" t="str">
        <v/>
      </c>
      <c r="E540" s="22" t="str">
        <f t="shared" si="33"/>
        <v/>
      </c>
      <c r="F540" s="56" t="str">
        <f>IF(AMS!I560="","",AMS!I560)</f>
        <v/>
      </c>
      <c r="G540" s="56" t="str">
        <f>IF(AMS!J560="","",AMS!J560)</f>
        <v/>
      </c>
      <c r="H540" s="22" t="str">
        <f t="array" ref="H540">IF(A540&lt;&gt;" ",IFERROR(INDEX(Summary!$G$3:$G$1000,SMALL((Summary!$G$3:$G$1000="")/0.1%+ROW($3:$1000),ROW()-2)-2)&amp;"",""),"")</f>
        <v/>
      </c>
      <c r="I540" s="22" t="str">
        <f t="shared" si="34"/>
        <v/>
      </c>
      <c r="J540" s="22" t="str">
        <f t="shared" si="35"/>
        <v/>
      </c>
    </row>
    <row r="541" spans="1:10">
      <c r="A541" s="56" t="str">
        <f>IF(AMS!H561="","",AMS!H561)</f>
        <v/>
      </c>
      <c r="B541" s="22" t="str">
        <f t="shared" si="32"/>
        <v/>
      </c>
      <c r="C541" s="22" t="str">
        <f t="array" ref="C541">IFERROR(INDEX(Summary!$I$3:$I$1000,SMALL((Summary!$I$3:$I$1000="")/0.1%+ROW($3:$1000),ROW()-2)-2)&amp;"","")</f>
        <v/>
      </c>
      <c r="D541" s="22" t="str">
        <v/>
      </c>
      <c r="E541" s="22" t="str">
        <f t="shared" si="33"/>
        <v/>
      </c>
      <c r="F541" s="56" t="str">
        <f>IF(AMS!I561="","",AMS!I561)</f>
        <v/>
      </c>
      <c r="G541" s="56" t="str">
        <f>IF(AMS!J561="","",AMS!J561)</f>
        <v/>
      </c>
      <c r="H541" s="22" t="str">
        <f t="array" ref="H541">IF(A541&lt;&gt;" ",IFERROR(INDEX(Summary!$G$3:$G$1000,SMALL((Summary!$G$3:$G$1000="")/0.1%+ROW($3:$1000),ROW()-2)-2)&amp;"",""),"")</f>
        <v/>
      </c>
      <c r="I541" s="22" t="str">
        <f t="shared" si="34"/>
        <v/>
      </c>
      <c r="J541" s="22" t="str">
        <f t="shared" si="35"/>
        <v/>
      </c>
    </row>
    <row r="542" spans="1:10">
      <c r="A542" s="56" t="str">
        <f>IF(AMS!H562="","",AMS!H562)</f>
        <v/>
      </c>
      <c r="B542" s="22" t="str">
        <f t="shared" si="32"/>
        <v/>
      </c>
      <c r="C542" s="22" t="str">
        <f t="array" ref="C542">IFERROR(INDEX(Summary!$I$3:$I$1000,SMALL((Summary!$I$3:$I$1000="")/0.1%+ROW($3:$1000),ROW()-2)-2)&amp;"","")</f>
        <v/>
      </c>
      <c r="D542" s="22" t="str">
        <v/>
      </c>
      <c r="E542" s="22" t="str">
        <f t="shared" si="33"/>
        <v/>
      </c>
      <c r="F542" s="56" t="str">
        <f>IF(AMS!I562="","",AMS!I562)</f>
        <v/>
      </c>
      <c r="G542" s="56" t="str">
        <f>IF(AMS!J562="","",AMS!J562)</f>
        <v/>
      </c>
      <c r="H542" s="22" t="str">
        <f t="array" ref="H542">IF(A542&lt;&gt;" ",IFERROR(INDEX(Summary!$G$3:$G$1000,SMALL((Summary!$G$3:$G$1000="")/0.1%+ROW($3:$1000),ROW()-2)-2)&amp;"",""),"")</f>
        <v/>
      </c>
      <c r="I542" s="22" t="str">
        <f t="shared" si="34"/>
        <v/>
      </c>
      <c r="J542" s="22" t="str">
        <f t="shared" si="35"/>
        <v/>
      </c>
    </row>
    <row r="543" spans="1:10">
      <c r="A543" s="56" t="str">
        <f>IF(AMS!H563="","",AMS!H563)</f>
        <v/>
      </c>
      <c r="B543" s="22" t="str">
        <f t="shared" si="32"/>
        <v/>
      </c>
      <c r="C543" s="22" t="str">
        <f t="array" ref="C543">IFERROR(INDEX(Summary!$I$3:$I$1000,SMALL((Summary!$I$3:$I$1000="")/0.1%+ROW($3:$1000),ROW()-2)-2)&amp;"","")</f>
        <v/>
      </c>
      <c r="D543" s="22" t="str">
        <v/>
      </c>
      <c r="E543" s="22" t="str">
        <f t="shared" si="33"/>
        <v/>
      </c>
      <c r="F543" s="56" t="str">
        <f>IF(AMS!I563="","",AMS!I563)</f>
        <v/>
      </c>
      <c r="G543" s="56" t="str">
        <f>IF(AMS!J563="","",AMS!J563)</f>
        <v/>
      </c>
      <c r="H543" s="22" t="str">
        <f t="array" ref="H543">IF(A543&lt;&gt;" ",IFERROR(INDEX(Summary!$G$3:$G$1000,SMALL((Summary!$G$3:$G$1000="")/0.1%+ROW($3:$1000),ROW()-2)-2)&amp;"",""),"")</f>
        <v/>
      </c>
      <c r="I543" s="22" t="str">
        <f t="shared" si="34"/>
        <v/>
      </c>
      <c r="J543" s="22" t="str">
        <f t="shared" si="35"/>
        <v/>
      </c>
    </row>
    <row r="544" spans="1:10">
      <c r="A544" s="56" t="str">
        <f>IF(AMS!H564="","",AMS!H564)</f>
        <v/>
      </c>
      <c r="B544" s="22" t="str">
        <f t="shared" si="32"/>
        <v/>
      </c>
      <c r="C544" s="22" t="str">
        <f t="array" ref="C544">IFERROR(INDEX(Summary!$I$3:$I$1000,SMALL((Summary!$I$3:$I$1000="")/0.1%+ROW($3:$1000),ROW()-2)-2)&amp;"","")</f>
        <v/>
      </c>
      <c r="D544" s="22" t="str">
        <v/>
      </c>
      <c r="E544" s="22" t="str">
        <f t="shared" si="33"/>
        <v/>
      </c>
      <c r="F544" s="56" t="str">
        <f>IF(AMS!I564="","",AMS!I564)</f>
        <v/>
      </c>
      <c r="G544" s="56" t="str">
        <f>IF(AMS!J564="","",AMS!J564)</f>
        <v/>
      </c>
      <c r="H544" s="22" t="str">
        <f t="array" ref="H544">IF(A544&lt;&gt;" ",IFERROR(INDEX(Summary!$G$3:$G$1000,SMALL((Summary!$G$3:$G$1000="")/0.1%+ROW($3:$1000),ROW()-2)-2)&amp;"",""),"")</f>
        <v/>
      </c>
      <c r="I544" s="22" t="str">
        <f t="shared" si="34"/>
        <v/>
      </c>
      <c r="J544" s="22" t="str">
        <f t="shared" si="35"/>
        <v/>
      </c>
    </row>
    <row r="545" spans="1:10">
      <c r="A545" s="56" t="str">
        <f>IF(AMS!H565="","",AMS!H565)</f>
        <v/>
      </c>
      <c r="B545" s="22" t="str">
        <f t="shared" si="32"/>
        <v/>
      </c>
      <c r="C545" s="22" t="str">
        <f t="array" ref="C545">IFERROR(INDEX(Summary!$I$3:$I$1000,SMALL((Summary!$I$3:$I$1000="")/0.1%+ROW($3:$1000),ROW()-2)-2)&amp;"","")</f>
        <v/>
      </c>
      <c r="D545" s="22" t="str">
        <v/>
      </c>
      <c r="E545" s="22" t="str">
        <f t="shared" si="33"/>
        <v/>
      </c>
      <c r="F545" s="56" t="str">
        <f>IF(AMS!I565="","",AMS!I565)</f>
        <v/>
      </c>
      <c r="G545" s="56" t="str">
        <f>IF(AMS!J565="","",AMS!J565)</f>
        <v/>
      </c>
      <c r="H545" s="22" t="str">
        <f t="array" ref="H545">IF(A545&lt;&gt;" ",IFERROR(INDEX(Summary!$G$3:$G$1000,SMALL((Summary!$G$3:$G$1000="")/0.1%+ROW($3:$1000),ROW()-2)-2)&amp;"",""),"")</f>
        <v/>
      </c>
      <c r="I545" s="22" t="str">
        <f t="shared" si="34"/>
        <v/>
      </c>
      <c r="J545" s="22" t="str">
        <f t="shared" si="35"/>
        <v/>
      </c>
    </row>
    <row r="546" spans="1:10">
      <c r="A546" s="56" t="str">
        <f>IF(AMS!H566="","",AMS!H566)</f>
        <v/>
      </c>
      <c r="B546" s="22" t="str">
        <f t="shared" si="32"/>
        <v/>
      </c>
      <c r="C546" s="22" t="str">
        <f t="array" ref="C546">IFERROR(INDEX(Summary!$I$3:$I$1000,SMALL((Summary!$I$3:$I$1000="")/0.1%+ROW($3:$1000),ROW()-2)-2)&amp;"","")</f>
        <v/>
      </c>
      <c r="D546" s="22" t="str">
        <v/>
      </c>
      <c r="E546" s="22" t="str">
        <f t="shared" si="33"/>
        <v/>
      </c>
      <c r="F546" s="56" t="str">
        <f>IF(AMS!I566="","",AMS!I566)</f>
        <v/>
      </c>
      <c r="G546" s="56" t="str">
        <f>IF(AMS!J566="","",AMS!J566)</f>
        <v/>
      </c>
      <c r="H546" s="22" t="str">
        <f t="array" ref="H546">IF(A546&lt;&gt;" ",IFERROR(INDEX(Summary!$G$3:$G$1000,SMALL((Summary!$G$3:$G$1000="")/0.1%+ROW($3:$1000),ROW()-2)-2)&amp;"",""),"")</f>
        <v/>
      </c>
      <c r="I546" s="22" t="str">
        <f t="shared" si="34"/>
        <v/>
      </c>
      <c r="J546" s="22" t="str">
        <f t="shared" si="35"/>
        <v/>
      </c>
    </row>
    <row r="547" spans="1:10">
      <c r="A547" s="56" t="str">
        <f>IF(AMS!H567="","",AMS!H567)</f>
        <v/>
      </c>
      <c r="B547" s="22" t="str">
        <f t="shared" si="32"/>
        <v/>
      </c>
      <c r="C547" s="22" t="str">
        <f t="array" ref="C547">IFERROR(INDEX(Summary!$I$3:$I$1000,SMALL((Summary!$I$3:$I$1000="")/0.1%+ROW($3:$1000),ROW()-2)-2)&amp;"","")</f>
        <v/>
      </c>
      <c r="D547" s="22" t="str">
        <v/>
      </c>
      <c r="E547" s="22" t="str">
        <f t="shared" si="33"/>
        <v/>
      </c>
      <c r="F547" s="56" t="str">
        <f>IF(AMS!I567="","",AMS!I567)</f>
        <v/>
      </c>
      <c r="G547" s="56" t="str">
        <f>IF(AMS!J567="","",AMS!J567)</f>
        <v/>
      </c>
      <c r="H547" s="22" t="str">
        <f t="array" ref="H547">IF(A547&lt;&gt;" ",IFERROR(INDEX(Summary!$G$3:$G$1000,SMALL((Summary!$G$3:$G$1000="")/0.1%+ROW($3:$1000),ROW()-2)-2)&amp;"",""),"")</f>
        <v/>
      </c>
      <c r="I547" s="22" t="str">
        <f t="shared" si="34"/>
        <v/>
      </c>
      <c r="J547" s="22" t="str">
        <f t="shared" si="35"/>
        <v/>
      </c>
    </row>
    <row r="548" spans="1:10">
      <c r="A548" s="56" t="str">
        <f>IF(AMS!H568="","",AMS!H568)</f>
        <v/>
      </c>
      <c r="B548" s="22" t="str">
        <f t="shared" si="32"/>
        <v/>
      </c>
      <c r="C548" s="22" t="str">
        <f t="array" ref="C548">IFERROR(INDEX(Summary!$I$3:$I$1000,SMALL((Summary!$I$3:$I$1000="")/0.1%+ROW($3:$1000),ROW()-2)-2)&amp;"","")</f>
        <v/>
      </c>
      <c r="D548" s="22" t="str">
        <v/>
      </c>
      <c r="E548" s="22" t="str">
        <f t="shared" si="33"/>
        <v/>
      </c>
      <c r="F548" s="56" t="str">
        <f>IF(AMS!I568="","",AMS!I568)</f>
        <v/>
      </c>
      <c r="G548" s="56" t="str">
        <f>IF(AMS!J568="","",AMS!J568)</f>
        <v/>
      </c>
      <c r="H548" s="22" t="str">
        <f t="array" ref="H548">IF(A548&lt;&gt;" ",IFERROR(INDEX(Summary!$G$3:$G$1000,SMALL((Summary!$G$3:$G$1000="")/0.1%+ROW($3:$1000),ROW()-2)-2)&amp;"",""),"")</f>
        <v/>
      </c>
      <c r="I548" s="22" t="str">
        <f t="shared" si="34"/>
        <v/>
      </c>
      <c r="J548" s="22" t="str">
        <f t="shared" si="35"/>
        <v/>
      </c>
    </row>
    <row r="549" spans="1:10">
      <c r="A549" s="56" t="str">
        <f>IF(AMS!H569="","",AMS!H569)</f>
        <v/>
      </c>
      <c r="B549" s="22" t="str">
        <f t="shared" si="32"/>
        <v/>
      </c>
      <c r="C549" s="22" t="str">
        <f t="array" ref="C549">IFERROR(INDEX(Summary!$I$3:$I$1000,SMALL((Summary!$I$3:$I$1000="")/0.1%+ROW($3:$1000),ROW()-2)-2)&amp;"","")</f>
        <v/>
      </c>
      <c r="D549" s="22" t="str">
        <v/>
      </c>
      <c r="E549" s="22" t="str">
        <f t="shared" si="33"/>
        <v/>
      </c>
      <c r="F549" s="56" t="str">
        <f>IF(AMS!I569="","",AMS!I569)</f>
        <v/>
      </c>
      <c r="G549" s="56" t="str">
        <f>IF(AMS!J569="","",AMS!J569)</f>
        <v/>
      </c>
      <c r="H549" s="22" t="str">
        <f t="array" ref="H549">IF(A549&lt;&gt;" ",IFERROR(INDEX(Summary!$G$3:$G$1000,SMALL((Summary!$G$3:$G$1000="")/0.1%+ROW($3:$1000),ROW()-2)-2)&amp;"",""),"")</f>
        <v/>
      </c>
      <c r="I549" s="22" t="str">
        <f t="shared" si="34"/>
        <v/>
      </c>
      <c r="J549" s="22" t="str">
        <f t="shared" si="35"/>
        <v/>
      </c>
    </row>
    <row r="550" spans="1:10">
      <c r="A550" s="56" t="str">
        <f>IF(AMS!H570="","",AMS!H570)</f>
        <v/>
      </c>
      <c r="B550" s="22" t="str">
        <f t="shared" si="32"/>
        <v/>
      </c>
      <c r="C550" s="22" t="str">
        <f t="array" ref="C550">IFERROR(INDEX(Summary!$I$3:$I$1000,SMALL((Summary!$I$3:$I$1000="")/0.1%+ROW($3:$1000),ROW()-2)-2)&amp;"","")</f>
        <v/>
      </c>
      <c r="D550" s="22" t="str">
        <v/>
      </c>
      <c r="E550" s="22" t="str">
        <f t="shared" si="33"/>
        <v/>
      </c>
      <c r="F550" s="56" t="str">
        <f>IF(AMS!I570="","",AMS!I570)</f>
        <v/>
      </c>
      <c r="G550" s="56" t="str">
        <f>IF(AMS!J570="","",AMS!J570)</f>
        <v/>
      </c>
      <c r="H550" s="22" t="str">
        <f t="array" ref="H550">IF(A550&lt;&gt;" ",IFERROR(INDEX(Summary!$G$3:$G$1000,SMALL((Summary!$G$3:$G$1000="")/0.1%+ROW($3:$1000),ROW()-2)-2)&amp;"",""),"")</f>
        <v/>
      </c>
      <c r="I550" s="22" t="str">
        <f t="shared" si="34"/>
        <v/>
      </c>
      <c r="J550" s="22" t="str">
        <f t="shared" si="35"/>
        <v/>
      </c>
    </row>
    <row r="551" spans="1:10">
      <c r="A551" s="56" t="str">
        <f>IF(AMS!H571="","",AMS!H571)</f>
        <v/>
      </c>
      <c r="B551" s="22" t="str">
        <f t="shared" si="32"/>
        <v/>
      </c>
      <c r="C551" s="22" t="str">
        <f t="array" ref="C551">IFERROR(INDEX(Summary!$I$3:$I$1000,SMALL((Summary!$I$3:$I$1000="")/0.1%+ROW($3:$1000),ROW()-2)-2)&amp;"","")</f>
        <v/>
      </c>
      <c r="D551" s="22" t="str">
        <v/>
      </c>
      <c r="E551" s="22" t="str">
        <f t="shared" si="33"/>
        <v/>
      </c>
      <c r="F551" s="56" t="str">
        <f>IF(AMS!I571="","",AMS!I571)</f>
        <v/>
      </c>
      <c r="G551" s="56" t="str">
        <f>IF(AMS!J571="","",AMS!J571)</f>
        <v/>
      </c>
      <c r="H551" s="22" t="str">
        <f t="array" ref="H551">IF(A551&lt;&gt;" ",IFERROR(INDEX(Summary!$G$3:$G$1000,SMALL((Summary!$G$3:$G$1000="")/0.1%+ROW($3:$1000),ROW()-2)-2)&amp;"",""),"")</f>
        <v/>
      </c>
      <c r="I551" s="22" t="str">
        <f t="shared" si="34"/>
        <v/>
      </c>
      <c r="J551" s="22" t="str">
        <f t="shared" si="35"/>
        <v/>
      </c>
    </row>
    <row r="552" spans="1:10">
      <c r="A552" s="56" t="str">
        <f>IF(AMS!H572="","",AMS!H572)</f>
        <v/>
      </c>
      <c r="B552" s="22" t="str">
        <f t="shared" si="32"/>
        <v/>
      </c>
      <c r="C552" s="22" t="str">
        <f t="array" ref="C552">IFERROR(INDEX(Summary!$I$3:$I$1000,SMALL((Summary!$I$3:$I$1000="")/0.1%+ROW($3:$1000),ROW()-2)-2)&amp;"","")</f>
        <v/>
      </c>
      <c r="D552" s="22" t="str">
        <v/>
      </c>
      <c r="E552" s="22" t="str">
        <f t="shared" si="33"/>
        <v/>
      </c>
      <c r="F552" s="56" t="str">
        <f>IF(AMS!I572="","",AMS!I572)</f>
        <v/>
      </c>
      <c r="G552" s="56" t="str">
        <f>IF(AMS!J572="","",AMS!J572)</f>
        <v/>
      </c>
      <c r="H552" s="22" t="str">
        <f t="array" ref="H552">IF(A552&lt;&gt;" ",IFERROR(INDEX(Summary!$G$3:$G$1000,SMALL((Summary!$G$3:$G$1000="")/0.1%+ROW($3:$1000),ROW()-2)-2)&amp;"",""),"")</f>
        <v/>
      </c>
      <c r="I552" s="22" t="str">
        <f t="shared" si="34"/>
        <v/>
      </c>
      <c r="J552" s="22" t="str">
        <f t="shared" si="35"/>
        <v/>
      </c>
    </row>
    <row r="553" spans="1:10">
      <c r="A553" s="56" t="str">
        <f>IF(AMS!H573="","",AMS!H573)</f>
        <v/>
      </c>
      <c r="B553" s="22" t="str">
        <f t="shared" si="32"/>
        <v/>
      </c>
      <c r="C553" s="22" t="str">
        <f t="array" ref="C553">IFERROR(INDEX(Summary!$I$3:$I$1000,SMALL((Summary!$I$3:$I$1000="")/0.1%+ROW($3:$1000),ROW()-2)-2)&amp;"","")</f>
        <v/>
      </c>
      <c r="D553" s="22" t="str">
        <v/>
      </c>
      <c r="E553" s="22" t="str">
        <f t="shared" si="33"/>
        <v/>
      </c>
      <c r="F553" s="56" t="str">
        <f>IF(AMS!I573="","",AMS!I573)</f>
        <v/>
      </c>
      <c r="G553" s="56" t="str">
        <f>IF(AMS!J573="","",AMS!J573)</f>
        <v/>
      </c>
      <c r="H553" s="22" t="str">
        <f t="array" ref="H553">IF(A553&lt;&gt;" ",IFERROR(INDEX(Summary!$G$3:$G$1000,SMALL((Summary!$G$3:$G$1000="")/0.1%+ROW($3:$1000),ROW()-2)-2)&amp;"",""),"")</f>
        <v/>
      </c>
      <c r="I553" s="22" t="str">
        <f t="shared" si="34"/>
        <v/>
      </c>
      <c r="J553" s="22" t="str">
        <f t="shared" si="35"/>
        <v/>
      </c>
    </row>
    <row r="554" spans="1:10">
      <c r="A554" s="56" t="str">
        <f>IF(AMS!H574="","",AMS!H574)</f>
        <v/>
      </c>
      <c r="B554" s="22" t="str">
        <f t="shared" si="32"/>
        <v/>
      </c>
      <c r="C554" s="22" t="str">
        <f t="array" ref="C554">IFERROR(INDEX(Summary!$I$3:$I$1000,SMALL((Summary!$I$3:$I$1000="")/0.1%+ROW($3:$1000),ROW()-2)-2)&amp;"","")</f>
        <v/>
      </c>
      <c r="D554" s="22" t="str">
        <v/>
      </c>
      <c r="E554" s="22" t="str">
        <f t="shared" si="33"/>
        <v/>
      </c>
      <c r="F554" s="56" t="str">
        <f>IF(AMS!I574="","",AMS!I574)</f>
        <v/>
      </c>
      <c r="G554" s="56" t="str">
        <f>IF(AMS!J574="","",AMS!J574)</f>
        <v/>
      </c>
      <c r="H554" s="22" t="str">
        <f t="array" ref="H554">IF(A554&lt;&gt;" ",IFERROR(INDEX(Summary!$G$3:$G$1000,SMALL((Summary!$G$3:$G$1000="")/0.1%+ROW($3:$1000),ROW()-2)-2)&amp;"",""),"")</f>
        <v/>
      </c>
      <c r="I554" s="22" t="str">
        <f t="shared" si="34"/>
        <v/>
      </c>
      <c r="J554" s="22" t="str">
        <f t="shared" si="35"/>
        <v/>
      </c>
    </row>
    <row r="555" spans="1:10">
      <c r="A555" s="56" t="str">
        <f>IF(AMS!H575="","",AMS!H575)</f>
        <v/>
      </c>
      <c r="B555" s="22" t="str">
        <f t="shared" si="32"/>
        <v/>
      </c>
      <c r="C555" s="22" t="str">
        <f t="array" ref="C555">IFERROR(INDEX(Summary!$I$3:$I$1000,SMALL((Summary!$I$3:$I$1000="")/0.1%+ROW($3:$1000),ROW()-2)-2)&amp;"","")</f>
        <v/>
      </c>
      <c r="D555" s="22" t="str">
        <v/>
      </c>
      <c r="E555" s="22" t="str">
        <f t="shared" si="33"/>
        <v/>
      </c>
      <c r="F555" s="56" t="str">
        <f>IF(AMS!I575="","",AMS!I575)</f>
        <v/>
      </c>
      <c r="G555" s="56" t="str">
        <f>IF(AMS!J575="","",AMS!J575)</f>
        <v/>
      </c>
      <c r="H555" s="22" t="str">
        <f t="array" ref="H555">IF(A555&lt;&gt;" ",IFERROR(INDEX(Summary!$G$3:$G$1000,SMALL((Summary!$G$3:$G$1000="")/0.1%+ROW($3:$1000),ROW()-2)-2)&amp;"",""),"")</f>
        <v/>
      </c>
      <c r="I555" s="22" t="str">
        <f t="shared" si="34"/>
        <v/>
      </c>
      <c r="J555" s="22" t="str">
        <f t="shared" si="35"/>
        <v/>
      </c>
    </row>
    <row r="556" spans="1:10">
      <c r="A556" s="56" t="str">
        <f>IF(AMS!H576="","",AMS!H576)</f>
        <v/>
      </c>
      <c r="B556" s="22" t="str">
        <f t="shared" si="32"/>
        <v/>
      </c>
      <c r="C556" s="22" t="str">
        <f t="array" ref="C556">IFERROR(INDEX(Summary!$I$3:$I$1000,SMALL((Summary!$I$3:$I$1000="")/0.1%+ROW($3:$1000),ROW()-2)-2)&amp;"","")</f>
        <v/>
      </c>
      <c r="D556" s="22" t="str">
        <v/>
      </c>
      <c r="E556" s="22" t="str">
        <f t="shared" si="33"/>
        <v/>
      </c>
      <c r="F556" s="56" t="str">
        <f>IF(AMS!I576="","",AMS!I576)</f>
        <v/>
      </c>
      <c r="G556" s="56" t="str">
        <f>IF(AMS!J576="","",AMS!J576)</f>
        <v/>
      </c>
      <c r="H556" s="22" t="str">
        <f t="array" ref="H556">IF(A556&lt;&gt;" ",IFERROR(INDEX(Summary!$G$3:$G$1000,SMALL((Summary!$G$3:$G$1000="")/0.1%+ROW($3:$1000),ROW()-2)-2)&amp;"",""),"")</f>
        <v/>
      </c>
      <c r="I556" s="22" t="str">
        <f t="shared" si="34"/>
        <v/>
      </c>
      <c r="J556" s="22" t="str">
        <f t="shared" si="35"/>
        <v/>
      </c>
    </row>
    <row r="557" spans="1:10">
      <c r="A557" s="56" t="str">
        <f>IF(AMS!H577="","",AMS!H577)</f>
        <v/>
      </c>
      <c r="B557" s="22" t="str">
        <f t="shared" si="32"/>
        <v/>
      </c>
      <c r="C557" s="22" t="str">
        <f t="array" ref="C557">IFERROR(INDEX(Summary!$I$3:$I$1000,SMALL((Summary!$I$3:$I$1000="")/0.1%+ROW($3:$1000),ROW()-2)-2)&amp;"","")</f>
        <v/>
      </c>
      <c r="D557" s="22" t="str">
        <v/>
      </c>
      <c r="E557" s="22" t="str">
        <f t="shared" si="33"/>
        <v/>
      </c>
      <c r="F557" s="56" t="str">
        <f>IF(AMS!I577="","",AMS!I577)</f>
        <v/>
      </c>
      <c r="G557" s="56" t="str">
        <f>IF(AMS!J577="","",AMS!J577)</f>
        <v/>
      </c>
      <c r="H557" s="22" t="str">
        <f t="array" ref="H557">IF(A557&lt;&gt;" ",IFERROR(INDEX(Summary!$G$3:$G$1000,SMALL((Summary!$G$3:$G$1000="")/0.1%+ROW($3:$1000),ROW()-2)-2)&amp;"",""),"")</f>
        <v/>
      </c>
      <c r="I557" s="22" t="str">
        <f t="shared" si="34"/>
        <v/>
      </c>
      <c r="J557" s="22" t="str">
        <f t="shared" si="35"/>
        <v/>
      </c>
    </row>
    <row r="558" spans="1:10">
      <c r="A558" s="56" t="str">
        <f>IF(AMS!H578="","",AMS!H578)</f>
        <v/>
      </c>
      <c r="B558" s="22" t="str">
        <f t="shared" si="32"/>
        <v/>
      </c>
      <c r="C558" s="22" t="str">
        <f t="array" ref="C558">IFERROR(INDEX(Summary!$I$3:$I$1000,SMALL((Summary!$I$3:$I$1000="")/0.1%+ROW($3:$1000),ROW()-2)-2)&amp;"","")</f>
        <v/>
      </c>
      <c r="D558" s="22" t="str">
        <v/>
      </c>
      <c r="E558" s="22" t="str">
        <f t="shared" si="33"/>
        <v/>
      </c>
      <c r="F558" s="56" t="str">
        <f>IF(AMS!I578="","",AMS!I578)</f>
        <v/>
      </c>
      <c r="G558" s="56" t="str">
        <f>IF(AMS!J578="","",AMS!J578)</f>
        <v/>
      </c>
      <c r="H558" s="22" t="str">
        <f t="array" ref="H558">IF(A558&lt;&gt;" ",IFERROR(INDEX(Summary!$G$3:$G$1000,SMALL((Summary!$G$3:$G$1000="")/0.1%+ROW($3:$1000),ROW()-2)-2)&amp;"",""),"")</f>
        <v/>
      </c>
      <c r="I558" s="22" t="str">
        <f t="shared" si="34"/>
        <v/>
      </c>
      <c r="J558" s="22" t="str">
        <f t="shared" si="35"/>
        <v/>
      </c>
    </row>
    <row r="559" spans="1:10">
      <c r="A559" s="56" t="str">
        <f>IF(AMS!H579="","",AMS!H579)</f>
        <v/>
      </c>
      <c r="B559" s="22" t="str">
        <f t="shared" si="32"/>
        <v/>
      </c>
      <c r="C559" s="22" t="str">
        <f t="array" ref="C559">IFERROR(INDEX(Summary!$I$3:$I$1000,SMALL((Summary!$I$3:$I$1000="")/0.1%+ROW($3:$1000),ROW()-2)-2)&amp;"","")</f>
        <v/>
      </c>
      <c r="D559" s="22" t="str">
        <v/>
      </c>
      <c r="E559" s="22" t="str">
        <f t="shared" si="33"/>
        <v/>
      </c>
      <c r="F559" s="56" t="str">
        <f>IF(AMS!I579="","",AMS!I579)</f>
        <v/>
      </c>
      <c r="G559" s="56" t="str">
        <f>IF(AMS!J579="","",AMS!J579)</f>
        <v/>
      </c>
      <c r="H559" s="22" t="str">
        <f t="array" ref="H559">IF(A559&lt;&gt;" ",IFERROR(INDEX(Summary!$G$3:$G$1000,SMALL((Summary!$G$3:$G$1000="")/0.1%+ROW($3:$1000),ROW()-2)-2)&amp;"",""),"")</f>
        <v/>
      </c>
      <c r="I559" s="22" t="str">
        <f t="shared" si="34"/>
        <v/>
      </c>
      <c r="J559" s="22" t="str">
        <f t="shared" si="35"/>
        <v/>
      </c>
    </row>
    <row r="560" spans="1:10">
      <c r="A560" s="56" t="str">
        <f>IF(AMS!H580="","",AMS!H580)</f>
        <v/>
      </c>
      <c r="B560" s="22" t="str">
        <f t="shared" si="32"/>
        <v/>
      </c>
      <c r="C560" s="22" t="str">
        <f t="array" ref="C560">IFERROR(INDEX(Summary!$I$3:$I$1000,SMALL((Summary!$I$3:$I$1000="")/0.1%+ROW($3:$1000),ROW()-2)-2)&amp;"","")</f>
        <v/>
      </c>
      <c r="D560" s="22" t="str">
        <v/>
      </c>
      <c r="E560" s="22" t="str">
        <f t="shared" si="33"/>
        <v/>
      </c>
      <c r="F560" s="56" t="str">
        <f>IF(AMS!I580="","",AMS!I580)</f>
        <v/>
      </c>
      <c r="G560" s="56" t="str">
        <f>IF(AMS!J580="","",AMS!J580)</f>
        <v/>
      </c>
      <c r="H560" s="22" t="str">
        <f t="array" ref="H560">IF(A560&lt;&gt;" ",IFERROR(INDEX(Summary!$G$3:$G$1000,SMALL((Summary!$G$3:$G$1000="")/0.1%+ROW($3:$1000),ROW()-2)-2)&amp;"",""),"")</f>
        <v/>
      </c>
      <c r="I560" s="22" t="str">
        <f t="shared" si="34"/>
        <v/>
      </c>
      <c r="J560" s="22" t="str">
        <f t="shared" si="35"/>
        <v/>
      </c>
    </row>
    <row r="561" spans="1:10">
      <c r="A561" s="56" t="str">
        <f>IF(AMS!H581="","",AMS!H581)</f>
        <v/>
      </c>
      <c r="B561" s="22" t="str">
        <f t="shared" si="32"/>
        <v/>
      </c>
      <c r="C561" s="22" t="str">
        <f t="array" ref="C561">IFERROR(INDEX(Summary!$I$3:$I$1000,SMALL((Summary!$I$3:$I$1000="")/0.1%+ROW($3:$1000),ROW()-2)-2)&amp;"","")</f>
        <v/>
      </c>
      <c r="D561" s="22" t="str">
        <v/>
      </c>
      <c r="E561" s="22" t="str">
        <f t="shared" si="33"/>
        <v/>
      </c>
      <c r="F561" s="56" t="str">
        <f>IF(AMS!I581="","",AMS!I581)</f>
        <v/>
      </c>
      <c r="G561" s="56" t="str">
        <f>IF(AMS!J581="","",AMS!J581)</f>
        <v/>
      </c>
      <c r="H561" s="22" t="str">
        <f t="array" ref="H561">IF(A561&lt;&gt;" ",IFERROR(INDEX(Summary!$G$3:$G$1000,SMALL((Summary!$G$3:$G$1000="")/0.1%+ROW($3:$1000),ROW()-2)-2)&amp;"",""),"")</f>
        <v/>
      </c>
      <c r="I561" s="22" t="str">
        <f t="shared" si="34"/>
        <v/>
      </c>
      <c r="J561" s="22" t="str">
        <f t="shared" si="35"/>
        <v/>
      </c>
    </row>
    <row r="562" spans="1:10">
      <c r="A562" s="56" t="str">
        <f>IF(AMS!H582="","",AMS!H582)</f>
        <v/>
      </c>
      <c r="B562" s="22" t="str">
        <f t="shared" si="32"/>
        <v/>
      </c>
      <c r="C562" s="22" t="str">
        <f t="array" ref="C562">IFERROR(INDEX(Summary!$I$3:$I$1000,SMALL((Summary!$I$3:$I$1000="")/0.1%+ROW($3:$1000),ROW()-2)-2)&amp;"","")</f>
        <v/>
      </c>
      <c r="D562" s="22" t="str">
        <v/>
      </c>
      <c r="E562" s="22" t="str">
        <f t="shared" si="33"/>
        <v/>
      </c>
      <c r="F562" s="56" t="str">
        <f>IF(AMS!I582="","",AMS!I582)</f>
        <v/>
      </c>
      <c r="G562" s="56" t="str">
        <f>IF(AMS!J582="","",AMS!J582)</f>
        <v/>
      </c>
      <c r="H562" s="22" t="str">
        <f t="array" ref="H562">IF(A562&lt;&gt;" ",IFERROR(INDEX(Summary!$G$3:$G$1000,SMALL((Summary!$G$3:$G$1000="")/0.1%+ROW($3:$1000),ROW()-2)-2)&amp;"",""),"")</f>
        <v/>
      </c>
      <c r="I562" s="22" t="str">
        <f t="shared" si="34"/>
        <v/>
      </c>
      <c r="J562" s="22" t="str">
        <f t="shared" si="35"/>
        <v/>
      </c>
    </row>
    <row r="563" spans="1:10">
      <c r="A563" s="56" t="str">
        <f>IF(AMS!H583="","",AMS!H583)</f>
        <v/>
      </c>
      <c r="B563" s="22" t="str">
        <f t="shared" si="32"/>
        <v/>
      </c>
      <c r="C563" s="22" t="str">
        <f t="array" ref="C563">IFERROR(INDEX(Summary!$I$3:$I$1000,SMALL((Summary!$I$3:$I$1000="")/0.1%+ROW($3:$1000),ROW()-2)-2)&amp;"","")</f>
        <v/>
      </c>
      <c r="D563" s="22" t="str">
        <v/>
      </c>
      <c r="E563" s="22" t="str">
        <f t="shared" si="33"/>
        <v/>
      </c>
      <c r="F563" s="56" t="str">
        <f>IF(AMS!I583="","",AMS!I583)</f>
        <v/>
      </c>
      <c r="G563" s="56" t="str">
        <f>IF(AMS!J583="","",AMS!J583)</f>
        <v/>
      </c>
      <c r="H563" s="22" t="str">
        <f t="array" ref="H563">IF(A563&lt;&gt;" ",IFERROR(INDEX(Summary!$G$3:$G$1000,SMALL((Summary!$G$3:$G$1000="")/0.1%+ROW($3:$1000),ROW()-2)-2)&amp;"",""),"")</f>
        <v/>
      </c>
      <c r="I563" s="22" t="str">
        <f t="shared" si="34"/>
        <v/>
      </c>
      <c r="J563" s="22" t="str">
        <f t="shared" si="35"/>
        <v/>
      </c>
    </row>
    <row r="564" spans="1:10">
      <c r="A564" s="56" t="str">
        <f>IF(AMS!H584="","",AMS!H584)</f>
        <v/>
      </c>
      <c r="B564" s="22" t="str">
        <f t="shared" si="32"/>
        <v/>
      </c>
      <c r="C564" s="22" t="str">
        <f t="array" ref="C564">IFERROR(INDEX(Summary!$I$3:$I$1000,SMALL((Summary!$I$3:$I$1000="")/0.1%+ROW($3:$1000),ROW()-2)-2)&amp;"","")</f>
        <v/>
      </c>
      <c r="D564" s="22" t="str">
        <v/>
      </c>
      <c r="E564" s="22" t="str">
        <f t="shared" si="33"/>
        <v/>
      </c>
      <c r="F564" s="56" t="str">
        <f>IF(AMS!I584="","",AMS!I584)</f>
        <v/>
      </c>
      <c r="G564" s="56" t="str">
        <f>IF(AMS!J584="","",AMS!J584)</f>
        <v/>
      </c>
      <c r="H564" s="22" t="str">
        <f t="array" ref="H564">IF(A564&lt;&gt;" ",IFERROR(INDEX(Summary!$G$3:$G$1000,SMALL((Summary!$G$3:$G$1000="")/0.1%+ROW($3:$1000),ROW()-2)-2)&amp;"",""),"")</f>
        <v/>
      </c>
      <c r="I564" s="22" t="str">
        <f t="shared" si="34"/>
        <v/>
      </c>
      <c r="J564" s="22" t="str">
        <f t="shared" si="35"/>
        <v/>
      </c>
    </row>
    <row r="565" spans="1:10">
      <c r="A565" s="56" t="str">
        <f>IF(AMS!H585="","",AMS!H585)</f>
        <v/>
      </c>
      <c r="B565" s="22" t="str">
        <f t="shared" si="32"/>
        <v/>
      </c>
      <c r="C565" s="22" t="str">
        <f t="array" ref="C565">IFERROR(INDEX(Summary!$I$3:$I$1000,SMALL((Summary!$I$3:$I$1000="")/0.1%+ROW($3:$1000),ROW()-2)-2)&amp;"","")</f>
        <v/>
      </c>
      <c r="D565" s="22" t="str">
        <v/>
      </c>
      <c r="E565" s="22" t="str">
        <f t="shared" si="33"/>
        <v/>
      </c>
      <c r="F565" s="56" t="str">
        <f>IF(AMS!I585="","",AMS!I585)</f>
        <v/>
      </c>
      <c r="G565" s="56" t="str">
        <f>IF(AMS!J585="","",AMS!J585)</f>
        <v/>
      </c>
      <c r="H565" s="22" t="str">
        <f t="array" ref="H565">IF(A565&lt;&gt;" ",IFERROR(INDEX(Summary!$G$3:$G$1000,SMALL((Summary!$G$3:$G$1000="")/0.1%+ROW($3:$1000),ROW()-2)-2)&amp;"",""),"")</f>
        <v/>
      </c>
      <c r="I565" s="22" t="str">
        <f t="shared" si="34"/>
        <v/>
      </c>
      <c r="J565" s="22" t="str">
        <f t="shared" si="35"/>
        <v/>
      </c>
    </row>
    <row r="566" spans="1:10">
      <c r="A566" s="56" t="str">
        <f>IF(AMS!H586="","",AMS!H586)</f>
        <v/>
      </c>
      <c r="B566" s="22" t="str">
        <f t="shared" si="32"/>
        <v/>
      </c>
      <c r="C566" s="22" t="str">
        <f t="array" ref="C566">IFERROR(INDEX(Summary!$I$3:$I$1000,SMALL((Summary!$I$3:$I$1000="")/0.1%+ROW($3:$1000),ROW()-2)-2)&amp;"","")</f>
        <v/>
      </c>
      <c r="D566" s="22" t="str">
        <v/>
      </c>
      <c r="E566" s="22" t="str">
        <f t="shared" si="33"/>
        <v/>
      </c>
      <c r="F566" s="56" t="str">
        <f>IF(AMS!I586="","",AMS!I586)</f>
        <v/>
      </c>
      <c r="G566" s="56" t="str">
        <f>IF(AMS!J586="","",AMS!J586)</f>
        <v/>
      </c>
      <c r="H566" s="22" t="str">
        <f t="array" ref="H566">IF(A566&lt;&gt;" ",IFERROR(INDEX(Summary!$G$3:$G$1000,SMALL((Summary!$G$3:$G$1000="")/0.1%+ROW($3:$1000),ROW()-2)-2)&amp;"",""),"")</f>
        <v/>
      </c>
      <c r="I566" s="22" t="str">
        <f t="shared" si="34"/>
        <v/>
      </c>
      <c r="J566" s="22" t="str">
        <f t="shared" si="35"/>
        <v/>
      </c>
    </row>
    <row r="567" spans="1:10">
      <c r="A567" s="56" t="str">
        <f>IF(AMS!H587="","",AMS!H587)</f>
        <v/>
      </c>
      <c r="B567" s="22" t="str">
        <f t="shared" si="32"/>
        <v/>
      </c>
      <c r="C567" s="22" t="str">
        <f t="array" ref="C567">IFERROR(INDEX(Summary!$I$3:$I$1000,SMALL((Summary!$I$3:$I$1000="")/0.1%+ROW($3:$1000),ROW()-2)-2)&amp;"","")</f>
        <v/>
      </c>
      <c r="D567" s="22" t="str">
        <v/>
      </c>
      <c r="E567" s="22" t="str">
        <f t="shared" si="33"/>
        <v/>
      </c>
      <c r="F567" s="56" t="str">
        <f>IF(AMS!I587="","",AMS!I587)</f>
        <v/>
      </c>
      <c r="G567" s="56" t="str">
        <f>IF(AMS!J587="","",AMS!J587)</f>
        <v/>
      </c>
      <c r="H567" s="22" t="str">
        <f t="array" ref="H567">IF(A567&lt;&gt;" ",IFERROR(INDEX(Summary!$G$3:$G$1000,SMALL((Summary!$G$3:$G$1000="")/0.1%+ROW($3:$1000),ROW()-2)-2)&amp;"",""),"")</f>
        <v/>
      </c>
      <c r="I567" s="22" t="str">
        <f t="shared" si="34"/>
        <v/>
      </c>
      <c r="J567" s="22" t="str">
        <f t="shared" si="35"/>
        <v/>
      </c>
    </row>
    <row r="568" spans="1:10">
      <c r="A568" s="56" t="str">
        <f>IF(AMS!H588="","",AMS!H588)</f>
        <v/>
      </c>
      <c r="B568" s="22" t="str">
        <f t="shared" si="32"/>
        <v/>
      </c>
      <c r="C568" s="22" t="str">
        <f t="array" ref="C568">IFERROR(INDEX(Summary!$I$3:$I$1000,SMALL((Summary!$I$3:$I$1000="")/0.1%+ROW($3:$1000),ROW()-2)-2)&amp;"","")</f>
        <v/>
      </c>
      <c r="D568" s="22" t="str">
        <v/>
      </c>
      <c r="E568" s="22" t="str">
        <f t="shared" si="33"/>
        <v/>
      </c>
      <c r="F568" s="56" t="str">
        <f>IF(AMS!I588="","",AMS!I588)</f>
        <v/>
      </c>
      <c r="G568" s="56" t="str">
        <f>IF(AMS!J588="","",AMS!J588)</f>
        <v/>
      </c>
      <c r="H568" s="22" t="str">
        <f t="array" ref="H568">IF(A568&lt;&gt;" ",IFERROR(INDEX(Summary!$G$3:$G$1000,SMALL((Summary!$G$3:$G$1000="")/0.1%+ROW($3:$1000),ROW()-2)-2)&amp;"",""),"")</f>
        <v/>
      </c>
      <c r="I568" s="22" t="str">
        <f t="shared" si="34"/>
        <v/>
      </c>
      <c r="J568" s="22" t="str">
        <f t="shared" si="35"/>
        <v/>
      </c>
    </row>
    <row r="569" spans="1:10">
      <c r="A569" s="56" t="str">
        <f>IF(AMS!H589="","",AMS!H589)</f>
        <v/>
      </c>
      <c r="B569" s="22" t="str">
        <f t="shared" si="32"/>
        <v/>
      </c>
      <c r="C569" s="22" t="str">
        <f t="array" ref="C569">IFERROR(INDEX(Summary!$I$3:$I$1000,SMALL((Summary!$I$3:$I$1000="")/0.1%+ROW($3:$1000),ROW()-2)-2)&amp;"","")</f>
        <v/>
      </c>
      <c r="D569" s="22" t="str">
        <v/>
      </c>
      <c r="E569" s="22" t="str">
        <f t="shared" si="33"/>
        <v/>
      </c>
      <c r="F569" s="56" t="str">
        <f>IF(AMS!I589="","",AMS!I589)</f>
        <v/>
      </c>
      <c r="G569" s="56" t="str">
        <f>IF(AMS!J589="","",AMS!J589)</f>
        <v/>
      </c>
      <c r="H569" s="22" t="str">
        <f t="array" ref="H569">IF(A569&lt;&gt;" ",IFERROR(INDEX(Summary!$G$3:$G$1000,SMALL((Summary!$G$3:$G$1000="")/0.1%+ROW($3:$1000),ROW()-2)-2)&amp;"",""),"")</f>
        <v/>
      </c>
      <c r="I569" s="22" t="str">
        <f t="shared" si="34"/>
        <v/>
      </c>
      <c r="J569" s="22" t="str">
        <f t="shared" si="35"/>
        <v/>
      </c>
    </row>
    <row r="570" spans="1:10">
      <c r="A570" s="56" t="str">
        <f>IF(AMS!H590="","",AMS!H590)</f>
        <v/>
      </c>
      <c r="B570" s="22" t="str">
        <f t="shared" si="32"/>
        <v/>
      </c>
      <c r="C570" s="22" t="str">
        <f t="array" ref="C570">IFERROR(INDEX(Summary!$I$3:$I$1000,SMALL((Summary!$I$3:$I$1000="")/0.1%+ROW($3:$1000),ROW()-2)-2)&amp;"","")</f>
        <v/>
      </c>
      <c r="D570" s="22" t="str">
        <v/>
      </c>
      <c r="E570" s="22" t="str">
        <f t="shared" si="33"/>
        <v/>
      </c>
      <c r="F570" s="56" t="str">
        <f>IF(AMS!I590="","",AMS!I590)</f>
        <v/>
      </c>
      <c r="G570" s="56" t="str">
        <f>IF(AMS!J590="","",AMS!J590)</f>
        <v/>
      </c>
      <c r="H570" s="22" t="str">
        <f t="array" ref="H570">IF(A570&lt;&gt;" ",IFERROR(INDEX(Summary!$G$3:$G$1000,SMALL((Summary!$G$3:$G$1000="")/0.1%+ROW($3:$1000),ROW()-2)-2)&amp;"",""),"")</f>
        <v/>
      </c>
      <c r="I570" s="22" t="str">
        <f t="shared" si="34"/>
        <v/>
      </c>
      <c r="J570" s="22" t="str">
        <f t="shared" si="35"/>
        <v/>
      </c>
    </row>
    <row r="571" spans="1:10">
      <c r="A571" s="56" t="str">
        <f>IF(AMS!H591="","",AMS!H591)</f>
        <v/>
      </c>
      <c r="B571" s="22" t="str">
        <f t="shared" si="32"/>
        <v/>
      </c>
      <c r="C571" s="22" t="str">
        <f t="array" ref="C571">IFERROR(INDEX(Summary!$I$3:$I$1000,SMALL((Summary!$I$3:$I$1000="")/0.1%+ROW($3:$1000),ROW()-2)-2)&amp;"","")</f>
        <v/>
      </c>
      <c r="D571" s="22" t="str">
        <v/>
      </c>
      <c r="E571" s="22" t="str">
        <f t="shared" si="33"/>
        <v/>
      </c>
      <c r="F571" s="56" t="str">
        <f>IF(AMS!I591="","",AMS!I591)</f>
        <v/>
      </c>
      <c r="G571" s="56" t="str">
        <f>IF(AMS!J591="","",AMS!J591)</f>
        <v/>
      </c>
      <c r="H571" s="22" t="str">
        <f t="array" ref="H571">IF(A571&lt;&gt;" ",IFERROR(INDEX(Summary!$G$3:$G$1000,SMALL((Summary!$G$3:$G$1000="")/0.1%+ROW($3:$1000),ROW()-2)-2)&amp;"",""),"")</f>
        <v/>
      </c>
      <c r="I571" s="22" t="str">
        <f t="shared" si="34"/>
        <v/>
      </c>
      <c r="J571" s="22" t="str">
        <f t="shared" si="35"/>
        <v/>
      </c>
    </row>
    <row r="572" spans="1:10">
      <c r="A572" s="56" t="str">
        <f>IF(AMS!H592="","",AMS!H592)</f>
        <v/>
      </c>
      <c r="B572" s="22" t="str">
        <f t="shared" si="32"/>
        <v/>
      </c>
      <c r="C572" s="22" t="str">
        <f t="array" ref="C572">IFERROR(INDEX(Summary!$I$3:$I$1000,SMALL((Summary!$I$3:$I$1000="")/0.1%+ROW($3:$1000),ROW()-2)-2)&amp;"","")</f>
        <v/>
      </c>
      <c r="D572" s="22" t="str">
        <v/>
      </c>
      <c r="E572" s="22" t="str">
        <f t="shared" si="33"/>
        <v/>
      </c>
      <c r="F572" s="56" t="str">
        <f>IF(AMS!I592="","",AMS!I592)</f>
        <v/>
      </c>
      <c r="G572" s="56" t="str">
        <f>IF(AMS!J592="","",AMS!J592)</f>
        <v/>
      </c>
      <c r="H572" s="22" t="str">
        <f t="array" ref="H572">IF(A572&lt;&gt;" ",IFERROR(INDEX(Summary!$G$3:$G$1000,SMALL((Summary!$G$3:$G$1000="")/0.1%+ROW($3:$1000),ROW()-2)-2)&amp;"",""),"")</f>
        <v/>
      </c>
      <c r="I572" s="22" t="str">
        <f t="shared" si="34"/>
        <v/>
      </c>
      <c r="J572" s="22" t="str">
        <f t="shared" si="35"/>
        <v/>
      </c>
    </row>
    <row r="573" spans="1:10">
      <c r="A573" s="56" t="str">
        <f>IF(AMS!H593="","",AMS!H593)</f>
        <v/>
      </c>
      <c r="B573" s="22" t="str">
        <f t="shared" si="32"/>
        <v/>
      </c>
      <c r="C573" s="22" t="str">
        <f t="array" ref="C573">IFERROR(INDEX(Summary!$I$3:$I$1000,SMALL((Summary!$I$3:$I$1000="")/0.1%+ROW($3:$1000),ROW()-2)-2)&amp;"","")</f>
        <v/>
      </c>
      <c r="D573" s="22" t="str">
        <v/>
      </c>
      <c r="E573" s="22" t="str">
        <f t="shared" si="33"/>
        <v/>
      </c>
      <c r="F573" s="56" t="str">
        <f>IF(AMS!I593="","",AMS!I593)</f>
        <v/>
      </c>
      <c r="G573" s="56" t="str">
        <f>IF(AMS!J593="","",AMS!J593)</f>
        <v/>
      </c>
      <c r="H573" s="22" t="str">
        <f t="array" ref="H573">IF(A573&lt;&gt;" ",IFERROR(INDEX(Summary!$G$3:$G$1000,SMALL((Summary!$G$3:$G$1000="")/0.1%+ROW($3:$1000),ROW()-2)-2)&amp;"",""),"")</f>
        <v/>
      </c>
      <c r="I573" s="22" t="str">
        <f t="shared" si="34"/>
        <v/>
      </c>
      <c r="J573" s="22" t="str">
        <f t="shared" si="35"/>
        <v/>
      </c>
    </row>
    <row r="574" spans="1:10">
      <c r="A574" s="56" t="str">
        <f>IF(AMS!H594="","",AMS!H594)</f>
        <v/>
      </c>
      <c r="B574" s="22" t="str">
        <f t="shared" si="32"/>
        <v/>
      </c>
      <c r="C574" s="22" t="str">
        <f t="array" ref="C574">IFERROR(INDEX(Summary!$I$3:$I$1000,SMALL((Summary!$I$3:$I$1000="")/0.1%+ROW($3:$1000),ROW()-2)-2)&amp;"","")</f>
        <v/>
      </c>
      <c r="D574" s="22" t="str">
        <v/>
      </c>
      <c r="E574" s="22" t="str">
        <f t="shared" si="33"/>
        <v/>
      </c>
      <c r="F574" s="56" t="str">
        <f>IF(AMS!I594="","",AMS!I594)</f>
        <v/>
      </c>
      <c r="G574" s="56" t="str">
        <f>IF(AMS!J594="","",AMS!J594)</f>
        <v/>
      </c>
      <c r="H574" s="22" t="str">
        <f t="array" ref="H574">IF(A574&lt;&gt;" ",IFERROR(INDEX(Summary!$G$3:$G$1000,SMALL((Summary!$G$3:$G$1000="")/0.1%+ROW($3:$1000),ROW()-2)-2)&amp;"",""),"")</f>
        <v/>
      </c>
      <c r="I574" s="22" t="str">
        <f t="shared" si="34"/>
        <v/>
      </c>
      <c r="J574" s="22" t="str">
        <f t="shared" si="35"/>
        <v/>
      </c>
    </row>
    <row r="575" spans="1:10">
      <c r="A575" s="56" t="str">
        <f>IF(AMS!H595="","",AMS!H595)</f>
        <v/>
      </c>
      <c r="B575" s="22" t="str">
        <f t="shared" si="32"/>
        <v/>
      </c>
      <c r="C575" s="22" t="str">
        <f t="array" ref="C575">IFERROR(INDEX(Summary!$I$3:$I$1000,SMALL((Summary!$I$3:$I$1000="")/0.1%+ROW($3:$1000),ROW()-2)-2)&amp;"","")</f>
        <v/>
      </c>
      <c r="D575" s="22" t="str">
        <v/>
      </c>
      <c r="E575" s="22" t="str">
        <f t="shared" si="33"/>
        <v/>
      </c>
      <c r="F575" s="56" t="str">
        <f>IF(AMS!I595="","",AMS!I595)</f>
        <v/>
      </c>
      <c r="G575" s="56" t="str">
        <f>IF(AMS!J595="","",AMS!J595)</f>
        <v/>
      </c>
      <c r="H575" s="22" t="str">
        <f t="array" ref="H575">IF(A575&lt;&gt;" ",IFERROR(INDEX(Summary!$G$3:$G$1000,SMALL((Summary!$G$3:$G$1000="")/0.1%+ROW($3:$1000),ROW()-2)-2)&amp;"",""),"")</f>
        <v/>
      </c>
      <c r="I575" s="22" t="str">
        <f t="shared" si="34"/>
        <v/>
      </c>
      <c r="J575" s="22" t="str">
        <f t="shared" si="35"/>
        <v/>
      </c>
    </row>
    <row r="576" spans="1:10">
      <c r="A576" s="56" t="str">
        <f>IF(AMS!H596="","",AMS!H596)</f>
        <v/>
      </c>
      <c r="B576" s="22" t="str">
        <f t="shared" si="32"/>
        <v/>
      </c>
      <c r="C576" s="22" t="str">
        <f t="array" ref="C576">IFERROR(INDEX(Summary!$I$3:$I$1000,SMALL((Summary!$I$3:$I$1000="")/0.1%+ROW($3:$1000),ROW()-2)-2)&amp;"","")</f>
        <v/>
      </c>
      <c r="D576" s="22" t="str">
        <v/>
      </c>
      <c r="E576" s="22" t="str">
        <f t="shared" si="33"/>
        <v/>
      </c>
      <c r="F576" s="56" t="str">
        <f>IF(AMS!I596="","",AMS!I596)</f>
        <v/>
      </c>
      <c r="G576" s="56" t="str">
        <f>IF(AMS!J596="","",AMS!J596)</f>
        <v/>
      </c>
      <c r="H576" s="22" t="str">
        <f t="array" ref="H576">IF(A576&lt;&gt;" ",IFERROR(INDEX(Summary!$G$3:$G$1000,SMALL((Summary!$G$3:$G$1000="")/0.1%+ROW($3:$1000),ROW()-2)-2)&amp;"",""),"")</f>
        <v/>
      </c>
      <c r="I576" s="22" t="str">
        <f t="shared" si="34"/>
        <v/>
      </c>
      <c r="J576" s="22" t="str">
        <f t="shared" si="35"/>
        <v/>
      </c>
    </row>
    <row r="577" spans="1:10">
      <c r="A577" s="56" t="str">
        <f>IF(AMS!H597="","",AMS!H597)</f>
        <v/>
      </c>
      <c r="B577" s="22" t="str">
        <f t="shared" si="32"/>
        <v/>
      </c>
      <c r="C577" s="22" t="str">
        <f t="array" ref="C577">IFERROR(INDEX(Summary!$I$3:$I$1000,SMALL((Summary!$I$3:$I$1000="")/0.1%+ROW($3:$1000),ROW()-2)-2)&amp;"","")</f>
        <v/>
      </c>
      <c r="D577" s="22" t="str">
        <v/>
      </c>
      <c r="E577" s="22" t="str">
        <f t="shared" si="33"/>
        <v/>
      </c>
      <c r="F577" s="56" t="str">
        <f>IF(AMS!I597="","",AMS!I597)</f>
        <v/>
      </c>
      <c r="G577" s="56" t="str">
        <f>IF(AMS!J597="","",AMS!J597)</f>
        <v/>
      </c>
      <c r="H577" s="22" t="str">
        <f t="array" ref="H577">IF(A577&lt;&gt;" ",IFERROR(INDEX(Summary!$G$3:$G$1000,SMALL((Summary!$G$3:$G$1000="")/0.1%+ROW($3:$1000),ROW()-2)-2)&amp;"",""),"")</f>
        <v/>
      </c>
      <c r="I577" s="22" t="str">
        <f t="shared" si="34"/>
        <v/>
      </c>
      <c r="J577" s="22" t="str">
        <f t="shared" si="35"/>
        <v/>
      </c>
    </row>
    <row r="578" spans="1:10">
      <c r="A578" s="56" t="str">
        <f>IF(AMS!H598="","",AMS!H598)</f>
        <v/>
      </c>
      <c r="B578" s="22" t="str">
        <f t="shared" si="32"/>
        <v/>
      </c>
      <c r="C578" s="22" t="str">
        <f t="array" ref="C578">IFERROR(INDEX(Summary!$I$3:$I$1000,SMALL((Summary!$I$3:$I$1000="")/0.1%+ROW($3:$1000),ROW()-2)-2)&amp;"","")</f>
        <v/>
      </c>
      <c r="D578" s="22" t="str">
        <v/>
      </c>
      <c r="E578" s="22" t="str">
        <f t="shared" si="33"/>
        <v/>
      </c>
      <c r="F578" s="56" t="str">
        <f>IF(AMS!I598="","",AMS!I598)</f>
        <v/>
      </c>
      <c r="G578" s="56" t="str">
        <f>IF(AMS!J598="","",AMS!J598)</f>
        <v/>
      </c>
      <c r="H578" s="22" t="str">
        <f t="array" ref="H578">IF(A578&lt;&gt;" ",IFERROR(INDEX(Summary!$G$3:$G$1000,SMALL((Summary!$G$3:$G$1000="")/0.1%+ROW($3:$1000),ROW()-2)-2)&amp;"",""),"")</f>
        <v/>
      </c>
      <c r="I578" s="22" t="str">
        <f t="shared" si="34"/>
        <v/>
      </c>
      <c r="J578" s="22" t="str">
        <f t="shared" si="35"/>
        <v/>
      </c>
    </row>
    <row r="579" spans="1:10">
      <c r="A579" s="56" t="str">
        <f>IF(AMS!H599="","",AMS!H599)</f>
        <v/>
      </c>
      <c r="B579" s="22" t="str">
        <f t="shared" ref="B579:B642" si="36">IF(A579&lt;&gt;"",IFERROR(IF(SEARCH(".",A579),LEFT(SUBSTITUTE(A579,".",""),6)),LEFT(SUBSTITUTE(SUBSTITUTE(TRIM(A579)," ","")," ",""),6)),"")</f>
        <v/>
      </c>
      <c r="C579" s="22" t="str">
        <f t="array" ref="C579">IFERROR(INDEX(Summary!$I$3:$I$1000,SMALL((Summary!$I$3:$I$1000="")/0.1%+ROW($3:$1000),ROW()-2)-2)&amp;"","")</f>
        <v/>
      </c>
      <c r="D579" s="22" t="str">
        <v/>
      </c>
      <c r="E579" s="22" t="str">
        <f t="shared" ref="E579:E642" si="37">LEFT(D579,6)</f>
        <v/>
      </c>
      <c r="F579" s="56" t="str">
        <f>IF(AMS!I599="","",AMS!I599)</f>
        <v/>
      </c>
      <c r="G579" s="56" t="str">
        <f>IF(AMS!J599="","",AMS!J599)</f>
        <v/>
      </c>
      <c r="H579" s="22" t="str">
        <f t="array" ref="H579">IF(A579&lt;&gt;" ",IFERROR(INDEX(Summary!$G$3:$G$1000,SMALL((Summary!$G$3:$G$1000="")/0.1%+ROW($3:$1000),ROW()-2)-2)&amp;"",""),"")</f>
        <v/>
      </c>
      <c r="I579" s="22" t="str">
        <f t="shared" ref="I579:I642" si="38">B579&amp;F579</f>
        <v/>
      </c>
      <c r="J579" s="22" t="str">
        <f t="shared" ref="J579:J642" si="39">IF(D579="","",RIGHT(D579,LEN(D579)-6))</f>
        <v/>
      </c>
    </row>
    <row r="580" spans="1:10">
      <c r="A580" s="56" t="str">
        <f>IF(AMS!H600="","",AMS!H600)</f>
        <v/>
      </c>
      <c r="B580" s="22" t="str">
        <f t="shared" si="36"/>
        <v/>
      </c>
      <c r="C580" s="22" t="str">
        <f t="array" ref="C580">IFERROR(INDEX(Summary!$I$3:$I$1000,SMALL((Summary!$I$3:$I$1000="")/0.1%+ROW($3:$1000),ROW()-2)-2)&amp;"","")</f>
        <v/>
      </c>
      <c r="D580" s="22" t="str">
        <v/>
      </c>
      <c r="E580" s="22" t="str">
        <f t="shared" si="37"/>
        <v/>
      </c>
      <c r="F580" s="56" t="str">
        <f>IF(AMS!I600="","",AMS!I600)</f>
        <v/>
      </c>
      <c r="G580" s="56" t="str">
        <f>IF(AMS!J600="","",AMS!J600)</f>
        <v/>
      </c>
      <c r="H580" s="22" t="str">
        <f t="array" ref="H580">IF(A580&lt;&gt;" ",IFERROR(INDEX(Summary!$G$3:$G$1000,SMALL((Summary!$G$3:$G$1000="")/0.1%+ROW($3:$1000),ROW()-2)-2)&amp;"",""),"")</f>
        <v/>
      </c>
      <c r="I580" s="22" t="str">
        <f t="shared" si="38"/>
        <v/>
      </c>
      <c r="J580" s="22" t="str">
        <f t="shared" si="39"/>
        <v/>
      </c>
    </row>
    <row r="581" spans="1:10">
      <c r="A581" s="56" t="str">
        <f>IF(AMS!H601="","",AMS!H601)</f>
        <v/>
      </c>
      <c r="B581" s="22" t="str">
        <f t="shared" si="36"/>
        <v/>
      </c>
      <c r="C581" s="22" t="str">
        <f t="array" ref="C581">IFERROR(INDEX(Summary!$I$3:$I$1000,SMALL((Summary!$I$3:$I$1000="")/0.1%+ROW($3:$1000),ROW()-2)-2)&amp;"","")</f>
        <v/>
      </c>
      <c r="D581" s="22" t="str">
        <v/>
      </c>
      <c r="E581" s="22" t="str">
        <f t="shared" si="37"/>
        <v/>
      </c>
      <c r="F581" s="56" t="str">
        <f>IF(AMS!I601="","",AMS!I601)</f>
        <v/>
      </c>
      <c r="G581" s="56" t="str">
        <f>IF(AMS!J601="","",AMS!J601)</f>
        <v/>
      </c>
      <c r="H581" s="22" t="str">
        <f t="array" ref="H581">IF(A581&lt;&gt;" ",IFERROR(INDEX(Summary!$G$3:$G$1000,SMALL((Summary!$G$3:$G$1000="")/0.1%+ROW($3:$1000),ROW()-2)-2)&amp;"",""),"")</f>
        <v/>
      </c>
      <c r="I581" s="22" t="str">
        <f t="shared" si="38"/>
        <v/>
      </c>
      <c r="J581" s="22" t="str">
        <f t="shared" si="39"/>
        <v/>
      </c>
    </row>
    <row r="582" spans="1:10">
      <c r="A582" s="56" t="str">
        <f>IF(AMS!H602="","",AMS!H602)</f>
        <v/>
      </c>
      <c r="B582" s="22" t="str">
        <f t="shared" si="36"/>
        <v/>
      </c>
      <c r="C582" s="22" t="str">
        <f t="array" ref="C582">IFERROR(INDEX(Summary!$I$3:$I$1000,SMALL((Summary!$I$3:$I$1000="")/0.1%+ROW($3:$1000),ROW()-2)-2)&amp;"","")</f>
        <v/>
      </c>
      <c r="D582" s="22" t="str">
        <v/>
      </c>
      <c r="E582" s="22" t="str">
        <f t="shared" si="37"/>
        <v/>
      </c>
      <c r="F582" s="56" t="str">
        <f>IF(AMS!I602="","",AMS!I602)</f>
        <v/>
      </c>
      <c r="G582" s="56" t="str">
        <f>IF(AMS!J602="","",AMS!J602)</f>
        <v/>
      </c>
      <c r="H582" s="22" t="str">
        <f t="array" ref="H582">IF(A582&lt;&gt;" ",IFERROR(INDEX(Summary!$G$3:$G$1000,SMALL((Summary!$G$3:$G$1000="")/0.1%+ROW($3:$1000),ROW()-2)-2)&amp;"",""),"")</f>
        <v/>
      </c>
      <c r="I582" s="22" t="str">
        <f t="shared" si="38"/>
        <v/>
      </c>
      <c r="J582" s="22" t="str">
        <f t="shared" si="39"/>
        <v/>
      </c>
    </row>
    <row r="583" spans="1:10">
      <c r="A583" s="56" t="str">
        <f>IF(AMS!H603="","",AMS!H603)</f>
        <v/>
      </c>
      <c r="B583" s="22" t="str">
        <f t="shared" si="36"/>
        <v/>
      </c>
      <c r="C583" s="22" t="str">
        <f t="array" ref="C583">IFERROR(INDEX(Summary!$I$3:$I$1000,SMALL((Summary!$I$3:$I$1000="")/0.1%+ROW($3:$1000),ROW()-2)-2)&amp;"","")</f>
        <v/>
      </c>
      <c r="D583" s="22" t="str">
        <v/>
      </c>
      <c r="E583" s="22" t="str">
        <f t="shared" si="37"/>
        <v/>
      </c>
      <c r="F583" s="56" t="str">
        <f>IF(AMS!I603="","",AMS!I603)</f>
        <v/>
      </c>
      <c r="G583" s="56" t="str">
        <f>IF(AMS!J603="","",AMS!J603)</f>
        <v/>
      </c>
      <c r="H583" s="22" t="str">
        <f t="array" ref="H583">IF(A583&lt;&gt;" ",IFERROR(INDEX(Summary!$G$3:$G$1000,SMALL((Summary!$G$3:$G$1000="")/0.1%+ROW($3:$1000),ROW()-2)-2)&amp;"",""),"")</f>
        <v/>
      </c>
      <c r="I583" s="22" t="str">
        <f t="shared" si="38"/>
        <v/>
      </c>
      <c r="J583" s="22" t="str">
        <f t="shared" si="39"/>
        <v/>
      </c>
    </row>
    <row r="584" spans="1:10">
      <c r="A584" s="56" t="str">
        <f>IF(AMS!H604="","",AMS!H604)</f>
        <v/>
      </c>
      <c r="B584" s="22" t="str">
        <f t="shared" si="36"/>
        <v/>
      </c>
      <c r="C584" s="22" t="str">
        <f t="array" ref="C584">IFERROR(INDEX(Summary!$I$3:$I$1000,SMALL((Summary!$I$3:$I$1000="")/0.1%+ROW($3:$1000),ROW()-2)-2)&amp;"","")</f>
        <v/>
      </c>
      <c r="D584" s="22" t="str">
        <v/>
      </c>
      <c r="E584" s="22" t="str">
        <f t="shared" si="37"/>
        <v/>
      </c>
      <c r="F584" s="56" t="str">
        <f>IF(AMS!I604="","",AMS!I604)</f>
        <v/>
      </c>
      <c r="G584" s="56" t="str">
        <f>IF(AMS!J604="","",AMS!J604)</f>
        <v/>
      </c>
      <c r="H584" s="22" t="str">
        <f t="array" ref="H584">IF(A584&lt;&gt;" ",IFERROR(INDEX(Summary!$G$3:$G$1000,SMALL((Summary!$G$3:$G$1000="")/0.1%+ROW($3:$1000),ROW()-2)-2)&amp;"",""),"")</f>
        <v/>
      </c>
      <c r="I584" s="22" t="str">
        <f t="shared" si="38"/>
        <v/>
      </c>
      <c r="J584" s="22" t="str">
        <f t="shared" si="39"/>
        <v/>
      </c>
    </row>
    <row r="585" spans="1:10">
      <c r="A585" s="56" t="str">
        <f>IF(AMS!H605="","",AMS!H605)</f>
        <v/>
      </c>
      <c r="B585" s="22" t="str">
        <f t="shared" si="36"/>
        <v/>
      </c>
      <c r="C585" s="22" t="str">
        <f t="array" ref="C585">IFERROR(INDEX(Summary!$I$3:$I$1000,SMALL((Summary!$I$3:$I$1000="")/0.1%+ROW($3:$1000),ROW()-2)-2)&amp;"","")</f>
        <v/>
      </c>
      <c r="D585" s="22" t="str">
        <v/>
      </c>
      <c r="E585" s="22" t="str">
        <f t="shared" si="37"/>
        <v/>
      </c>
      <c r="F585" s="56" t="str">
        <f>IF(AMS!I605="","",AMS!I605)</f>
        <v/>
      </c>
      <c r="G585" s="56" t="str">
        <f>IF(AMS!J605="","",AMS!J605)</f>
        <v/>
      </c>
      <c r="H585" s="22" t="str">
        <f t="array" ref="H585">IF(A585&lt;&gt;" ",IFERROR(INDEX(Summary!$G$3:$G$1000,SMALL((Summary!$G$3:$G$1000="")/0.1%+ROW($3:$1000),ROW()-2)-2)&amp;"",""),"")</f>
        <v/>
      </c>
      <c r="I585" s="22" t="str">
        <f t="shared" si="38"/>
        <v/>
      </c>
      <c r="J585" s="22" t="str">
        <f t="shared" si="39"/>
        <v/>
      </c>
    </row>
    <row r="586" spans="1:10">
      <c r="A586" s="56" t="str">
        <f>IF(AMS!H606="","",AMS!H606)</f>
        <v/>
      </c>
      <c r="B586" s="22" t="str">
        <f t="shared" si="36"/>
        <v/>
      </c>
      <c r="C586" s="22" t="str">
        <f t="array" ref="C586">IFERROR(INDEX(Summary!$I$3:$I$1000,SMALL((Summary!$I$3:$I$1000="")/0.1%+ROW($3:$1000),ROW()-2)-2)&amp;"","")</f>
        <v/>
      </c>
      <c r="D586" s="22" t="str">
        <v/>
      </c>
      <c r="E586" s="22" t="str">
        <f t="shared" si="37"/>
        <v/>
      </c>
      <c r="F586" s="56" t="str">
        <f>IF(AMS!I606="","",AMS!I606)</f>
        <v/>
      </c>
      <c r="G586" s="56" t="str">
        <f>IF(AMS!J606="","",AMS!J606)</f>
        <v/>
      </c>
      <c r="H586" s="22" t="str">
        <f t="array" ref="H586">IF(A586&lt;&gt;" ",IFERROR(INDEX(Summary!$G$3:$G$1000,SMALL((Summary!$G$3:$G$1000="")/0.1%+ROW($3:$1000),ROW()-2)-2)&amp;"",""),"")</f>
        <v/>
      </c>
      <c r="I586" s="22" t="str">
        <f t="shared" si="38"/>
        <v/>
      </c>
      <c r="J586" s="22" t="str">
        <f t="shared" si="39"/>
        <v/>
      </c>
    </row>
    <row r="587" spans="1:10">
      <c r="A587" s="56" t="str">
        <f>IF(AMS!H607="","",AMS!H607)</f>
        <v/>
      </c>
      <c r="B587" s="22" t="str">
        <f t="shared" si="36"/>
        <v/>
      </c>
      <c r="C587" s="22" t="str">
        <f t="array" ref="C587">IFERROR(INDEX(Summary!$I$3:$I$1000,SMALL((Summary!$I$3:$I$1000="")/0.1%+ROW($3:$1000),ROW()-2)-2)&amp;"","")</f>
        <v/>
      </c>
      <c r="D587" s="22" t="str">
        <v/>
      </c>
      <c r="E587" s="22" t="str">
        <f t="shared" si="37"/>
        <v/>
      </c>
      <c r="F587" s="56" t="str">
        <f>IF(AMS!I607="","",AMS!I607)</f>
        <v/>
      </c>
      <c r="G587" s="56" t="str">
        <f>IF(AMS!J607="","",AMS!J607)</f>
        <v/>
      </c>
      <c r="H587" s="22" t="str">
        <f t="array" ref="H587">IF(A587&lt;&gt;" ",IFERROR(INDEX(Summary!$G$3:$G$1000,SMALL((Summary!$G$3:$G$1000="")/0.1%+ROW($3:$1000),ROW()-2)-2)&amp;"",""),"")</f>
        <v/>
      </c>
      <c r="I587" s="22" t="str">
        <f t="shared" si="38"/>
        <v/>
      </c>
      <c r="J587" s="22" t="str">
        <f t="shared" si="39"/>
        <v/>
      </c>
    </row>
    <row r="588" spans="1:10">
      <c r="A588" s="56" t="str">
        <f>IF(AMS!H608="","",AMS!H608)</f>
        <v/>
      </c>
      <c r="B588" s="22" t="str">
        <f t="shared" si="36"/>
        <v/>
      </c>
      <c r="C588" s="22" t="str">
        <f t="array" ref="C588">IFERROR(INDEX(Summary!$I$3:$I$1000,SMALL((Summary!$I$3:$I$1000="")/0.1%+ROW($3:$1000),ROW()-2)-2)&amp;"","")</f>
        <v/>
      </c>
      <c r="D588" s="22" t="str">
        <v/>
      </c>
      <c r="E588" s="22" t="str">
        <f t="shared" si="37"/>
        <v/>
      </c>
      <c r="F588" s="56" t="str">
        <f>IF(AMS!I608="","",AMS!I608)</f>
        <v/>
      </c>
      <c r="G588" s="56" t="str">
        <f>IF(AMS!J608="","",AMS!J608)</f>
        <v/>
      </c>
      <c r="H588" s="22" t="str">
        <f t="array" ref="H588">IF(A588&lt;&gt;" ",IFERROR(INDEX(Summary!$G$3:$G$1000,SMALL((Summary!$G$3:$G$1000="")/0.1%+ROW($3:$1000),ROW()-2)-2)&amp;"",""),"")</f>
        <v/>
      </c>
      <c r="I588" s="22" t="str">
        <f t="shared" si="38"/>
        <v/>
      </c>
      <c r="J588" s="22" t="str">
        <f t="shared" si="39"/>
        <v/>
      </c>
    </row>
    <row r="589" spans="1:10">
      <c r="A589" s="56" t="str">
        <f>IF(AMS!H609="","",AMS!H609)</f>
        <v/>
      </c>
      <c r="B589" s="22" t="str">
        <f t="shared" si="36"/>
        <v/>
      </c>
      <c r="C589" s="22" t="str">
        <f t="array" ref="C589">IFERROR(INDEX(Summary!$I$3:$I$1000,SMALL((Summary!$I$3:$I$1000="")/0.1%+ROW($3:$1000),ROW()-2)-2)&amp;"","")</f>
        <v/>
      </c>
      <c r="D589" s="22" t="str">
        <v/>
      </c>
      <c r="E589" s="22" t="str">
        <f t="shared" si="37"/>
        <v/>
      </c>
      <c r="F589" s="56" t="str">
        <f>IF(AMS!I609="","",AMS!I609)</f>
        <v/>
      </c>
      <c r="G589" s="56" t="str">
        <f>IF(AMS!J609="","",AMS!J609)</f>
        <v/>
      </c>
      <c r="H589" s="22" t="str">
        <f t="array" ref="H589">IF(A589&lt;&gt;" ",IFERROR(INDEX(Summary!$G$3:$G$1000,SMALL((Summary!$G$3:$G$1000="")/0.1%+ROW($3:$1000),ROW()-2)-2)&amp;"",""),"")</f>
        <v/>
      </c>
      <c r="I589" s="22" t="str">
        <f t="shared" si="38"/>
        <v/>
      </c>
      <c r="J589" s="22" t="str">
        <f t="shared" si="39"/>
        <v/>
      </c>
    </row>
    <row r="590" spans="1:10">
      <c r="A590" s="56" t="str">
        <f>IF(AMS!H610="","",AMS!H610)</f>
        <v/>
      </c>
      <c r="B590" s="22" t="str">
        <f t="shared" si="36"/>
        <v/>
      </c>
      <c r="C590" s="22" t="str">
        <f t="array" ref="C590">IFERROR(INDEX(Summary!$I$3:$I$1000,SMALL((Summary!$I$3:$I$1000="")/0.1%+ROW($3:$1000),ROW()-2)-2)&amp;"","")</f>
        <v/>
      </c>
      <c r="D590" s="22" t="str">
        <v/>
      </c>
      <c r="E590" s="22" t="str">
        <f t="shared" si="37"/>
        <v/>
      </c>
      <c r="F590" s="56" t="str">
        <f>IF(AMS!I610="","",AMS!I610)</f>
        <v/>
      </c>
      <c r="G590" s="56" t="str">
        <f>IF(AMS!J610="","",AMS!J610)</f>
        <v/>
      </c>
      <c r="H590" s="22" t="str">
        <f t="array" ref="H590">IF(A590&lt;&gt;" ",IFERROR(INDEX(Summary!$G$3:$G$1000,SMALL((Summary!$G$3:$G$1000="")/0.1%+ROW($3:$1000),ROW()-2)-2)&amp;"",""),"")</f>
        <v/>
      </c>
      <c r="I590" s="22" t="str">
        <f t="shared" si="38"/>
        <v/>
      </c>
      <c r="J590" s="22" t="str">
        <f t="shared" si="39"/>
        <v/>
      </c>
    </row>
    <row r="591" spans="1:10">
      <c r="A591" s="56" t="str">
        <f>IF(AMS!H611="","",AMS!H611)</f>
        <v/>
      </c>
      <c r="B591" s="22" t="str">
        <f t="shared" si="36"/>
        <v/>
      </c>
      <c r="C591" s="22" t="str">
        <f t="array" ref="C591">IFERROR(INDEX(Summary!$I$3:$I$1000,SMALL((Summary!$I$3:$I$1000="")/0.1%+ROW($3:$1000),ROW()-2)-2)&amp;"","")</f>
        <v/>
      </c>
      <c r="D591" s="22" t="str">
        <v/>
      </c>
      <c r="E591" s="22" t="str">
        <f t="shared" si="37"/>
        <v/>
      </c>
      <c r="F591" s="56" t="str">
        <f>IF(AMS!I611="","",AMS!I611)</f>
        <v/>
      </c>
      <c r="G591" s="56" t="str">
        <f>IF(AMS!J611="","",AMS!J611)</f>
        <v/>
      </c>
      <c r="H591" s="22" t="str">
        <f t="array" ref="H591">IF(A591&lt;&gt;" ",IFERROR(INDEX(Summary!$G$3:$G$1000,SMALL((Summary!$G$3:$G$1000="")/0.1%+ROW($3:$1000),ROW()-2)-2)&amp;"",""),"")</f>
        <v/>
      </c>
      <c r="I591" s="22" t="str">
        <f t="shared" si="38"/>
        <v/>
      </c>
      <c r="J591" s="22" t="str">
        <f t="shared" si="39"/>
        <v/>
      </c>
    </row>
    <row r="592" spans="1:10">
      <c r="A592" s="56" t="str">
        <f>IF(AMS!H612="","",AMS!H612)</f>
        <v/>
      </c>
      <c r="B592" s="22" t="str">
        <f t="shared" si="36"/>
        <v/>
      </c>
      <c r="C592" s="22" t="str">
        <f t="array" ref="C592">IFERROR(INDEX(Summary!$I$3:$I$1000,SMALL((Summary!$I$3:$I$1000="")/0.1%+ROW($3:$1000),ROW()-2)-2)&amp;"","")</f>
        <v/>
      </c>
      <c r="D592" s="22" t="str">
        <v/>
      </c>
      <c r="E592" s="22" t="str">
        <f t="shared" si="37"/>
        <v/>
      </c>
      <c r="F592" s="56" t="str">
        <f>IF(AMS!I612="","",AMS!I612)</f>
        <v/>
      </c>
      <c r="G592" s="56" t="str">
        <f>IF(AMS!J612="","",AMS!J612)</f>
        <v/>
      </c>
      <c r="H592" s="22" t="str">
        <f t="array" ref="H592">IF(A592&lt;&gt;" ",IFERROR(INDEX(Summary!$G$3:$G$1000,SMALL((Summary!$G$3:$G$1000="")/0.1%+ROW($3:$1000),ROW()-2)-2)&amp;"",""),"")</f>
        <v/>
      </c>
      <c r="I592" s="22" t="str">
        <f t="shared" si="38"/>
        <v/>
      </c>
      <c r="J592" s="22" t="str">
        <f t="shared" si="39"/>
        <v/>
      </c>
    </row>
    <row r="593" spans="1:10">
      <c r="A593" s="56" t="str">
        <f>IF(AMS!H613="","",AMS!H613)</f>
        <v/>
      </c>
      <c r="B593" s="22" t="str">
        <f t="shared" si="36"/>
        <v/>
      </c>
      <c r="C593" s="22" t="str">
        <f t="array" ref="C593">IFERROR(INDEX(Summary!$I$3:$I$1000,SMALL((Summary!$I$3:$I$1000="")/0.1%+ROW($3:$1000),ROW()-2)-2)&amp;"","")</f>
        <v/>
      </c>
      <c r="D593" s="22" t="str">
        <v/>
      </c>
      <c r="E593" s="22" t="str">
        <f t="shared" si="37"/>
        <v/>
      </c>
      <c r="F593" s="56" t="str">
        <f>IF(AMS!I613="","",AMS!I613)</f>
        <v/>
      </c>
      <c r="G593" s="56" t="str">
        <f>IF(AMS!J613="","",AMS!J613)</f>
        <v/>
      </c>
      <c r="H593" s="22" t="str">
        <f t="array" ref="H593">IF(A593&lt;&gt;" ",IFERROR(INDEX(Summary!$G$3:$G$1000,SMALL((Summary!$G$3:$G$1000="")/0.1%+ROW($3:$1000),ROW()-2)-2)&amp;"",""),"")</f>
        <v/>
      </c>
      <c r="I593" s="22" t="str">
        <f t="shared" si="38"/>
        <v/>
      </c>
      <c r="J593" s="22" t="str">
        <f t="shared" si="39"/>
        <v/>
      </c>
    </row>
    <row r="594" spans="1:10">
      <c r="A594" s="56" t="str">
        <f>IF(AMS!H614="","",AMS!H614)</f>
        <v/>
      </c>
      <c r="B594" s="22" t="str">
        <f t="shared" si="36"/>
        <v/>
      </c>
      <c r="C594" s="22" t="str">
        <f t="array" ref="C594">IFERROR(INDEX(Summary!$I$3:$I$1000,SMALL((Summary!$I$3:$I$1000="")/0.1%+ROW($3:$1000),ROW()-2)-2)&amp;"","")</f>
        <v/>
      </c>
      <c r="D594" s="22" t="str">
        <v/>
      </c>
      <c r="E594" s="22" t="str">
        <f t="shared" si="37"/>
        <v/>
      </c>
      <c r="F594" s="56" t="str">
        <f>IF(AMS!I614="","",AMS!I614)</f>
        <v/>
      </c>
      <c r="G594" s="56" t="str">
        <f>IF(AMS!J614="","",AMS!J614)</f>
        <v/>
      </c>
      <c r="H594" s="22" t="str">
        <f t="array" ref="H594">IF(A594&lt;&gt;" ",IFERROR(INDEX(Summary!$G$3:$G$1000,SMALL((Summary!$G$3:$G$1000="")/0.1%+ROW($3:$1000),ROW()-2)-2)&amp;"",""),"")</f>
        <v/>
      </c>
      <c r="I594" s="22" t="str">
        <f t="shared" si="38"/>
        <v/>
      </c>
      <c r="J594" s="22" t="str">
        <f t="shared" si="39"/>
        <v/>
      </c>
    </row>
    <row r="595" spans="1:10">
      <c r="A595" s="56" t="str">
        <f>IF(AMS!H615="","",AMS!H615)</f>
        <v/>
      </c>
      <c r="B595" s="22" t="str">
        <f t="shared" si="36"/>
        <v/>
      </c>
      <c r="C595" s="22" t="str">
        <f t="array" ref="C595">IFERROR(INDEX(Summary!$I$3:$I$1000,SMALL((Summary!$I$3:$I$1000="")/0.1%+ROW($3:$1000),ROW()-2)-2)&amp;"","")</f>
        <v/>
      </c>
      <c r="D595" s="22" t="str">
        <v/>
      </c>
      <c r="E595" s="22" t="str">
        <f t="shared" si="37"/>
        <v/>
      </c>
      <c r="F595" s="56" t="str">
        <f>IF(AMS!I615="","",AMS!I615)</f>
        <v/>
      </c>
      <c r="G595" s="56" t="str">
        <f>IF(AMS!J615="","",AMS!J615)</f>
        <v/>
      </c>
      <c r="H595" s="22" t="str">
        <f t="array" ref="H595">IF(A595&lt;&gt;" ",IFERROR(INDEX(Summary!$G$3:$G$1000,SMALL((Summary!$G$3:$G$1000="")/0.1%+ROW($3:$1000),ROW()-2)-2)&amp;"",""),"")</f>
        <v/>
      </c>
      <c r="I595" s="22" t="str">
        <f t="shared" si="38"/>
        <v/>
      </c>
      <c r="J595" s="22" t="str">
        <f t="shared" si="39"/>
        <v/>
      </c>
    </row>
    <row r="596" spans="1:10">
      <c r="A596" s="56" t="str">
        <f>IF(AMS!H616="","",AMS!H616)</f>
        <v/>
      </c>
      <c r="B596" s="22" t="str">
        <f t="shared" si="36"/>
        <v/>
      </c>
      <c r="C596" s="22" t="str">
        <f t="array" ref="C596">IFERROR(INDEX(Summary!$I$3:$I$1000,SMALL((Summary!$I$3:$I$1000="")/0.1%+ROW($3:$1000),ROW()-2)-2)&amp;"","")</f>
        <v/>
      </c>
      <c r="D596" s="22" t="str">
        <v/>
      </c>
      <c r="E596" s="22" t="str">
        <f t="shared" si="37"/>
        <v/>
      </c>
      <c r="F596" s="56" t="str">
        <f>IF(AMS!I616="","",AMS!I616)</f>
        <v/>
      </c>
      <c r="G596" s="56" t="str">
        <f>IF(AMS!J616="","",AMS!J616)</f>
        <v/>
      </c>
      <c r="H596" s="22" t="str">
        <f t="array" ref="H596">IF(A596&lt;&gt;" ",IFERROR(INDEX(Summary!$G$3:$G$1000,SMALL((Summary!$G$3:$G$1000="")/0.1%+ROW($3:$1000),ROW()-2)-2)&amp;"",""),"")</f>
        <v/>
      </c>
      <c r="I596" s="22" t="str">
        <f t="shared" si="38"/>
        <v/>
      </c>
      <c r="J596" s="22" t="str">
        <f t="shared" si="39"/>
        <v/>
      </c>
    </row>
    <row r="597" spans="1:10">
      <c r="A597" s="56" t="str">
        <f>IF(AMS!H617="","",AMS!H617)</f>
        <v/>
      </c>
      <c r="B597" s="22" t="str">
        <f t="shared" si="36"/>
        <v/>
      </c>
      <c r="C597" s="22" t="str">
        <f t="array" ref="C597">IFERROR(INDEX(Summary!$I$3:$I$1000,SMALL((Summary!$I$3:$I$1000="")/0.1%+ROW($3:$1000),ROW()-2)-2)&amp;"","")</f>
        <v/>
      </c>
      <c r="D597" s="22" t="str">
        <v/>
      </c>
      <c r="E597" s="22" t="str">
        <f t="shared" si="37"/>
        <v/>
      </c>
      <c r="F597" s="56" t="str">
        <f>IF(AMS!I617="","",AMS!I617)</f>
        <v/>
      </c>
      <c r="G597" s="56" t="str">
        <f>IF(AMS!J617="","",AMS!J617)</f>
        <v/>
      </c>
      <c r="H597" s="22" t="str">
        <f t="array" ref="H597">IF(A597&lt;&gt;" ",IFERROR(INDEX(Summary!$G$3:$G$1000,SMALL((Summary!$G$3:$G$1000="")/0.1%+ROW($3:$1000),ROW()-2)-2)&amp;"",""),"")</f>
        <v/>
      </c>
      <c r="I597" s="22" t="str">
        <f t="shared" si="38"/>
        <v/>
      </c>
      <c r="J597" s="22" t="str">
        <f t="shared" si="39"/>
        <v/>
      </c>
    </row>
    <row r="598" spans="1:10">
      <c r="A598" s="56" t="str">
        <f>IF(AMS!H618="","",AMS!H618)</f>
        <v/>
      </c>
      <c r="B598" s="22" t="str">
        <f t="shared" si="36"/>
        <v/>
      </c>
      <c r="C598" s="22" t="str">
        <f t="array" ref="C598">IFERROR(INDEX(Summary!$I$3:$I$1000,SMALL((Summary!$I$3:$I$1000="")/0.1%+ROW($3:$1000),ROW()-2)-2)&amp;"","")</f>
        <v/>
      </c>
      <c r="D598" s="22" t="str">
        <v/>
      </c>
      <c r="E598" s="22" t="str">
        <f t="shared" si="37"/>
        <v/>
      </c>
      <c r="F598" s="56" t="str">
        <f>IF(AMS!I618="","",AMS!I618)</f>
        <v/>
      </c>
      <c r="G598" s="56" t="str">
        <f>IF(AMS!J618="","",AMS!J618)</f>
        <v/>
      </c>
      <c r="H598" s="22" t="str">
        <f t="array" ref="H598">IF(A598&lt;&gt;" ",IFERROR(INDEX(Summary!$G$3:$G$1000,SMALL((Summary!$G$3:$G$1000="")/0.1%+ROW($3:$1000),ROW()-2)-2)&amp;"",""),"")</f>
        <v/>
      </c>
      <c r="I598" s="22" t="str">
        <f t="shared" si="38"/>
        <v/>
      </c>
      <c r="J598" s="22" t="str">
        <f t="shared" si="39"/>
        <v/>
      </c>
    </row>
    <row r="599" spans="1:10">
      <c r="A599" s="56" t="str">
        <f>IF(AMS!H619="","",AMS!H619)</f>
        <v/>
      </c>
      <c r="B599" s="22" t="str">
        <f t="shared" si="36"/>
        <v/>
      </c>
      <c r="C599" s="22" t="str">
        <f t="array" ref="C599">IFERROR(INDEX(Summary!$I$3:$I$1000,SMALL((Summary!$I$3:$I$1000="")/0.1%+ROW($3:$1000),ROW()-2)-2)&amp;"","")</f>
        <v/>
      </c>
      <c r="D599" s="22" t="str">
        <v/>
      </c>
      <c r="E599" s="22" t="str">
        <f t="shared" si="37"/>
        <v/>
      </c>
      <c r="F599" s="56" t="str">
        <f>IF(AMS!I619="","",AMS!I619)</f>
        <v/>
      </c>
      <c r="G599" s="56" t="str">
        <f>IF(AMS!J619="","",AMS!J619)</f>
        <v/>
      </c>
      <c r="H599" s="22" t="str">
        <f t="array" ref="H599">IF(A599&lt;&gt;" ",IFERROR(INDEX(Summary!$G$3:$G$1000,SMALL((Summary!$G$3:$G$1000="")/0.1%+ROW($3:$1000),ROW()-2)-2)&amp;"",""),"")</f>
        <v/>
      </c>
      <c r="I599" s="22" t="str">
        <f t="shared" si="38"/>
        <v/>
      </c>
      <c r="J599" s="22" t="str">
        <f t="shared" si="39"/>
        <v/>
      </c>
    </row>
    <row r="600" spans="1:10">
      <c r="A600" s="56" t="str">
        <f>IF(AMS!H620="","",AMS!H620)</f>
        <v/>
      </c>
      <c r="B600" s="22" t="str">
        <f t="shared" si="36"/>
        <v/>
      </c>
      <c r="C600" s="22" t="str">
        <f t="array" ref="C600">IFERROR(INDEX(Summary!$I$3:$I$1000,SMALL((Summary!$I$3:$I$1000="")/0.1%+ROW($3:$1000),ROW()-2)-2)&amp;"","")</f>
        <v/>
      </c>
      <c r="D600" s="22" t="str">
        <v/>
      </c>
      <c r="E600" s="22" t="str">
        <f t="shared" si="37"/>
        <v/>
      </c>
      <c r="F600" s="56" t="str">
        <f>IF(AMS!I620="","",AMS!I620)</f>
        <v/>
      </c>
      <c r="G600" s="56" t="str">
        <f>IF(AMS!J620="","",AMS!J620)</f>
        <v/>
      </c>
      <c r="H600" s="22" t="str">
        <f t="array" ref="H600">IF(A600&lt;&gt;" ",IFERROR(INDEX(Summary!$G$3:$G$1000,SMALL((Summary!$G$3:$G$1000="")/0.1%+ROW($3:$1000),ROW()-2)-2)&amp;"",""),"")</f>
        <v/>
      </c>
      <c r="I600" s="22" t="str">
        <f t="shared" si="38"/>
        <v/>
      </c>
      <c r="J600" s="22" t="str">
        <f t="shared" si="39"/>
        <v/>
      </c>
    </row>
    <row r="601" spans="1:10">
      <c r="A601" s="56" t="str">
        <f>IF(AMS!H621="","",AMS!H621)</f>
        <v/>
      </c>
      <c r="B601" s="22" t="str">
        <f t="shared" si="36"/>
        <v/>
      </c>
      <c r="C601" s="22" t="str">
        <f t="array" ref="C601">IFERROR(INDEX(Summary!$I$3:$I$1000,SMALL((Summary!$I$3:$I$1000="")/0.1%+ROW($3:$1000),ROW()-2)-2)&amp;"","")</f>
        <v/>
      </c>
      <c r="D601" s="22" t="str">
        <v/>
      </c>
      <c r="E601" s="22" t="str">
        <f t="shared" si="37"/>
        <v/>
      </c>
      <c r="F601" s="56" t="str">
        <f>IF(AMS!I621="","",AMS!I621)</f>
        <v/>
      </c>
      <c r="G601" s="56" t="str">
        <f>IF(AMS!J621="","",AMS!J621)</f>
        <v/>
      </c>
      <c r="H601" s="22" t="str">
        <f t="array" ref="H601">IF(A601&lt;&gt;" ",IFERROR(INDEX(Summary!$G$3:$G$1000,SMALL((Summary!$G$3:$G$1000="")/0.1%+ROW($3:$1000),ROW()-2)-2)&amp;"",""),"")</f>
        <v/>
      </c>
      <c r="I601" s="22" t="str">
        <f t="shared" si="38"/>
        <v/>
      </c>
      <c r="J601" s="22" t="str">
        <f t="shared" si="39"/>
        <v/>
      </c>
    </row>
    <row r="602" spans="1:10">
      <c r="A602" s="56" t="str">
        <f>IF(AMS!H622="","",AMS!H622)</f>
        <v/>
      </c>
      <c r="B602" s="22" t="str">
        <f t="shared" si="36"/>
        <v/>
      </c>
      <c r="C602" s="22" t="str">
        <f t="array" ref="C602">IFERROR(INDEX(Summary!$I$3:$I$1000,SMALL((Summary!$I$3:$I$1000="")/0.1%+ROW($3:$1000),ROW()-2)-2)&amp;"","")</f>
        <v/>
      </c>
      <c r="D602" s="22" t="str">
        <v/>
      </c>
      <c r="E602" s="22" t="str">
        <f t="shared" si="37"/>
        <v/>
      </c>
      <c r="F602" s="56" t="str">
        <f>IF(AMS!I622="","",AMS!I622)</f>
        <v/>
      </c>
      <c r="G602" s="56" t="str">
        <f>IF(AMS!J622="","",AMS!J622)</f>
        <v/>
      </c>
      <c r="H602" s="22" t="str">
        <f t="array" ref="H602">IF(A602&lt;&gt;" ",IFERROR(INDEX(Summary!$G$3:$G$1000,SMALL((Summary!$G$3:$G$1000="")/0.1%+ROW($3:$1000),ROW()-2)-2)&amp;"",""),"")</f>
        <v/>
      </c>
      <c r="I602" s="22" t="str">
        <f t="shared" si="38"/>
        <v/>
      </c>
      <c r="J602" s="22" t="str">
        <f t="shared" si="39"/>
        <v/>
      </c>
    </row>
    <row r="603" spans="1:10">
      <c r="A603" s="56" t="str">
        <f>IF(AMS!H623="","",AMS!H623)</f>
        <v/>
      </c>
      <c r="B603" s="22" t="str">
        <f t="shared" si="36"/>
        <v/>
      </c>
      <c r="C603" s="22" t="str">
        <f t="array" ref="C603">IFERROR(INDEX(Summary!$I$3:$I$1000,SMALL((Summary!$I$3:$I$1000="")/0.1%+ROW($3:$1000),ROW()-2)-2)&amp;"","")</f>
        <v/>
      </c>
      <c r="D603" s="22" t="str">
        <v/>
      </c>
      <c r="E603" s="22" t="str">
        <f t="shared" si="37"/>
        <v/>
      </c>
      <c r="F603" s="56" t="str">
        <f>IF(AMS!I623="","",AMS!I623)</f>
        <v/>
      </c>
      <c r="G603" s="56" t="str">
        <f>IF(AMS!J623="","",AMS!J623)</f>
        <v/>
      </c>
      <c r="H603" s="22" t="str">
        <f t="array" ref="H603">IF(A603&lt;&gt;" ",IFERROR(INDEX(Summary!$G$3:$G$1000,SMALL((Summary!$G$3:$G$1000="")/0.1%+ROW($3:$1000),ROW()-2)-2)&amp;"",""),"")</f>
        <v/>
      </c>
      <c r="I603" s="22" t="str">
        <f t="shared" si="38"/>
        <v/>
      </c>
      <c r="J603" s="22" t="str">
        <f t="shared" si="39"/>
        <v/>
      </c>
    </row>
    <row r="604" spans="1:10">
      <c r="A604" s="56" t="str">
        <f>IF(AMS!H624="","",AMS!H624)</f>
        <v/>
      </c>
      <c r="B604" s="22" t="str">
        <f t="shared" si="36"/>
        <v/>
      </c>
      <c r="C604" s="22" t="str">
        <f t="array" ref="C604">IFERROR(INDEX(Summary!$I$3:$I$1000,SMALL((Summary!$I$3:$I$1000="")/0.1%+ROW($3:$1000),ROW()-2)-2)&amp;"","")</f>
        <v/>
      </c>
      <c r="D604" s="22" t="str">
        <v/>
      </c>
      <c r="E604" s="22" t="str">
        <f t="shared" si="37"/>
        <v/>
      </c>
      <c r="F604" s="56" t="str">
        <f>IF(AMS!I624="","",AMS!I624)</f>
        <v/>
      </c>
      <c r="G604" s="56" t="str">
        <f>IF(AMS!J624="","",AMS!J624)</f>
        <v/>
      </c>
      <c r="H604" s="22" t="str">
        <f t="array" ref="H604">IF(A604&lt;&gt;" ",IFERROR(INDEX(Summary!$G$3:$G$1000,SMALL((Summary!$G$3:$G$1000="")/0.1%+ROW($3:$1000),ROW()-2)-2)&amp;"",""),"")</f>
        <v/>
      </c>
      <c r="I604" s="22" t="str">
        <f t="shared" si="38"/>
        <v/>
      </c>
      <c r="J604" s="22" t="str">
        <f t="shared" si="39"/>
        <v/>
      </c>
    </row>
    <row r="605" spans="1:10">
      <c r="A605" s="56" t="str">
        <f>IF(AMS!H625="","",AMS!H625)</f>
        <v/>
      </c>
      <c r="B605" s="22" t="str">
        <f t="shared" si="36"/>
        <v/>
      </c>
      <c r="C605" s="22" t="str">
        <f t="array" ref="C605">IFERROR(INDEX(Summary!$I$3:$I$1000,SMALL((Summary!$I$3:$I$1000="")/0.1%+ROW($3:$1000),ROW()-2)-2)&amp;"","")</f>
        <v/>
      </c>
      <c r="D605" s="22" t="str">
        <v/>
      </c>
      <c r="E605" s="22" t="str">
        <f t="shared" si="37"/>
        <v/>
      </c>
      <c r="F605" s="56" t="str">
        <f>IF(AMS!I625="","",AMS!I625)</f>
        <v/>
      </c>
      <c r="G605" s="56" t="str">
        <f>IF(AMS!J625="","",AMS!J625)</f>
        <v/>
      </c>
      <c r="H605" s="22" t="str">
        <f t="array" ref="H605">IF(A605&lt;&gt;" ",IFERROR(INDEX(Summary!$G$3:$G$1000,SMALL((Summary!$G$3:$G$1000="")/0.1%+ROW($3:$1000),ROW()-2)-2)&amp;"",""),"")</f>
        <v/>
      </c>
      <c r="I605" s="22" t="str">
        <f t="shared" si="38"/>
        <v/>
      </c>
      <c r="J605" s="22" t="str">
        <f t="shared" si="39"/>
        <v/>
      </c>
    </row>
    <row r="606" spans="1:10">
      <c r="A606" s="56" t="str">
        <f>IF(AMS!H626="","",AMS!H626)</f>
        <v/>
      </c>
      <c r="B606" s="22" t="str">
        <f t="shared" si="36"/>
        <v/>
      </c>
      <c r="C606" s="22" t="str">
        <f t="array" ref="C606">IFERROR(INDEX(Summary!$I$3:$I$1000,SMALL((Summary!$I$3:$I$1000="")/0.1%+ROW($3:$1000),ROW()-2)-2)&amp;"","")</f>
        <v/>
      </c>
      <c r="D606" s="22" t="str">
        <v/>
      </c>
      <c r="E606" s="22" t="str">
        <f t="shared" si="37"/>
        <v/>
      </c>
      <c r="F606" s="56" t="str">
        <f>IF(AMS!I626="","",AMS!I626)</f>
        <v/>
      </c>
      <c r="G606" s="56" t="str">
        <f>IF(AMS!J626="","",AMS!J626)</f>
        <v/>
      </c>
      <c r="H606" s="22" t="str">
        <f t="array" ref="H606">IF(A606&lt;&gt;" ",IFERROR(INDEX(Summary!$G$3:$G$1000,SMALL((Summary!$G$3:$G$1000="")/0.1%+ROW($3:$1000),ROW()-2)-2)&amp;"",""),"")</f>
        <v/>
      </c>
      <c r="I606" s="22" t="str">
        <f t="shared" si="38"/>
        <v/>
      </c>
      <c r="J606" s="22" t="str">
        <f t="shared" si="39"/>
        <v/>
      </c>
    </row>
    <row r="607" spans="1:10">
      <c r="A607" s="56" t="str">
        <f>IF(AMS!H627="","",AMS!H627)</f>
        <v/>
      </c>
      <c r="B607" s="22" t="str">
        <f t="shared" si="36"/>
        <v/>
      </c>
      <c r="C607" s="22" t="str">
        <f t="array" ref="C607">IFERROR(INDEX(Summary!$I$3:$I$1000,SMALL((Summary!$I$3:$I$1000="")/0.1%+ROW($3:$1000),ROW()-2)-2)&amp;"","")</f>
        <v/>
      </c>
      <c r="D607" s="22" t="str">
        <v/>
      </c>
      <c r="E607" s="22" t="str">
        <f t="shared" si="37"/>
        <v/>
      </c>
      <c r="F607" s="56" t="str">
        <f>IF(AMS!I627="","",AMS!I627)</f>
        <v/>
      </c>
      <c r="G607" s="56" t="str">
        <f>IF(AMS!J627="","",AMS!J627)</f>
        <v/>
      </c>
      <c r="H607" s="22" t="str">
        <f t="array" ref="H607">IF(A607&lt;&gt;" ",IFERROR(INDEX(Summary!$G$3:$G$1000,SMALL((Summary!$G$3:$G$1000="")/0.1%+ROW($3:$1000),ROW()-2)-2)&amp;"",""),"")</f>
        <v/>
      </c>
      <c r="I607" s="22" t="str">
        <f t="shared" si="38"/>
        <v/>
      </c>
      <c r="J607" s="22" t="str">
        <f t="shared" si="39"/>
        <v/>
      </c>
    </row>
    <row r="608" spans="1:10">
      <c r="A608" s="56" t="str">
        <f>IF(AMS!H628="","",AMS!H628)</f>
        <v/>
      </c>
      <c r="B608" s="22" t="str">
        <f t="shared" si="36"/>
        <v/>
      </c>
      <c r="C608" s="22" t="str">
        <f t="array" ref="C608">IFERROR(INDEX(Summary!$I$3:$I$1000,SMALL((Summary!$I$3:$I$1000="")/0.1%+ROW($3:$1000),ROW()-2)-2)&amp;"","")</f>
        <v/>
      </c>
      <c r="D608" s="22" t="str">
        <v/>
      </c>
      <c r="E608" s="22" t="str">
        <f t="shared" si="37"/>
        <v/>
      </c>
      <c r="F608" s="56" t="str">
        <f>IF(AMS!I628="","",AMS!I628)</f>
        <v/>
      </c>
      <c r="G608" s="56" t="str">
        <f>IF(AMS!J628="","",AMS!J628)</f>
        <v/>
      </c>
      <c r="H608" s="22" t="str">
        <f t="array" ref="H608">IF(A608&lt;&gt;" ",IFERROR(INDEX(Summary!$G$3:$G$1000,SMALL((Summary!$G$3:$G$1000="")/0.1%+ROW($3:$1000),ROW()-2)-2)&amp;"",""),"")</f>
        <v/>
      </c>
      <c r="I608" s="22" t="str">
        <f t="shared" si="38"/>
        <v/>
      </c>
      <c r="J608" s="22" t="str">
        <f t="shared" si="39"/>
        <v/>
      </c>
    </row>
    <row r="609" spans="1:10">
      <c r="A609" s="56" t="str">
        <f>IF(AMS!H629="","",AMS!H629)</f>
        <v/>
      </c>
      <c r="B609" s="22" t="str">
        <f t="shared" si="36"/>
        <v/>
      </c>
      <c r="C609" s="22" t="str">
        <f t="array" ref="C609">IFERROR(INDEX(Summary!$I$3:$I$1000,SMALL((Summary!$I$3:$I$1000="")/0.1%+ROW($3:$1000),ROW()-2)-2)&amp;"","")</f>
        <v/>
      </c>
      <c r="D609" s="22" t="str">
        <v/>
      </c>
      <c r="E609" s="22" t="str">
        <f t="shared" si="37"/>
        <v/>
      </c>
      <c r="F609" s="56" t="str">
        <f>IF(AMS!I629="","",AMS!I629)</f>
        <v/>
      </c>
      <c r="G609" s="56" t="str">
        <f>IF(AMS!J629="","",AMS!J629)</f>
        <v/>
      </c>
      <c r="H609" s="22" t="str">
        <f t="array" ref="H609">IF(A609&lt;&gt;" ",IFERROR(INDEX(Summary!$G$3:$G$1000,SMALL((Summary!$G$3:$G$1000="")/0.1%+ROW($3:$1000),ROW()-2)-2)&amp;"",""),"")</f>
        <v/>
      </c>
      <c r="I609" s="22" t="str">
        <f t="shared" si="38"/>
        <v/>
      </c>
      <c r="J609" s="22" t="str">
        <f t="shared" si="39"/>
        <v/>
      </c>
    </row>
    <row r="610" spans="1:10">
      <c r="A610" s="56" t="str">
        <f>IF(AMS!H630="","",AMS!H630)</f>
        <v/>
      </c>
      <c r="B610" s="22" t="str">
        <f t="shared" si="36"/>
        <v/>
      </c>
      <c r="C610" s="22" t="str">
        <f t="array" ref="C610">IFERROR(INDEX(Summary!$I$3:$I$1000,SMALL((Summary!$I$3:$I$1000="")/0.1%+ROW($3:$1000),ROW()-2)-2)&amp;"","")</f>
        <v/>
      </c>
      <c r="D610" s="22" t="str">
        <v/>
      </c>
      <c r="E610" s="22" t="str">
        <f t="shared" si="37"/>
        <v/>
      </c>
      <c r="F610" s="56" t="str">
        <f>IF(AMS!I630="","",AMS!I630)</f>
        <v/>
      </c>
      <c r="G610" s="56" t="str">
        <f>IF(AMS!J630="","",AMS!J630)</f>
        <v/>
      </c>
      <c r="H610" s="22" t="str">
        <f t="array" ref="H610">IF(A610&lt;&gt;" ",IFERROR(INDEX(Summary!$G$3:$G$1000,SMALL((Summary!$G$3:$G$1000="")/0.1%+ROW($3:$1000),ROW()-2)-2)&amp;"",""),"")</f>
        <v/>
      </c>
      <c r="I610" s="22" t="str">
        <f t="shared" si="38"/>
        <v/>
      </c>
      <c r="J610" s="22" t="str">
        <f t="shared" si="39"/>
        <v/>
      </c>
    </row>
    <row r="611" spans="1:10">
      <c r="A611" s="56" t="str">
        <f>IF(AMS!H631="","",AMS!H631)</f>
        <v/>
      </c>
      <c r="B611" s="22" t="str">
        <f t="shared" si="36"/>
        <v/>
      </c>
      <c r="C611" s="22" t="str">
        <f t="array" ref="C611">IFERROR(INDEX(Summary!$I$3:$I$1000,SMALL((Summary!$I$3:$I$1000="")/0.1%+ROW($3:$1000),ROW()-2)-2)&amp;"","")</f>
        <v/>
      </c>
      <c r="D611" s="22" t="str">
        <v/>
      </c>
      <c r="E611" s="22" t="str">
        <f t="shared" si="37"/>
        <v/>
      </c>
      <c r="F611" s="56" t="str">
        <f>IF(AMS!I631="","",AMS!I631)</f>
        <v/>
      </c>
      <c r="G611" s="56" t="str">
        <f>IF(AMS!J631="","",AMS!J631)</f>
        <v/>
      </c>
      <c r="H611" s="22" t="str">
        <f t="array" ref="H611">IF(A611&lt;&gt;" ",IFERROR(INDEX(Summary!$G$3:$G$1000,SMALL((Summary!$G$3:$G$1000="")/0.1%+ROW($3:$1000),ROW()-2)-2)&amp;"",""),"")</f>
        <v/>
      </c>
      <c r="I611" s="22" t="str">
        <f t="shared" si="38"/>
        <v/>
      </c>
      <c r="J611" s="22" t="str">
        <f t="shared" si="39"/>
        <v/>
      </c>
    </row>
    <row r="612" spans="1:10">
      <c r="A612" s="56" t="str">
        <f>IF(AMS!H632="","",AMS!H632)</f>
        <v/>
      </c>
      <c r="B612" s="22" t="str">
        <f t="shared" si="36"/>
        <v/>
      </c>
      <c r="C612" s="22" t="str">
        <f t="array" ref="C612">IFERROR(INDEX(Summary!$I$3:$I$1000,SMALL((Summary!$I$3:$I$1000="")/0.1%+ROW($3:$1000),ROW()-2)-2)&amp;"","")</f>
        <v/>
      </c>
      <c r="D612" s="22" t="str">
        <v/>
      </c>
      <c r="E612" s="22" t="str">
        <f t="shared" si="37"/>
        <v/>
      </c>
      <c r="F612" s="56" t="str">
        <f>IF(AMS!I632="","",AMS!I632)</f>
        <v/>
      </c>
      <c r="G612" s="56" t="str">
        <f>IF(AMS!J632="","",AMS!J632)</f>
        <v/>
      </c>
      <c r="H612" s="22" t="str">
        <f t="array" ref="H612">IF(A612&lt;&gt;" ",IFERROR(INDEX(Summary!$G$3:$G$1000,SMALL((Summary!$G$3:$G$1000="")/0.1%+ROW($3:$1000),ROW()-2)-2)&amp;"",""),"")</f>
        <v/>
      </c>
      <c r="I612" s="22" t="str">
        <f t="shared" si="38"/>
        <v/>
      </c>
      <c r="J612" s="22" t="str">
        <f t="shared" si="39"/>
        <v/>
      </c>
    </row>
    <row r="613" spans="1:10">
      <c r="A613" s="56" t="str">
        <f>IF(AMS!H633="","",AMS!H633)</f>
        <v/>
      </c>
      <c r="B613" s="22" t="str">
        <f t="shared" si="36"/>
        <v/>
      </c>
      <c r="C613" s="22" t="str">
        <f t="array" ref="C613">IFERROR(INDEX(Summary!$I$3:$I$1000,SMALL((Summary!$I$3:$I$1000="")/0.1%+ROW($3:$1000),ROW()-2)-2)&amp;"","")</f>
        <v/>
      </c>
      <c r="D613" s="22" t="str">
        <v/>
      </c>
      <c r="E613" s="22" t="str">
        <f t="shared" si="37"/>
        <v/>
      </c>
      <c r="F613" s="56" t="str">
        <f>IF(AMS!I633="","",AMS!I633)</f>
        <v/>
      </c>
      <c r="G613" s="56" t="str">
        <f>IF(AMS!J633="","",AMS!J633)</f>
        <v/>
      </c>
      <c r="H613" s="22" t="str">
        <f t="array" ref="H613">IF(A613&lt;&gt;" ",IFERROR(INDEX(Summary!$G$3:$G$1000,SMALL((Summary!$G$3:$G$1000="")/0.1%+ROW($3:$1000),ROW()-2)-2)&amp;"",""),"")</f>
        <v/>
      </c>
      <c r="I613" s="22" t="str">
        <f t="shared" si="38"/>
        <v/>
      </c>
      <c r="J613" s="22" t="str">
        <f t="shared" si="39"/>
        <v/>
      </c>
    </row>
    <row r="614" spans="1:10">
      <c r="A614" s="56" t="str">
        <f>IF(AMS!H634="","",AMS!H634)</f>
        <v/>
      </c>
      <c r="B614" s="22" t="str">
        <f t="shared" si="36"/>
        <v/>
      </c>
      <c r="C614" s="22" t="str">
        <f t="array" ref="C614">IFERROR(INDEX(Summary!$I$3:$I$1000,SMALL((Summary!$I$3:$I$1000="")/0.1%+ROW($3:$1000),ROW()-2)-2)&amp;"","")</f>
        <v/>
      </c>
      <c r="D614" s="22" t="str">
        <v/>
      </c>
      <c r="E614" s="22" t="str">
        <f t="shared" si="37"/>
        <v/>
      </c>
      <c r="F614" s="56" t="str">
        <f>IF(AMS!I634="","",AMS!I634)</f>
        <v/>
      </c>
      <c r="G614" s="56" t="str">
        <f>IF(AMS!J634="","",AMS!J634)</f>
        <v/>
      </c>
      <c r="H614" s="22" t="str">
        <f t="array" ref="H614">IF(A614&lt;&gt;" ",IFERROR(INDEX(Summary!$G$3:$G$1000,SMALL((Summary!$G$3:$G$1000="")/0.1%+ROW($3:$1000),ROW()-2)-2)&amp;"",""),"")</f>
        <v/>
      </c>
      <c r="I614" s="22" t="str">
        <f t="shared" si="38"/>
        <v/>
      </c>
      <c r="J614" s="22" t="str">
        <f t="shared" si="39"/>
        <v/>
      </c>
    </row>
    <row r="615" spans="1:10">
      <c r="A615" s="56" t="str">
        <f>IF(AMS!H635="","",AMS!H635)</f>
        <v/>
      </c>
      <c r="B615" s="22" t="str">
        <f t="shared" si="36"/>
        <v/>
      </c>
      <c r="C615" s="22" t="str">
        <f t="array" ref="C615">IFERROR(INDEX(Summary!$I$3:$I$1000,SMALL((Summary!$I$3:$I$1000="")/0.1%+ROW($3:$1000),ROW()-2)-2)&amp;"","")</f>
        <v/>
      </c>
      <c r="D615" s="22" t="str">
        <v/>
      </c>
      <c r="E615" s="22" t="str">
        <f t="shared" si="37"/>
        <v/>
      </c>
      <c r="F615" s="56" t="str">
        <f>IF(AMS!I635="","",AMS!I635)</f>
        <v/>
      </c>
      <c r="G615" s="56" t="str">
        <f>IF(AMS!J635="","",AMS!J635)</f>
        <v/>
      </c>
      <c r="H615" s="22" t="str">
        <f t="array" ref="H615">IF(A615&lt;&gt;" ",IFERROR(INDEX(Summary!$G$3:$G$1000,SMALL((Summary!$G$3:$G$1000="")/0.1%+ROW($3:$1000),ROW()-2)-2)&amp;"",""),"")</f>
        <v/>
      </c>
      <c r="I615" s="22" t="str">
        <f t="shared" si="38"/>
        <v/>
      </c>
      <c r="J615" s="22" t="str">
        <f t="shared" si="39"/>
        <v/>
      </c>
    </row>
    <row r="616" spans="1:10">
      <c r="A616" s="56" t="str">
        <f>IF(AMS!H636="","",AMS!H636)</f>
        <v/>
      </c>
      <c r="B616" s="22" t="str">
        <f t="shared" si="36"/>
        <v/>
      </c>
      <c r="C616" s="22" t="str">
        <f t="array" ref="C616">IFERROR(INDEX(Summary!$I$3:$I$1000,SMALL((Summary!$I$3:$I$1000="")/0.1%+ROW($3:$1000),ROW()-2)-2)&amp;"","")</f>
        <v/>
      </c>
      <c r="D616" s="22" t="str">
        <v/>
      </c>
      <c r="E616" s="22" t="str">
        <f t="shared" si="37"/>
        <v/>
      </c>
      <c r="F616" s="56" t="str">
        <f>IF(AMS!I636="","",AMS!I636)</f>
        <v/>
      </c>
      <c r="G616" s="56" t="str">
        <f>IF(AMS!J636="","",AMS!J636)</f>
        <v/>
      </c>
      <c r="H616" s="22" t="str">
        <f t="array" ref="H616">IF(A616&lt;&gt;" ",IFERROR(INDEX(Summary!$G$3:$G$1000,SMALL((Summary!$G$3:$G$1000="")/0.1%+ROW($3:$1000),ROW()-2)-2)&amp;"",""),"")</f>
        <v/>
      </c>
      <c r="I616" s="22" t="str">
        <f t="shared" si="38"/>
        <v/>
      </c>
      <c r="J616" s="22" t="str">
        <f t="shared" si="39"/>
        <v/>
      </c>
    </row>
    <row r="617" spans="1:10">
      <c r="A617" s="56" t="str">
        <f>IF(AMS!H637="","",AMS!H637)</f>
        <v/>
      </c>
      <c r="B617" s="22" t="str">
        <f t="shared" si="36"/>
        <v/>
      </c>
      <c r="C617" s="22" t="str">
        <f t="array" ref="C617">IFERROR(INDEX(Summary!$I$3:$I$1000,SMALL((Summary!$I$3:$I$1000="")/0.1%+ROW($3:$1000),ROW()-2)-2)&amp;"","")</f>
        <v/>
      </c>
      <c r="D617" s="22" t="str">
        <v/>
      </c>
      <c r="E617" s="22" t="str">
        <f t="shared" si="37"/>
        <v/>
      </c>
      <c r="F617" s="56" t="str">
        <f>IF(AMS!I637="","",AMS!I637)</f>
        <v/>
      </c>
      <c r="G617" s="56" t="str">
        <f>IF(AMS!J637="","",AMS!J637)</f>
        <v/>
      </c>
      <c r="H617" s="22" t="str">
        <f t="array" ref="H617">IF(A617&lt;&gt;" ",IFERROR(INDEX(Summary!$G$3:$G$1000,SMALL((Summary!$G$3:$G$1000="")/0.1%+ROW($3:$1000),ROW()-2)-2)&amp;"",""),"")</f>
        <v/>
      </c>
      <c r="I617" s="22" t="str">
        <f t="shared" si="38"/>
        <v/>
      </c>
      <c r="J617" s="22" t="str">
        <f t="shared" si="39"/>
        <v/>
      </c>
    </row>
    <row r="618" spans="1:10">
      <c r="A618" s="56" t="str">
        <f>IF(AMS!H638="","",AMS!H638)</f>
        <v/>
      </c>
      <c r="B618" s="22" t="str">
        <f t="shared" si="36"/>
        <v/>
      </c>
      <c r="C618" s="22" t="str">
        <f t="array" ref="C618">IFERROR(INDEX(Summary!$I$3:$I$1000,SMALL((Summary!$I$3:$I$1000="")/0.1%+ROW($3:$1000),ROW()-2)-2)&amp;"","")</f>
        <v/>
      </c>
      <c r="D618" s="22" t="str">
        <v/>
      </c>
      <c r="E618" s="22" t="str">
        <f t="shared" si="37"/>
        <v/>
      </c>
      <c r="F618" s="56" t="str">
        <f>IF(AMS!I638="","",AMS!I638)</f>
        <v/>
      </c>
      <c r="G618" s="56" t="str">
        <f>IF(AMS!J638="","",AMS!J638)</f>
        <v/>
      </c>
      <c r="H618" s="22" t="str">
        <f t="array" ref="H618">IF(A618&lt;&gt;" ",IFERROR(INDEX(Summary!$G$3:$G$1000,SMALL((Summary!$G$3:$G$1000="")/0.1%+ROW($3:$1000),ROW()-2)-2)&amp;"",""),"")</f>
        <v/>
      </c>
      <c r="I618" s="22" t="str">
        <f t="shared" si="38"/>
        <v/>
      </c>
      <c r="J618" s="22" t="str">
        <f t="shared" si="39"/>
        <v/>
      </c>
    </row>
    <row r="619" spans="1:10">
      <c r="A619" s="56" t="str">
        <f>IF(AMS!H639="","",AMS!H639)</f>
        <v/>
      </c>
      <c r="B619" s="22" t="str">
        <f t="shared" si="36"/>
        <v/>
      </c>
      <c r="C619" s="22" t="str">
        <f t="array" ref="C619">IFERROR(INDEX(Summary!$I$3:$I$1000,SMALL((Summary!$I$3:$I$1000="")/0.1%+ROW($3:$1000),ROW()-2)-2)&amp;"","")</f>
        <v/>
      </c>
      <c r="D619" s="22" t="str">
        <v/>
      </c>
      <c r="E619" s="22" t="str">
        <f t="shared" si="37"/>
        <v/>
      </c>
      <c r="F619" s="56" t="str">
        <f>IF(AMS!I639="","",AMS!I639)</f>
        <v/>
      </c>
      <c r="G619" s="56" t="str">
        <f>IF(AMS!J639="","",AMS!J639)</f>
        <v/>
      </c>
      <c r="H619" s="22" t="str">
        <f t="array" ref="H619">IF(A619&lt;&gt;" ",IFERROR(INDEX(Summary!$G$3:$G$1000,SMALL((Summary!$G$3:$G$1000="")/0.1%+ROW($3:$1000),ROW()-2)-2)&amp;"",""),"")</f>
        <v/>
      </c>
      <c r="I619" s="22" t="str">
        <f t="shared" si="38"/>
        <v/>
      </c>
      <c r="J619" s="22" t="str">
        <f t="shared" si="39"/>
        <v/>
      </c>
    </row>
    <row r="620" spans="1:10">
      <c r="A620" s="56" t="str">
        <f>IF(AMS!H640="","",AMS!H640)</f>
        <v/>
      </c>
      <c r="B620" s="22" t="str">
        <f t="shared" si="36"/>
        <v/>
      </c>
      <c r="C620" s="22" t="str">
        <f t="array" ref="C620">IFERROR(INDEX(Summary!$I$3:$I$1000,SMALL((Summary!$I$3:$I$1000="")/0.1%+ROW($3:$1000),ROW()-2)-2)&amp;"","")</f>
        <v/>
      </c>
      <c r="D620" s="22" t="str">
        <v/>
      </c>
      <c r="E620" s="22" t="str">
        <f t="shared" si="37"/>
        <v/>
      </c>
      <c r="F620" s="56" t="str">
        <f>IF(AMS!I640="","",AMS!I640)</f>
        <v/>
      </c>
      <c r="G620" s="56" t="str">
        <f>IF(AMS!J640="","",AMS!J640)</f>
        <v/>
      </c>
      <c r="H620" s="22" t="str">
        <f t="array" ref="H620">IF(A620&lt;&gt;" ",IFERROR(INDEX(Summary!$G$3:$G$1000,SMALL((Summary!$G$3:$G$1000="")/0.1%+ROW($3:$1000),ROW()-2)-2)&amp;"",""),"")</f>
        <v/>
      </c>
      <c r="I620" s="22" t="str">
        <f t="shared" si="38"/>
        <v/>
      </c>
      <c r="J620" s="22" t="str">
        <f t="shared" si="39"/>
        <v/>
      </c>
    </row>
    <row r="621" spans="1:10">
      <c r="A621" s="56" t="str">
        <f>IF(AMS!H641="","",AMS!H641)</f>
        <v/>
      </c>
      <c r="B621" s="22" t="str">
        <f t="shared" si="36"/>
        <v/>
      </c>
      <c r="C621" s="22" t="str">
        <f t="array" ref="C621">IFERROR(INDEX(Summary!$I$3:$I$1000,SMALL((Summary!$I$3:$I$1000="")/0.1%+ROW($3:$1000),ROW()-2)-2)&amp;"","")</f>
        <v/>
      </c>
      <c r="D621" s="22" t="str">
        <v/>
      </c>
      <c r="E621" s="22" t="str">
        <f t="shared" si="37"/>
        <v/>
      </c>
      <c r="F621" s="56" t="str">
        <f>IF(AMS!I641="","",AMS!I641)</f>
        <v/>
      </c>
      <c r="G621" s="56" t="str">
        <f>IF(AMS!J641="","",AMS!J641)</f>
        <v/>
      </c>
      <c r="H621" s="22" t="str">
        <f t="array" ref="H621">IF(A621&lt;&gt;" ",IFERROR(INDEX(Summary!$G$3:$G$1000,SMALL((Summary!$G$3:$G$1000="")/0.1%+ROW($3:$1000),ROW()-2)-2)&amp;"",""),"")</f>
        <v/>
      </c>
      <c r="I621" s="22" t="str">
        <f t="shared" si="38"/>
        <v/>
      </c>
      <c r="J621" s="22" t="str">
        <f t="shared" si="39"/>
        <v/>
      </c>
    </row>
    <row r="622" spans="1:10">
      <c r="A622" s="56" t="str">
        <f>IF(AMS!H642="","",AMS!H642)</f>
        <v/>
      </c>
      <c r="B622" s="22" t="str">
        <f t="shared" si="36"/>
        <v/>
      </c>
      <c r="C622" s="22" t="str">
        <f t="array" ref="C622">IFERROR(INDEX(Summary!$I$3:$I$1000,SMALL((Summary!$I$3:$I$1000="")/0.1%+ROW($3:$1000),ROW()-2)-2)&amp;"","")</f>
        <v/>
      </c>
      <c r="D622" s="22" t="str">
        <v/>
      </c>
      <c r="E622" s="22" t="str">
        <f t="shared" si="37"/>
        <v/>
      </c>
      <c r="F622" s="56" t="str">
        <f>IF(AMS!I642="","",AMS!I642)</f>
        <v/>
      </c>
      <c r="G622" s="56" t="str">
        <f>IF(AMS!J642="","",AMS!J642)</f>
        <v/>
      </c>
      <c r="H622" s="22" t="str">
        <f t="array" ref="H622">IF(A622&lt;&gt;" ",IFERROR(INDEX(Summary!$G$3:$G$1000,SMALL((Summary!$G$3:$G$1000="")/0.1%+ROW($3:$1000),ROW()-2)-2)&amp;"",""),"")</f>
        <v/>
      </c>
      <c r="I622" s="22" t="str">
        <f t="shared" si="38"/>
        <v/>
      </c>
      <c r="J622" s="22" t="str">
        <f t="shared" si="39"/>
        <v/>
      </c>
    </row>
    <row r="623" spans="1:10">
      <c r="A623" s="56" t="str">
        <f>IF(AMS!H643="","",AMS!H643)</f>
        <v/>
      </c>
      <c r="B623" s="22" t="str">
        <f t="shared" si="36"/>
        <v/>
      </c>
      <c r="C623" s="22" t="str">
        <f t="array" ref="C623">IFERROR(INDEX(Summary!$I$3:$I$1000,SMALL((Summary!$I$3:$I$1000="")/0.1%+ROW($3:$1000),ROW()-2)-2)&amp;"","")</f>
        <v/>
      </c>
      <c r="D623" s="22" t="str">
        <v/>
      </c>
      <c r="E623" s="22" t="str">
        <f t="shared" si="37"/>
        <v/>
      </c>
      <c r="F623" s="56" t="str">
        <f>IF(AMS!I643="","",AMS!I643)</f>
        <v/>
      </c>
      <c r="G623" s="56" t="str">
        <f>IF(AMS!J643="","",AMS!J643)</f>
        <v/>
      </c>
      <c r="H623" s="22" t="str">
        <f t="array" ref="H623">IF(A623&lt;&gt;" ",IFERROR(INDEX(Summary!$G$3:$G$1000,SMALL((Summary!$G$3:$G$1000="")/0.1%+ROW($3:$1000),ROW()-2)-2)&amp;"",""),"")</f>
        <v/>
      </c>
      <c r="I623" s="22" t="str">
        <f t="shared" si="38"/>
        <v/>
      </c>
      <c r="J623" s="22" t="str">
        <f t="shared" si="39"/>
        <v/>
      </c>
    </row>
    <row r="624" spans="1:10">
      <c r="A624" s="56" t="str">
        <f>IF(AMS!H644="","",AMS!H644)</f>
        <v/>
      </c>
      <c r="B624" s="22" t="str">
        <f t="shared" si="36"/>
        <v/>
      </c>
      <c r="C624" s="22" t="str">
        <f t="array" ref="C624">IFERROR(INDEX(Summary!$I$3:$I$1000,SMALL((Summary!$I$3:$I$1000="")/0.1%+ROW($3:$1000),ROW()-2)-2)&amp;"","")</f>
        <v/>
      </c>
      <c r="D624" s="22" t="str">
        <v/>
      </c>
      <c r="E624" s="22" t="str">
        <f t="shared" si="37"/>
        <v/>
      </c>
      <c r="F624" s="56" t="str">
        <f>IF(AMS!I644="","",AMS!I644)</f>
        <v/>
      </c>
      <c r="G624" s="56" t="str">
        <f>IF(AMS!J644="","",AMS!J644)</f>
        <v/>
      </c>
      <c r="H624" s="22" t="str">
        <f t="array" ref="H624">IF(A624&lt;&gt;" ",IFERROR(INDEX(Summary!$G$3:$G$1000,SMALL((Summary!$G$3:$G$1000="")/0.1%+ROW($3:$1000),ROW()-2)-2)&amp;"",""),"")</f>
        <v/>
      </c>
      <c r="I624" s="22" t="str">
        <f t="shared" si="38"/>
        <v/>
      </c>
      <c r="J624" s="22" t="str">
        <f t="shared" si="39"/>
        <v/>
      </c>
    </row>
    <row r="625" spans="1:10">
      <c r="A625" s="56" t="str">
        <f>IF(AMS!H645="","",AMS!H645)</f>
        <v/>
      </c>
      <c r="B625" s="22" t="str">
        <f t="shared" si="36"/>
        <v/>
      </c>
      <c r="C625" s="22" t="str">
        <f t="array" ref="C625">IFERROR(INDEX(Summary!$I$3:$I$1000,SMALL((Summary!$I$3:$I$1000="")/0.1%+ROW($3:$1000),ROW()-2)-2)&amp;"","")</f>
        <v/>
      </c>
      <c r="D625" s="22" t="str">
        <v/>
      </c>
      <c r="E625" s="22" t="str">
        <f t="shared" si="37"/>
        <v/>
      </c>
      <c r="F625" s="56" t="str">
        <f>IF(AMS!I645="","",AMS!I645)</f>
        <v/>
      </c>
      <c r="G625" s="56" t="str">
        <f>IF(AMS!J645="","",AMS!J645)</f>
        <v/>
      </c>
      <c r="H625" s="22" t="str">
        <f t="array" ref="H625">IF(A625&lt;&gt;" ",IFERROR(INDEX(Summary!$G$3:$G$1000,SMALL((Summary!$G$3:$G$1000="")/0.1%+ROW($3:$1000),ROW()-2)-2)&amp;"",""),"")</f>
        <v/>
      </c>
      <c r="I625" s="22" t="str">
        <f t="shared" si="38"/>
        <v/>
      </c>
      <c r="J625" s="22" t="str">
        <f t="shared" si="39"/>
        <v/>
      </c>
    </row>
    <row r="626" spans="1:10">
      <c r="A626" s="56" t="str">
        <f>IF(AMS!H646="","",AMS!H646)</f>
        <v/>
      </c>
      <c r="B626" s="22" t="str">
        <f t="shared" si="36"/>
        <v/>
      </c>
      <c r="C626" s="22" t="str">
        <f t="array" ref="C626">IFERROR(INDEX(Summary!$I$3:$I$1000,SMALL((Summary!$I$3:$I$1000="")/0.1%+ROW($3:$1000),ROW()-2)-2)&amp;"","")</f>
        <v/>
      </c>
      <c r="D626" s="22" t="str">
        <v/>
      </c>
      <c r="E626" s="22" t="str">
        <f t="shared" si="37"/>
        <v/>
      </c>
      <c r="F626" s="56" t="str">
        <f>IF(AMS!I646="","",AMS!I646)</f>
        <v/>
      </c>
      <c r="G626" s="56" t="str">
        <f>IF(AMS!J646="","",AMS!J646)</f>
        <v/>
      </c>
      <c r="H626" s="22" t="str">
        <f t="array" ref="H626">IF(A626&lt;&gt;" ",IFERROR(INDEX(Summary!$G$3:$G$1000,SMALL((Summary!$G$3:$G$1000="")/0.1%+ROW($3:$1000),ROW()-2)-2)&amp;"",""),"")</f>
        <v/>
      </c>
      <c r="I626" s="22" t="str">
        <f t="shared" si="38"/>
        <v/>
      </c>
      <c r="J626" s="22" t="str">
        <f t="shared" si="39"/>
        <v/>
      </c>
    </row>
    <row r="627" spans="1:10">
      <c r="A627" s="56" t="str">
        <f>IF(AMS!H647="","",AMS!H647)</f>
        <v/>
      </c>
      <c r="B627" s="22" t="str">
        <f t="shared" si="36"/>
        <v/>
      </c>
      <c r="C627" s="22" t="str">
        <f t="array" ref="C627">IFERROR(INDEX(Summary!$I$3:$I$1000,SMALL((Summary!$I$3:$I$1000="")/0.1%+ROW($3:$1000),ROW()-2)-2)&amp;"","")</f>
        <v/>
      </c>
      <c r="D627" s="22" t="str">
        <v/>
      </c>
      <c r="E627" s="22" t="str">
        <f t="shared" si="37"/>
        <v/>
      </c>
      <c r="F627" s="56" t="str">
        <f>IF(AMS!I647="","",AMS!I647)</f>
        <v/>
      </c>
      <c r="G627" s="56" t="str">
        <f>IF(AMS!J647="","",AMS!J647)</f>
        <v/>
      </c>
      <c r="H627" s="22" t="str">
        <f t="array" ref="H627">IF(A627&lt;&gt;" ",IFERROR(INDEX(Summary!$G$3:$G$1000,SMALL((Summary!$G$3:$G$1000="")/0.1%+ROW($3:$1000),ROW()-2)-2)&amp;"",""),"")</f>
        <v/>
      </c>
      <c r="I627" s="22" t="str">
        <f t="shared" si="38"/>
        <v/>
      </c>
      <c r="J627" s="22" t="str">
        <f t="shared" si="39"/>
        <v/>
      </c>
    </row>
    <row r="628" spans="1:10">
      <c r="A628" s="56" t="str">
        <f>IF(AMS!H648="","",AMS!H648)</f>
        <v/>
      </c>
      <c r="B628" s="22" t="str">
        <f t="shared" si="36"/>
        <v/>
      </c>
      <c r="C628" s="22" t="str">
        <f t="array" ref="C628">IFERROR(INDEX(Summary!$I$3:$I$1000,SMALL((Summary!$I$3:$I$1000="")/0.1%+ROW($3:$1000),ROW()-2)-2)&amp;"","")</f>
        <v/>
      </c>
      <c r="D628" s="22" t="str">
        <v/>
      </c>
      <c r="E628" s="22" t="str">
        <f t="shared" si="37"/>
        <v/>
      </c>
      <c r="F628" s="56" t="str">
        <f>IF(AMS!I648="","",AMS!I648)</f>
        <v/>
      </c>
      <c r="G628" s="56" t="str">
        <f>IF(AMS!J648="","",AMS!J648)</f>
        <v/>
      </c>
      <c r="H628" s="22" t="str">
        <f t="array" ref="H628">IF(A628&lt;&gt;" ",IFERROR(INDEX(Summary!$G$3:$G$1000,SMALL((Summary!$G$3:$G$1000="")/0.1%+ROW($3:$1000),ROW()-2)-2)&amp;"",""),"")</f>
        <v/>
      </c>
      <c r="I628" s="22" t="str">
        <f t="shared" si="38"/>
        <v/>
      </c>
      <c r="J628" s="22" t="str">
        <f t="shared" si="39"/>
        <v/>
      </c>
    </row>
    <row r="629" spans="1:10">
      <c r="A629" s="56" t="str">
        <f>IF(AMS!H649="","",AMS!H649)</f>
        <v/>
      </c>
      <c r="B629" s="22" t="str">
        <f t="shared" si="36"/>
        <v/>
      </c>
      <c r="C629" s="22" t="str">
        <f t="array" ref="C629">IFERROR(INDEX(Summary!$I$3:$I$1000,SMALL((Summary!$I$3:$I$1000="")/0.1%+ROW($3:$1000),ROW()-2)-2)&amp;"","")</f>
        <v/>
      </c>
      <c r="D629" s="22" t="str">
        <v/>
      </c>
      <c r="E629" s="22" t="str">
        <f t="shared" si="37"/>
        <v/>
      </c>
      <c r="F629" s="56" t="str">
        <f>IF(AMS!I649="","",AMS!I649)</f>
        <v/>
      </c>
      <c r="G629" s="56" t="str">
        <f>IF(AMS!J649="","",AMS!J649)</f>
        <v/>
      </c>
      <c r="H629" s="22" t="str">
        <f t="array" ref="H629">IF(A629&lt;&gt;" ",IFERROR(INDEX(Summary!$G$3:$G$1000,SMALL((Summary!$G$3:$G$1000="")/0.1%+ROW($3:$1000),ROW()-2)-2)&amp;"",""),"")</f>
        <v/>
      </c>
      <c r="I629" s="22" t="str">
        <f t="shared" si="38"/>
        <v/>
      </c>
      <c r="J629" s="22" t="str">
        <f t="shared" si="39"/>
        <v/>
      </c>
    </row>
    <row r="630" spans="1:10">
      <c r="A630" s="56" t="str">
        <f>IF(AMS!H650="","",AMS!H650)</f>
        <v/>
      </c>
      <c r="B630" s="22" t="str">
        <f t="shared" si="36"/>
        <v/>
      </c>
      <c r="C630" s="22" t="str">
        <f t="array" ref="C630">IFERROR(INDEX(Summary!$I$3:$I$1000,SMALL((Summary!$I$3:$I$1000="")/0.1%+ROW($3:$1000),ROW()-2)-2)&amp;"","")</f>
        <v/>
      </c>
      <c r="D630" s="22" t="str">
        <v/>
      </c>
      <c r="E630" s="22" t="str">
        <f t="shared" si="37"/>
        <v/>
      </c>
      <c r="F630" s="56" t="str">
        <f>IF(AMS!I650="","",AMS!I650)</f>
        <v/>
      </c>
      <c r="G630" s="56" t="str">
        <f>IF(AMS!J650="","",AMS!J650)</f>
        <v/>
      </c>
      <c r="H630" s="22" t="str">
        <f t="array" ref="H630">IF(A630&lt;&gt;" ",IFERROR(INDEX(Summary!$G$3:$G$1000,SMALL((Summary!$G$3:$G$1000="")/0.1%+ROW($3:$1000),ROW()-2)-2)&amp;"",""),"")</f>
        <v/>
      </c>
      <c r="I630" s="22" t="str">
        <f t="shared" si="38"/>
        <v/>
      </c>
      <c r="J630" s="22" t="str">
        <f t="shared" si="39"/>
        <v/>
      </c>
    </row>
    <row r="631" spans="1:10">
      <c r="A631" s="56" t="str">
        <f>IF(AMS!H651="","",AMS!H651)</f>
        <v/>
      </c>
      <c r="B631" s="22" t="str">
        <f t="shared" si="36"/>
        <v/>
      </c>
      <c r="C631" s="22" t="str">
        <f t="array" ref="C631">IFERROR(INDEX(Summary!$I$3:$I$1000,SMALL((Summary!$I$3:$I$1000="")/0.1%+ROW($3:$1000),ROW()-2)-2)&amp;"","")</f>
        <v/>
      </c>
      <c r="D631" s="22" t="str">
        <v/>
      </c>
      <c r="E631" s="22" t="str">
        <f t="shared" si="37"/>
        <v/>
      </c>
      <c r="F631" s="56" t="str">
        <f>IF(AMS!I651="","",AMS!I651)</f>
        <v/>
      </c>
      <c r="G631" s="56" t="str">
        <f>IF(AMS!J651="","",AMS!J651)</f>
        <v/>
      </c>
      <c r="H631" s="22" t="str">
        <f t="array" ref="H631">IF(A631&lt;&gt;" ",IFERROR(INDEX(Summary!$G$3:$G$1000,SMALL((Summary!$G$3:$G$1000="")/0.1%+ROW($3:$1000),ROW()-2)-2)&amp;"",""),"")</f>
        <v/>
      </c>
      <c r="I631" s="22" t="str">
        <f t="shared" si="38"/>
        <v/>
      </c>
      <c r="J631" s="22" t="str">
        <f t="shared" si="39"/>
        <v/>
      </c>
    </row>
    <row r="632" spans="1:10">
      <c r="A632" s="56" t="str">
        <f>IF(AMS!H652="","",AMS!H652)</f>
        <v/>
      </c>
      <c r="B632" s="22" t="str">
        <f t="shared" si="36"/>
        <v/>
      </c>
      <c r="C632" s="22" t="str">
        <f t="array" ref="C632">IFERROR(INDEX(Summary!$I$3:$I$1000,SMALL((Summary!$I$3:$I$1000="")/0.1%+ROW($3:$1000),ROW()-2)-2)&amp;"","")</f>
        <v/>
      </c>
      <c r="D632" s="22" t="str">
        <v/>
      </c>
      <c r="E632" s="22" t="str">
        <f t="shared" si="37"/>
        <v/>
      </c>
      <c r="F632" s="56" t="str">
        <f>IF(AMS!I652="","",AMS!I652)</f>
        <v/>
      </c>
      <c r="G632" s="56" t="str">
        <f>IF(AMS!J652="","",AMS!J652)</f>
        <v/>
      </c>
      <c r="H632" s="22" t="str">
        <f t="array" ref="H632">IF(A632&lt;&gt;" ",IFERROR(INDEX(Summary!$G$3:$G$1000,SMALL((Summary!$G$3:$G$1000="")/0.1%+ROW($3:$1000),ROW()-2)-2)&amp;"",""),"")</f>
        <v/>
      </c>
      <c r="I632" s="22" t="str">
        <f t="shared" si="38"/>
        <v/>
      </c>
      <c r="J632" s="22" t="str">
        <f t="shared" si="39"/>
        <v/>
      </c>
    </row>
    <row r="633" spans="1:10">
      <c r="A633" s="56" t="str">
        <f>IF(AMS!H653="","",AMS!H653)</f>
        <v/>
      </c>
      <c r="B633" s="22" t="str">
        <f t="shared" si="36"/>
        <v/>
      </c>
      <c r="C633" s="22" t="str">
        <f t="array" ref="C633">IFERROR(INDEX(Summary!$I$3:$I$1000,SMALL((Summary!$I$3:$I$1000="")/0.1%+ROW($3:$1000),ROW()-2)-2)&amp;"","")</f>
        <v/>
      </c>
      <c r="D633" s="22" t="str">
        <v/>
      </c>
      <c r="E633" s="22" t="str">
        <f t="shared" si="37"/>
        <v/>
      </c>
      <c r="F633" s="56" t="str">
        <f>IF(AMS!I653="","",AMS!I653)</f>
        <v/>
      </c>
      <c r="G633" s="56" t="str">
        <f>IF(AMS!J653="","",AMS!J653)</f>
        <v/>
      </c>
      <c r="H633" s="22" t="str">
        <f t="array" ref="H633">IF(A633&lt;&gt;" ",IFERROR(INDEX(Summary!$G$3:$G$1000,SMALL((Summary!$G$3:$G$1000="")/0.1%+ROW($3:$1000),ROW()-2)-2)&amp;"",""),"")</f>
        <v/>
      </c>
      <c r="I633" s="22" t="str">
        <f t="shared" si="38"/>
        <v/>
      </c>
      <c r="J633" s="22" t="str">
        <f t="shared" si="39"/>
        <v/>
      </c>
    </row>
    <row r="634" spans="1:10">
      <c r="A634" s="56" t="str">
        <f>IF(AMS!H654="","",AMS!H654)</f>
        <v/>
      </c>
      <c r="B634" s="22" t="str">
        <f t="shared" si="36"/>
        <v/>
      </c>
      <c r="C634" s="22" t="str">
        <f t="array" ref="C634">IFERROR(INDEX(Summary!$I$3:$I$1000,SMALL((Summary!$I$3:$I$1000="")/0.1%+ROW($3:$1000),ROW()-2)-2)&amp;"","")</f>
        <v/>
      </c>
      <c r="D634" s="22" t="str">
        <v/>
      </c>
      <c r="E634" s="22" t="str">
        <f t="shared" si="37"/>
        <v/>
      </c>
      <c r="F634" s="56" t="str">
        <f>IF(AMS!I654="","",AMS!I654)</f>
        <v/>
      </c>
      <c r="G634" s="56" t="str">
        <f>IF(AMS!J654="","",AMS!J654)</f>
        <v/>
      </c>
      <c r="H634" s="22" t="str">
        <f t="array" ref="H634">IF(A634&lt;&gt;" ",IFERROR(INDEX(Summary!$G$3:$G$1000,SMALL((Summary!$G$3:$G$1000="")/0.1%+ROW($3:$1000),ROW()-2)-2)&amp;"",""),"")</f>
        <v/>
      </c>
      <c r="I634" s="22" t="str">
        <f t="shared" si="38"/>
        <v/>
      </c>
      <c r="J634" s="22" t="str">
        <f t="shared" si="39"/>
        <v/>
      </c>
    </row>
    <row r="635" spans="1:10">
      <c r="A635" s="56" t="str">
        <f>IF(AMS!H655="","",AMS!H655)</f>
        <v/>
      </c>
      <c r="B635" s="22" t="str">
        <f t="shared" si="36"/>
        <v/>
      </c>
      <c r="C635" s="22" t="str">
        <f t="array" ref="C635">IFERROR(INDEX(Summary!$I$3:$I$1000,SMALL((Summary!$I$3:$I$1000="")/0.1%+ROW($3:$1000),ROW()-2)-2)&amp;"","")</f>
        <v/>
      </c>
      <c r="D635" s="22" t="str">
        <v/>
      </c>
      <c r="E635" s="22" t="str">
        <f t="shared" si="37"/>
        <v/>
      </c>
      <c r="F635" s="56" t="str">
        <f>IF(AMS!I655="","",AMS!I655)</f>
        <v/>
      </c>
      <c r="G635" s="56" t="str">
        <f>IF(AMS!J655="","",AMS!J655)</f>
        <v/>
      </c>
      <c r="H635" s="22" t="str">
        <f t="array" ref="H635">IF(A635&lt;&gt;" ",IFERROR(INDEX(Summary!$G$3:$G$1000,SMALL((Summary!$G$3:$G$1000="")/0.1%+ROW($3:$1000),ROW()-2)-2)&amp;"",""),"")</f>
        <v/>
      </c>
      <c r="I635" s="22" t="str">
        <f t="shared" si="38"/>
        <v/>
      </c>
      <c r="J635" s="22" t="str">
        <f t="shared" si="39"/>
        <v/>
      </c>
    </row>
    <row r="636" spans="1:10">
      <c r="A636" s="56" t="str">
        <f>IF(AMS!H656="","",AMS!H656)</f>
        <v/>
      </c>
      <c r="B636" s="22" t="str">
        <f t="shared" si="36"/>
        <v/>
      </c>
      <c r="C636" s="22" t="str">
        <f t="array" ref="C636">IFERROR(INDEX(Summary!$I$3:$I$1000,SMALL((Summary!$I$3:$I$1000="")/0.1%+ROW($3:$1000),ROW()-2)-2)&amp;"","")</f>
        <v/>
      </c>
      <c r="D636" s="22" t="str">
        <v/>
      </c>
      <c r="E636" s="22" t="str">
        <f t="shared" si="37"/>
        <v/>
      </c>
      <c r="F636" s="56" t="str">
        <f>IF(AMS!I656="","",AMS!I656)</f>
        <v/>
      </c>
      <c r="G636" s="56" t="str">
        <f>IF(AMS!J656="","",AMS!J656)</f>
        <v/>
      </c>
      <c r="H636" s="22" t="str">
        <f t="array" ref="H636">IF(A636&lt;&gt;" ",IFERROR(INDEX(Summary!$G$3:$G$1000,SMALL((Summary!$G$3:$G$1000="")/0.1%+ROW($3:$1000),ROW()-2)-2)&amp;"",""),"")</f>
        <v/>
      </c>
      <c r="I636" s="22" t="str">
        <f t="shared" si="38"/>
        <v/>
      </c>
      <c r="J636" s="22" t="str">
        <f t="shared" si="39"/>
        <v/>
      </c>
    </row>
    <row r="637" spans="1:10">
      <c r="A637" s="56" t="str">
        <f>IF(AMS!H657="","",AMS!H657)</f>
        <v/>
      </c>
      <c r="B637" s="22" t="str">
        <f t="shared" si="36"/>
        <v/>
      </c>
      <c r="C637" s="22" t="str">
        <f t="array" ref="C637">IFERROR(INDEX(Summary!$I$3:$I$1000,SMALL((Summary!$I$3:$I$1000="")/0.1%+ROW($3:$1000),ROW()-2)-2)&amp;"","")</f>
        <v/>
      </c>
      <c r="D637" s="22" t="str">
        <v/>
      </c>
      <c r="E637" s="22" t="str">
        <f t="shared" si="37"/>
        <v/>
      </c>
      <c r="F637" s="56" t="str">
        <f>IF(AMS!I657="","",AMS!I657)</f>
        <v/>
      </c>
      <c r="G637" s="56" t="str">
        <f>IF(AMS!J657="","",AMS!J657)</f>
        <v/>
      </c>
      <c r="H637" s="22" t="str">
        <f t="array" ref="H637">IF(A637&lt;&gt;" ",IFERROR(INDEX(Summary!$G$3:$G$1000,SMALL((Summary!$G$3:$G$1000="")/0.1%+ROW($3:$1000),ROW()-2)-2)&amp;"",""),"")</f>
        <v/>
      </c>
      <c r="I637" s="22" t="str">
        <f t="shared" si="38"/>
        <v/>
      </c>
      <c r="J637" s="22" t="str">
        <f t="shared" si="39"/>
        <v/>
      </c>
    </row>
    <row r="638" spans="1:10">
      <c r="A638" s="56" t="str">
        <f>IF(AMS!H658="","",AMS!H658)</f>
        <v/>
      </c>
      <c r="B638" s="22" t="str">
        <f t="shared" si="36"/>
        <v/>
      </c>
      <c r="C638" s="22" t="str">
        <f t="array" ref="C638">IFERROR(INDEX(Summary!$I$3:$I$1000,SMALL((Summary!$I$3:$I$1000="")/0.1%+ROW($3:$1000),ROW()-2)-2)&amp;"","")</f>
        <v/>
      </c>
      <c r="D638" s="22" t="str">
        <v/>
      </c>
      <c r="E638" s="22" t="str">
        <f t="shared" si="37"/>
        <v/>
      </c>
      <c r="F638" s="56" t="str">
        <f>IF(AMS!I658="","",AMS!I658)</f>
        <v/>
      </c>
      <c r="G638" s="56" t="str">
        <f>IF(AMS!J658="","",AMS!J658)</f>
        <v/>
      </c>
      <c r="H638" s="22" t="str">
        <f t="array" ref="H638">IF(A638&lt;&gt;" ",IFERROR(INDEX(Summary!$G$3:$G$1000,SMALL((Summary!$G$3:$G$1000="")/0.1%+ROW($3:$1000),ROW()-2)-2)&amp;"",""),"")</f>
        <v/>
      </c>
      <c r="I638" s="22" t="str">
        <f t="shared" si="38"/>
        <v/>
      </c>
      <c r="J638" s="22" t="str">
        <f t="shared" si="39"/>
        <v/>
      </c>
    </row>
    <row r="639" spans="1:10">
      <c r="A639" s="56" t="str">
        <f>IF(AMS!H659="","",AMS!H659)</f>
        <v/>
      </c>
      <c r="B639" s="22" t="str">
        <f t="shared" si="36"/>
        <v/>
      </c>
      <c r="C639" s="22" t="str">
        <f t="array" ref="C639">IFERROR(INDEX(Summary!$I$3:$I$1000,SMALL((Summary!$I$3:$I$1000="")/0.1%+ROW($3:$1000),ROW()-2)-2)&amp;"","")</f>
        <v/>
      </c>
      <c r="D639" s="22" t="str">
        <v/>
      </c>
      <c r="E639" s="22" t="str">
        <f t="shared" si="37"/>
        <v/>
      </c>
      <c r="F639" s="56" t="str">
        <f>IF(AMS!I659="","",AMS!I659)</f>
        <v/>
      </c>
      <c r="G639" s="56" t="str">
        <f>IF(AMS!J659="","",AMS!J659)</f>
        <v/>
      </c>
      <c r="H639" s="22" t="str">
        <f t="array" ref="H639">IF(A639&lt;&gt;" ",IFERROR(INDEX(Summary!$G$3:$G$1000,SMALL((Summary!$G$3:$G$1000="")/0.1%+ROW($3:$1000),ROW()-2)-2)&amp;"",""),"")</f>
        <v/>
      </c>
      <c r="I639" s="22" t="str">
        <f t="shared" si="38"/>
        <v/>
      </c>
      <c r="J639" s="22" t="str">
        <f t="shared" si="39"/>
        <v/>
      </c>
    </row>
    <row r="640" spans="1:10">
      <c r="A640" s="56" t="str">
        <f>IF(AMS!H660="","",AMS!H660)</f>
        <v/>
      </c>
      <c r="B640" s="22" t="str">
        <f t="shared" si="36"/>
        <v/>
      </c>
      <c r="C640" s="22" t="str">
        <f t="array" ref="C640">IFERROR(INDEX(Summary!$I$3:$I$1000,SMALL((Summary!$I$3:$I$1000="")/0.1%+ROW($3:$1000),ROW()-2)-2)&amp;"","")</f>
        <v/>
      </c>
      <c r="D640" s="22" t="str">
        <v/>
      </c>
      <c r="E640" s="22" t="str">
        <f t="shared" si="37"/>
        <v/>
      </c>
      <c r="F640" s="56" t="str">
        <f>IF(AMS!I660="","",AMS!I660)</f>
        <v/>
      </c>
      <c r="G640" s="56" t="str">
        <f>IF(AMS!J660="","",AMS!J660)</f>
        <v/>
      </c>
      <c r="H640" s="22" t="str">
        <f t="array" ref="H640">IF(A640&lt;&gt;" ",IFERROR(INDEX(Summary!$G$3:$G$1000,SMALL((Summary!$G$3:$G$1000="")/0.1%+ROW($3:$1000),ROW()-2)-2)&amp;"",""),"")</f>
        <v/>
      </c>
      <c r="I640" s="22" t="str">
        <f t="shared" si="38"/>
        <v/>
      </c>
      <c r="J640" s="22" t="str">
        <f t="shared" si="39"/>
        <v/>
      </c>
    </row>
    <row r="641" spans="1:10">
      <c r="A641" s="56" t="str">
        <f>IF(AMS!H661="","",AMS!H661)</f>
        <v/>
      </c>
      <c r="B641" s="22" t="str">
        <f t="shared" si="36"/>
        <v/>
      </c>
      <c r="C641" s="22" t="str">
        <f t="array" ref="C641">IFERROR(INDEX(Summary!$I$3:$I$1000,SMALL((Summary!$I$3:$I$1000="")/0.1%+ROW($3:$1000),ROW()-2)-2)&amp;"","")</f>
        <v/>
      </c>
      <c r="D641" s="22" t="str">
        <v/>
      </c>
      <c r="E641" s="22" t="str">
        <f t="shared" si="37"/>
        <v/>
      </c>
      <c r="F641" s="56" t="str">
        <f>IF(AMS!I661="","",AMS!I661)</f>
        <v/>
      </c>
      <c r="G641" s="56" t="str">
        <f>IF(AMS!J661="","",AMS!J661)</f>
        <v/>
      </c>
      <c r="H641" s="22" t="str">
        <f t="array" ref="H641">IF(A641&lt;&gt;" ",IFERROR(INDEX(Summary!$G$3:$G$1000,SMALL((Summary!$G$3:$G$1000="")/0.1%+ROW($3:$1000),ROW()-2)-2)&amp;"",""),"")</f>
        <v/>
      </c>
      <c r="I641" s="22" t="str">
        <f t="shared" si="38"/>
        <v/>
      </c>
      <c r="J641" s="22" t="str">
        <f t="shared" si="39"/>
        <v/>
      </c>
    </row>
    <row r="642" spans="1:10">
      <c r="A642" s="56" t="str">
        <f>IF(AMS!H662="","",AMS!H662)</f>
        <v/>
      </c>
      <c r="B642" s="22" t="str">
        <f t="shared" si="36"/>
        <v/>
      </c>
      <c r="C642" s="22" t="str">
        <f t="array" ref="C642">IFERROR(INDEX(Summary!$I$3:$I$1000,SMALL((Summary!$I$3:$I$1000="")/0.1%+ROW($3:$1000),ROW()-2)-2)&amp;"","")</f>
        <v/>
      </c>
      <c r="D642" s="22" t="str">
        <v/>
      </c>
      <c r="E642" s="22" t="str">
        <f t="shared" si="37"/>
        <v/>
      </c>
      <c r="F642" s="56" t="str">
        <f>IF(AMS!I662="","",AMS!I662)</f>
        <v/>
      </c>
      <c r="G642" s="56" t="str">
        <f>IF(AMS!J662="","",AMS!J662)</f>
        <v/>
      </c>
      <c r="H642" s="22" t="str">
        <f t="array" ref="H642">IF(A642&lt;&gt;" ",IFERROR(INDEX(Summary!$G$3:$G$1000,SMALL((Summary!$G$3:$G$1000="")/0.1%+ROW($3:$1000),ROW()-2)-2)&amp;"",""),"")</f>
        <v/>
      </c>
      <c r="I642" s="22" t="str">
        <f t="shared" si="38"/>
        <v/>
      </c>
      <c r="J642" s="22" t="str">
        <f t="shared" si="39"/>
        <v/>
      </c>
    </row>
    <row r="643" spans="1:10">
      <c r="A643" s="56" t="str">
        <f>IF(AMS!H663="","",AMS!H663)</f>
        <v/>
      </c>
      <c r="B643" s="22" t="str">
        <f t="shared" ref="B643:B706" si="40">IF(A643&lt;&gt;"",IFERROR(IF(SEARCH(".",A643),LEFT(SUBSTITUTE(A643,".",""),6)),LEFT(SUBSTITUTE(SUBSTITUTE(TRIM(A643)," ","")," ",""),6)),"")</f>
        <v/>
      </c>
      <c r="C643" s="22" t="str">
        <f t="array" ref="C643">IFERROR(INDEX(Summary!$I$3:$I$1000,SMALL((Summary!$I$3:$I$1000="")/0.1%+ROW($3:$1000),ROW()-2)-2)&amp;"","")</f>
        <v/>
      </c>
      <c r="D643" s="22" t="str">
        <v/>
      </c>
      <c r="E643" s="22" t="str">
        <f t="shared" ref="E643:E706" si="41">LEFT(D643,6)</f>
        <v/>
      </c>
      <c r="F643" s="56" t="str">
        <f>IF(AMS!I663="","",AMS!I663)</f>
        <v/>
      </c>
      <c r="G643" s="56" t="str">
        <f>IF(AMS!J663="","",AMS!J663)</f>
        <v/>
      </c>
      <c r="H643" s="22" t="str">
        <f t="array" ref="H643">IF(A643&lt;&gt;" ",IFERROR(INDEX(Summary!$G$3:$G$1000,SMALL((Summary!$G$3:$G$1000="")/0.1%+ROW($3:$1000),ROW()-2)-2)&amp;"",""),"")</f>
        <v/>
      </c>
      <c r="I643" s="22" t="str">
        <f t="shared" ref="I643:I706" si="42">B643&amp;F643</f>
        <v/>
      </c>
      <c r="J643" s="22" t="str">
        <f t="shared" ref="J643:J706" si="43">IF(D643="","",RIGHT(D643,LEN(D643)-6))</f>
        <v/>
      </c>
    </row>
    <row r="644" spans="1:10">
      <c r="A644" s="56" t="str">
        <f>IF(AMS!H664="","",AMS!H664)</f>
        <v/>
      </c>
      <c r="B644" s="22" t="str">
        <f t="shared" si="40"/>
        <v/>
      </c>
      <c r="C644" s="22" t="str">
        <f t="array" ref="C644">IFERROR(INDEX(Summary!$I$3:$I$1000,SMALL((Summary!$I$3:$I$1000="")/0.1%+ROW($3:$1000),ROW()-2)-2)&amp;"","")</f>
        <v/>
      </c>
      <c r="D644" s="22" t="str">
        <v/>
      </c>
      <c r="E644" s="22" t="str">
        <f t="shared" si="41"/>
        <v/>
      </c>
      <c r="F644" s="56" t="str">
        <f>IF(AMS!I664="","",AMS!I664)</f>
        <v/>
      </c>
      <c r="G644" s="56" t="str">
        <f>IF(AMS!J664="","",AMS!J664)</f>
        <v/>
      </c>
      <c r="H644" s="22" t="str">
        <f t="array" ref="H644">IF(A644&lt;&gt;" ",IFERROR(INDEX(Summary!$G$3:$G$1000,SMALL((Summary!$G$3:$G$1000="")/0.1%+ROW($3:$1000),ROW()-2)-2)&amp;"",""),"")</f>
        <v/>
      </c>
      <c r="I644" s="22" t="str">
        <f t="shared" si="42"/>
        <v/>
      </c>
      <c r="J644" s="22" t="str">
        <f t="shared" si="43"/>
        <v/>
      </c>
    </row>
    <row r="645" spans="1:10">
      <c r="A645" s="56" t="str">
        <f>IF(AMS!H665="","",AMS!H665)</f>
        <v/>
      </c>
      <c r="B645" s="22" t="str">
        <f t="shared" si="40"/>
        <v/>
      </c>
      <c r="C645" s="22" t="str">
        <f t="array" ref="C645">IFERROR(INDEX(Summary!$I$3:$I$1000,SMALL((Summary!$I$3:$I$1000="")/0.1%+ROW($3:$1000),ROW()-2)-2)&amp;"","")</f>
        <v/>
      </c>
      <c r="D645" s="22" t="str">
        <v/>
      </c>
      <c r="E645" s="22" t="str">
        <f t="shared" si="41"/>
        <v/>
      </c>
      <c r="F645" s="56" t="str">
        <f>IF(AMS!I665="","",AMS!I665)</f>
        <v/>
      </c>
      <c r="G645" s="56" t="str">
        <f>IF(AMS!J665="","",AMS!J665)</f>
        <v/>
      </c>
      <c r="H645" s="22" t="str">
        <f t="array" ref="H645">IF(A645&lt;&gt;" ",IFERROR(INDEX(Summary!$G$3:$G$1000,SMALL((Summary!$G$3:$G$1000="")/0.1%+ROW($3:$1000),ROW()-2)-2)&amp;"",""),"")</f>
        <v/>
      </c>
      <c r="I645" s="22" t="str">
        <f t="shared" si="42"/>
        <v/>
      </c>
      <c r="J645" s="22" t="str">
        <f t="shared" si="43"/>
        <v/>
      </c>
    </row>
    <row r="646" spans="1:10">
      <c r="A646" s="56" t="str">
        <f>IF(AMS!H666="","",AMS!H666)</f>
        <v/>
      </c>
      <c r="B646" s="22" t="str">
        <f t="shared" si="40"/>
        <v/>
      </c>
      <c r="C646" s="22" t="str">
        <f t="array" ref="C646">IFERROR(INDEX(Summary!$I$3:$I$1000,SMALL((Summary!$I$3:$I$1000="")/0.1%+ROW($3:$1000),ROW()-2)-2)&amp;"","")</f>
        <v/>
      </c>
      <c r="D646" s="22" t="str">
        <v/>
      </c>
      <c r="E646" s="22" t="str">
        <f t="shared" si="41"/>
        <v/>
      </c>
      <c r="F646" s="56" t="str">
        <f>IF(AMS!I666="","",AMS!I666)</f>
        <v/>
      </c>
      <c r="G646" s="56" t="str">
        <f>IF(AMS!J666="","",AMS!J666)</f>
        <v/>
      </c>
      <c r="H646" s="22" t="str">
        <f t="array" ref="H646">IF(A646&lt;&gt;" ",IFERROR(INDEX(Summary!$G$3:$G$1000,SMALL((Summary!$G$3:$G$1000="")/0.1%+ROW($3:$1000),ROW()-2)-2)&amp;"",""),"")</f>
        <v/>
      </c>
      <c r="I646" s="22" t="str">
        <f t="shared" si="42"/>
        <v/>
      </c>
      <c r="J646" s="22" t="str">
        <f t="shared" si="43"/>
        <v/>
      </c>
    </row>
    <row r="647" spans="1:10">
      <c r="A647" s="56" t="str">
        <f>IF(AMS!H667="","",AMS!H667)</f>
        <v/>
      </c>
      <c r="B647" s="22" t="str">
        <f t="shared" si="40"/>
        <v/>
      </c>
      <c r="C647" s="22" t="str">
        <f t="array" ref="C647">IFERROR(INDEX(Summary!$I$3:$I$1000,SMALL((Summary!$I$3:$I$1000="")/0.1%+ROW($3:$1000),ROW()-2)-2)&amp;"","")</f>
        <v/>
      </c>
      <c r="D647" s="22" t="str">
        <v/>
      </c>
      <c r="E647" s="22" t="str">
        <f t="shared" si="41"/>
        <v/>
      </c>
      <c r="F647" s="56" t="str">
        <f>IF(AMS!I667="","",AMS!I667)</f>
        <v/>
      </c>
      <c r="G647" s="56" t="str">
        <f>IF(AMS!J667="","",AMS!J667)</f>
        <v/>
      </c>
      <c r="H647" s="22" t="str">
        <f t="array" ref="H647">IF(A647&lt;&gt;" ",IFERROR(INDEX(Summary!$G$3:$G$1000,SMALL((Summary!$G$3:$G$1000="")/0.1%+ROW($3:$1000),ROW()-2)-2)&amp;"",""),"")</f>
        <v/>
      </c>
      <c r="I647" s="22" t="str">
        <f t="shared" si="42"/>
        <v/>
      </c>
      <c r="J647" s="22" t="str">
        <f t="shared" si="43"/>
        <v/>
      </c>
    </row>
    <row r="648" spans="1:10">
      <c r="A648" s="56" t="str">
        <f>IF(AMS!H668="","",AMS!H668)</f>
        <v/>
      </c>
      <c r="B648" s="22" t="str">
        <f t="shared" si="40"/>
        <v/>
      </c>
      <c r="C648" s="22" t="str">
        <f t="array" ref="C648">IFERROR(INDEX(Summary!$I$3:$I$1000,SMALL((Summary!$I$3:$I$1000="")/0.1%+ROW($3:$1000),ROW()-2)-2)&amp;"","")</f>
        <v/>
      </c>
      <c r="D648" s="22" t="str">
        <v/>
      </c>
      <c r="E648" s="22" t="str">
        <f t="shared" si="41"/>
        <v/>
      </c>
      <c r="F648" s="56" t="str">
        <f>IF(AMS!I668="","",AMS!I668)</f>
        <v/>
      </c>
      <c r="G648" s="56" t="str">
        <f>IF(AMS!J668="","",AMS!J668)</f>
        <v/>
      </c>
      <c r="H648" s="22" t="str">
        <f t="array" ref="H648">IF(A648&lt;&gt;" ",IFERROR(INDEX(Summary!$G$3:$G$1000,SMALL((Summary!$G$3:$G$1000="")/0.1%+ROW($3:$1000),ROW()-2)-2)&amp;"",""),"")</f>
        <v/>
      </c>
      <c r="I648" s="22" t="str">
        <f t="shared" si="42"/>
        <v/>
      </c>
      <c r="J648" s="22" t="str">
        <f t="shared" si="43"/>
        <v/>
      </c>
    </row>
    <row r="649" spans="1:10">
      <c r="A649" s="56" t="str">
        <f>IF(AMS!H669="","",AMS!H669)</f>
        <v/>
      </c>
      <c r="B649" s="22" t="str">
        <f t="shared" si="40"/>
        <v/>
      </c>
      <c r="C649" s="22" t="str">
        <f t="array" ref="C649">IFERROR(INDEX(Summary!$I$3:$I$1000,SMALL((Summary!$I$3:$I$1000="")/0.1%+ROW($3:$1000),ROW()-2)-2)&amp;"","")</f>
        <v/>
      </c>
      <c r="D649" s="22" t="str">
        <v/>
      </c>
      <c r="E649" s="22" t="str">
        <f t="shared" si="41"/>
        <v/>
      </c>
      <c r="F649" s="56" t="str">
        <f>IF(AMS!I669="","",AMS!I669)</f>
        <v/>
      </c>
      <c r="G649" s="56" t="str">
        <f>IF(AMS!J669="","",AMS!J669)</f>
        <v/>
      </c>
      <c r="H649" s="22" t="str">
        <f t="array" ref="H649">IF(A649&lt;&gt;" ",IFERROR(INDEX(Summary!$G$3:$G$1000,SMALL((Summary!$G$3:$G$1000="")/0.1%+ROW($3:$1000),ROW()-2)-2)&amp;"",""),"")</f>
        <v/>
      </c>
      <c r="I649" s="22" t="str">
        <f t="shared" si="42"/>
        <v/>
      </c>
      <c r="J649" s="22" t="str">
        <f t="shared" si="43"/>
        <v/>
      </c>
    </row>
    <row r="650" spans="1:10">
      <c r="A650" s="56" t="str">
        <f>IF(AMS!H670="","",AMS!H670)</f>
        <v/>
      </c>
      <c r="B650" s="22" t="str">
        <f t="shared" si="40"/>
        <v/>
      </c>
      <c r="C650" s="22" t="str">
        <f t="array" ref="C650">IFERROR(INDEX(Summary!$I$3:$I$1000,SMALL((Summary!$I$3:$I$1000="")/0.1%+ROW($3:$1000),ROW()-2)-2)&amp;"","")</f>
        <v/>
      </c>
      <c r="D650" s="22" t="str">
        <v/>
      </c>
      <c r="E650" s="22" t="str">
        <f t="shared" si="41"/>
        <v/>
      </c>
      <c r="F650" s="56" t="str">
        <f>IF(AMS!I670="","",AMS!I670)</f>
        <v/>
      </c>
      <c r="G650" s="56" t="str">
        <f>IF(AMS!J670="","",AMS!J670)</f>
        <v/>
      </c>
      <c r="H650" s="22" t="str">
        <f t="array" ref="H650">IF(A650&lt;&gt;" ",IFERROR(INDEX(Summary!$G$3:$G$1000,SMALL((Summary!$G$3:$G$1000="")/0.1%+ROW($3:$1000),ROW()-2)-2)&amp;"",""),"")</f>
        <v/>
      </c>
      <c r="I650" s="22" t="str">
        <f t="shared" si="42"/>
        <v/>
      </c>
      <c r="J650" s="22" t="str">
        <f t="shared" si="43"/>
        <v/>
      </c>
    </row>
    <row r="651" spans="1:10">
      <c r="A651" s="56" t="str">
        <f>IF(AMS!H671="","",AMS!H671)</f>
        <v/>
      </c>
      <c r="B651" s="22" t="str">
        <f t="shared" si="40"/>
        <v/>
      </c>
      <c r="C651" s="22" t="str">
        <f t="array" ref="C651">IFERROR(INDEX(Summary!$I$3:$I$1000,SMALL((Summary!$I$3:$I$1000="")/0.1%+ROW($3:$1000),ROW()-2)-2)&amp;"","")</f>
        <v/>
      </c>
      <c r="D651" s="22" t="str">
        <v/>
      </c>
      <c r="E651" s="22" t="str">
        <f t="shared" si="41"/>
        <v/>
      </c>
      <c r="F651" s="56" t="str">
        <f>IF(AMS!I671="","",AMS!I671)</f>
        <v/>
      </c>
      <c r="G651" s="56" t="str">
        <f>IF(AMS!J671="","",AMS!J671)</f>
        <v/>
      </c>
      <c r="H651" s="22" t="str">
        <f t="array" ref="H651">IF(A651&lt;&gt;" ",IFERROR(INDEX(Summary!$G$3:$G$1000,SMALL((Summary!$G$3:$G$1000="")/0.1%+ROW($3:$1000),ROW()-2)-2)&amp;"",""),"")</f>
        <v/>
      </c>
      <c r="I651" s="22" t="str">
        <f t="shared" si="42"/>
        <v/>
      </c>
      <c r="J651" s="22" t="str">
        <f t="shared" si="43"/>
        <v/>
      </c>
    </row>
    <row r="652" spans="1:10">
      <c r="A652" s="56" t="str">
        <f>IF(AMS!H672="","",AMS!H672)</f>
        <v/>
      </c>
      <c r="B652" s="22" t="str">
        <f t="shared" si="40"/>
        <v/>
      </c>
      <c r="C652" s="22" t="str">
        <f t="array" ref="C652">IFERROR(INDEX(Summary!$I$3:$I$1000,SMALL((Summary!$I$3:$I$1000="")/0.1%+ROW($3:$1000),ROW()-2)-2)&amp;"","")</f>
        <v/>
      </c>
      <c r="D652" s="22" t="str">
        <v/>
      </c>
      <c r="E652" s="22" t="str">
        <f t="shared" si="41"/>
        <v/>
      </c>
      <c r="F652" s="56" t="str">
        <f>IF(AMS!I672="","",AMS!I672)</f>
        <v/>
      </c>
      <c r="G652" s="56" t="str">
        <f>IF(AMS!J672="","",AMS!J672)</f>
        <v/>
      </c>
      <c r="H652" s="22" t="str">
        <f t="array" ref="H652">IF(A652&lt;&gt;" ",IFERROR(INDEX(Summary!$G$3:$G$1000,SMALL((Summary!$G$3:$G$1000="")/0.1%+ROW($3:$1000),ROW()-2)-2)&amp;"",""),"")</f>
        <v/>
      </c>
      <c r="I652" s="22" t="str">
        <f t="shared" si="42"/>
        <v/>
      </c>
      <c r="J652" s="22" t="str">
        <f t="shared" si="43"/>
        <v/>
      </c>
    </row>
    <row r="653" spans="1:10">
      <c r="A653" s="56" t="str">
        <f>IF(AMS!H673="","",AMS!H673)</f>
        <v/>
      </c>
      <c r="B653" s="22" t="str">
        <f t="shared" si="40"/>
        <v/>
      </c>
      <c r="C653" s="22" t="str">
        <f t="array" ref="C653">IFERROR(INDEX(Summary!$I$3:$I$1000,SMALL((Summary!$I$3:$I$1000="")/0.1%+ROW($3:$1000),ROW()-2)-2)&amp;"","")</f>
        <v/>
      </c>
      <c r="D653" s="22" t="str">
        <v/>
      </c>
      <c r="E653" s="22" t="str">
        <f t="shared" si="41"/>
        <v/>
      </c>
      <c r="F653" s="56" t="str">
        <f>IF(AMS!I673="","",AMS!I673)</f>
        <v/>
      </c>
      <c r="G653" s="56" t="str">
        <f>IF(AMS!J673="","",AMS!J673)</f>
        <v/>
      </c>
      <c r="H653" s="22" t="str">
        <f t="array" ref="H653">IF(A653&lt;&gt;" ",IFERROR(INDEX(Summary!$G$3:$G$1000,SMALL((Summary!$G$3:$G$1000="")/0.1%+ROW($3:$1000),ROW()-2)-2)&amp;"",""),"")</f>
        <v/>
      </c>
      <c r="I653" s="22" t="str">
        <f t="shared" si="42"/>
        <v/>
      </c>
      <c r="J653" s="22" t="str">
        <f t="shared" si="43"/>
        <v/>
      </c>
    </row>
    <row r="654" spans="1:10">
      <c r="A654" s="56" t="str">
        <f>IF(AMS!H674="","",AMS!H674)</f>
        <v/>
      </c>
      <c r="B654" s="22" t="str">
        <f t="shared" si="40"/>
        <v/>
      </c>
      <c r="C654" s="22" t="str">
        <f t="array" ref="C654">IFERROR(INDEX(Summary!$I$3:$I$1000,SMALL((Summary!$I$3:$I$1000="")/0.1%+ROW($3:$1000),ROW()-2)-2)&amp;"","")</f>
        <v/>
      </c>
      <c r="D654" s="22" t="str">
        <v/>
      </c>
      <c r="E654" s="22" t="str">
        <f t="shared" si="41"/>
        <v/>
      </c>
      <c r="F654" s="56" t="str">
        <f>IF(AMS!I674="","",AMS!I674)</f>
        <v/>
      </c>
      <c r="G654" s="56" t="str">
        <f>IF(AMS!J674="","",AMS!J674)</f>
        <v/>
      </c>
      <c r="H654" s="22" t="str">
        <f t="array" ref="H654">IF(A654&lt;&gt;" ",IFERROR(INDEX(Summary!$G$3:$G$1000,SMALL((Summary!$G$3:$G$1000="")/0.1%+ROW($3:$1000),ROW()-2)-2)&amp;"",""),"")</f>
        <v/>
      </c>
      <c r="I654" s="22" t="str">
        <f t="shared" si="42"/>
        <v/>
      </c>
      <c r="J654" s="22" t="str">
        <f t="shared" si="43"/>
        <v/>
      </c>
    </row>
    <row r="655" spans="1:10">
      <c r="A655" s="56" t="str">
        <f>IF(AMS!H675="","",AMS!H675)</f>
        <v/>
      </c>
      <c r="B655" s="22" t="str">
        <f t="shared" si="40"/>
        <v/>
      </c>
      <c r="C655" s="22" t="str">
        <f t="array" ref="C655">IFERROR(INDEX(Summary!$I$3:$I$1000,SMALL((Summary!$I$3:$I$1000="")/0.1%+ROW($3:$1000),ROW()-2)-2)&amp;"","")</f>
        <v/>
      </c>
      <c r="D655" s="22" t="str">
        <v/>
      </c>
      <c r="E655" s="22" t="str">
        <f t="shared" si="41"/>
        <v/>
      </c>
      <c r="F655" s="56" t="str">
        <f>IF(AMS!I675="","",AMS!I675)</f>
        <v/>
      </c>
      <c r="G655" s="56" t="str">
        <f>IF(AMS!J675="","",AMS!J675)</f>
        <v/>
      </c>
      <c r="H655" s="22" t="str">
        <f t="array" ref="H655">IF(A655&lt;&gt;" ",IFERROR(INDEX(Summary!$G$3:$G$1000,SMALL((Summary!$G$3:$G$1000="")/0.1%+ROW($3:$1000),ROW()-2)-2)&amp;"",""),"")</f>
        <v/>
      </c>
      <c r="I655" s="22" t="str">
        <f t="shared" si="42"/>
        <v/>
      </c>
      <c r="J655" s="22" t="str">
        <f t="shared" si="43"/>
        <v/>
      </c>
    </row>
    <row r="656" spans="1:10">
      <c r="A656" s="56" t="str">
        <f>IF(AMS!H676="","",AMS!H676)</f>
        <v/>
      </c>
      <c r="B656" s="22" t="str">
        <f t="shared" si="40"/>
        <v/>
      </c>
      <c r="C656" s="22" t="str">
        <f t="array" ref="C656">IFERROR(INDEX(Summary!$I$3:$I$1000,SMALL((Summary!$I$3:$I$1000="")/0.1%+ROW($3:$1000),ROW()-2)-2)&amp;"","")</f>
        <v/>
      </c>
      <c r="D656" s="22" t="str">
        <v/>
      </c>
      <c r="E656" s="22" t="str">
        <f t="shared" si="41"/>
        <v/>
      </c>
      <c r="F656" s="56" t="str">
        <f>IF(AMS!I676="","",AMS!I676)</f>
        <v/>
      </c>
      <c r="G656" s="56" t="str">
        <f>IF(AMS!J676="","",AMS!J676)</f>
        <v/>
      </c>
      <c r="H656" s="22" t="str">
        <f t="array" ref="H656">IF(A656&lt;&gt;" ",IFERROR(INDEX(Summary!$G$3:$G$1000,SMALL((Summary!$G$3:$G$1000="")/0.1%+ROW($3:$1000),ROW()-2)-2)&amp;"",""),"")</f>
        <v/>
      </c>
      <c r="I656" s="22" t="str">
        <f t="shared" si="42"/>
        <v/>
      </c>
      <c r="J656" s="22" t="str">
        <f t="shared" si="43"/>
        <v/>
      </c>
    </row>
    <row r="657" spans="1:10">
      <c r="A657" s="56" t="str">
        <f>IF(AMS!H677="","",AMS!H677)</f>
        <v/>
      </c>
      <c r="B657" s="22" t="str">
        <f t="shared" si="40"/>
        <v/>
      </c>
      <c r="C657" s="22" t="str">
        <f t="array" ref="C657">IFERROR(INDEX(Summary!$I$3:$I$1000,SMALL((Summary!$I$3:$I$1000="")/0.1%+ROW($3:$1000),ROW()-2)-2)&amp;"","")</f>
        <v/>
      </c>
      <c r="D657" s="22" t="str">
        <v/>
      </c>
      <c r="E657" s="22" t="str">
        <f t="shared" si="41"/>
        <v/>
      </c>
      <c r="F657" s="56" t="str">
        <f>IF(AMS!I677="","",AMS!I677)</f>
        <v/>
      </c>
      <c r="G657" s="56" t="str">
        <f>IF(AMS!J677="","",AMS!J677)</f>
        <v/>
      </c>
      <c r="H657" s="22" t="str">
        <f t="array" ref="H657">IF(A657&lt;&gt;" ",IFERROR(INDEX(Summary!$G$3:$G$1000,SMALL((Summary!$G$3:$G$1000="")/0.1%+ROW($3:$1000),ROW()-2)-2)&amp;"",""),"")</f>
        <v/>
      </c>
      <c r="I657" s="22" t="str">
        <f t="shared" si="42"/>
        <v/>
      </c>
      <c r="J657" s="22" t="str">
        <f t="shared" si="43"/>
        <v/>
      </c>
    </row>
    <row r="658" spans="1:10">
      <c r="A658" s="56" t="str">
        <f>IF(AMS!H678="","",AMS!H678)</f>
        <v/>
      </c>
      <c r="B658" s="22" t="str">
        <f t="shared" si="40"/>
        <v/>
      </c>
      <c r="C658" s="22" t="str">
        <f t="array" ref="C658">IFERROR(INDEX(Summary!$I$3:$I$1000,SMALL((Summary!$I$3:$I$1000="")/0.1%+ROW($3:$1000),ROW()-2)-2)&amp;"","")</f>
        <v/>
      </c>
      <c r="D658" s="22" t="str">
        <v/>
      </c>
      <c r="E658" s="22" t="str">
        <f t="shared" si="41"/>
        <v/>
      </c>
      <c r="F658" s="56" t="str">
        <f>IF(AMS!I678="","",AMS!I678)</f>
        <v/>
      </c>
      <c r="G658" s="56" t="str">
        <f>IF(AMS!J678="","",AMS!J678)</f>
        <v/>
      </c>
      <c r="H658" s="22" t="str">
        <f t="array" ref="H658">IF(A658&lt;&gt;" ",IFERROR(INDEX(Summary!$G$3:$G$1000,SMALL((Summary!$G$3:$G$1000="")/0.1%+ROW($3:$1000),ROW()-2)-2)&amp;"",""),"")</f>
        <v/>
      </c>
      <c r="I658" s="22" t="str">
        <f t="shared" si="42"/>
        <v/>
      </c>
      <c r="J658" s="22" t="str">
        <f t="shared" si="43"/>
        <v/>
      </c>
    </row>
    <row r="659" spans="1:10">
      <c r="A659" s="56" t="str">
        <f>IF(AMS!H679="","",AMS!H679)</f>
        <v/>
      </c>
      <c r="B659" s="22" t="str">
        <f t="shared" si="40"/>
        <v/>
      </c>
      <c r="C659" s="22" t="str">
        <f t="array" ref="C659">IFERROR(INDEX(Summary!$I$3:$I$1000,SMALL((Summary!$I$3:$I$1000="")/0.1%+ROW($3:$1000),ROW()-2)-2)&amp;"","")</f>
        <v/>
      </c>
      <c r="D659" s="22" t="str">
        <v/>
      </c>
      <c r="E659" s="22" t="str">
        <f t="shared" si="41"/>
        <v/>
      </c>
      <c r="F659" s="56" t="str">
        <f>IF(AMS!I679="","",AMS!I679)</f>
        <v/>
      </c>
      <c r="G659" s="56" t="str">
        <f>IF(AMS!J679="","",AMS!J679)</f>
        <v/>
      </c>
      <c r="H659" s="22" t="str">
        <f t="array" ref="H659">IF(A659&lt;&gt;" ",IFERROR(INDEX(Summary!$G$3:$G$1000,SMALL((Summary!$G$3:$G$1000="")/0.1%+ROW($3:$1000),ROW()-2)-2)&amp;"",""),"")</f>
        <v/>
      </c>
      <c r="I659" s="22" t="str">
        <f t="shared" si="42"/>
        <v/>
      </c>
      <c r="J659" s="22" t="str">
        <f t="shared" si="43"/>
        <v/>
      </c>
    </row>
    <row r="660" spans="1:10">
      <c r="A660" s="56" t="str">
        <f>IF(AMS!H680="","",AMS!H680)</f>
        <v/>
      </c>
      <c r="B660" s="22" t="str">
        <f t="shared" si="40"/>
        <v/>
      </c>
      <c r="C660" s="22" t="str">
        <f t="array" ref="C660">IFERROR(INDEX(Summary!$I$3:$I$1000,SMALL((Summary!$I$3:$I$1000="")/0.1%+ROW($3:$1000),ROW()-2)-2)&amp;"","")</f>
        <v/>
      </c>
      <c r="D660" s="22" t="str">
        <v/>
      </c>
      <c r="E660" s="22" t="str">
        <f t="shared" si="41"/>
        <v/>
      </c>
      <c r="F660" s="56" t="str">
        <f>IF(AMS!I680="","",AMS!I680)</f>
        <v/>
      </c>
      <c r="G660" s="56" t="str">
        <f>IF(AMS!J680="","",AMS!J680)</f>
        <v/>
      </c>
      <c r="H660" s="22" t="str">
        <f t="array" ref="H660">IF(A660&lt;&gt;" ",IFERROR(INDEX(Summary!$G$3:$G$1000,SMALL((Summary!$G$3:$G$1000="")/0.1%+ROW($3:$1000),ROW()-2)-2)&amp;"",""),"")</f>
        <v/>
      </c>
      <c r="I660" s="22" t="str">
        <f t="shared" si="42"/>
        <v/>
      </c>
      <c r="J660" s="22" t="str">
        <f t="shared" si="43"/>
        <v/>
      </c>
    </row>
    <row r="661" spans="1:10">
      <c r="A661" s="56" t="str">
        <f>IF(AMS!H681="","",AMS!H681)</f>
        <v/>
      </c>
      <c r="B661" s="22" t="str">
        <f t="shared" si="40"/>
        <v/>
      </c>
      <c r="C661" s="22" t="str">
        <f t="array" ref="C661">IFERROR(INDEX(Summary!$I$3:$I$1000,SMALL((Summary!$I$3:$I$1000="")/0.1%+ROW($3:$1000),ROW()-2)-2)&amp;"","")</f>
        <v/>
      </c>
      <c r="D661" s="22" t="str">
        <v/>
      </c>
      <c r="E661" s="22" t="str">
        <f t="shared" si="41"/>
        <v/>
      </c>
      <c r="F661" s="56" t="str">
        <f>IF(AMS!I681="","",AMS!I681)</f>
        <v/>
      </c>
      <c r="G661" s="56" t="str">
        <f>IF(AMS!J681="","",AMS!J681)</f>
        <v/>
      </c>
      <c r="H661" s="22" t="str">
        <f t="array" ref="H661">IF(A661&lt;&gt;" ",IFERROR(INDEX(Summary!$G$3:$G$1000,SMALL((Summary!$G$3:$G$1000="")/0.1%+ROW($3:$1000),ROW()-2)-2)&amp;"",""),"")</f>
        <v/>
      </c>
      <c r="I661" s="22" t="str">
        <f t="shared" si="42"/>
        <v/>
      </c>
      <c r="J661" s="22" t="str">
        <f t="shared" si="43"/>
        <v/>
      </c>
    </row>
    <row r="662" spans="1:10">
      <c r="A662" s="56" t="str">
        <f>IF(AMS!H682="","",AMS!H682)</f>
        <v/>
      </c>
      <c r="B662" s="22" t="str">
        <f t="shared" si="40"/>
        <v/>
      </c>
      <c r="C662" s="22" t="str">
        <f t="array" ref="C662">IFERROR(INDEX(Summary!$I$3:$I$1000,SMALL((Summary!$I$3:$I$1000="")/0.1%+ROW($3:$1000),ROW()-2)-2)&amp;"","")</f>
        <v/>
      </c>
      <c r="D662" s="22" t="str">
        <v/>
      </c>
      <c r="E662" s="22" t="str">
        <f t="shared" si="41"/>
        <v/>
      </c>
      <c r="F662" s="56" t="str">
        <f>IF(AMS!I682="","",AMS!I682)</f>
        <v/>
      </c>
      <c r="G662" s="56" t="str">
        <f>IF(AMS!J682="","",AMS!J682)</f>
        <v/>
      </c>
      <c r="H662" s="22" t="str">
        <f t="array" ref="H662">IF(A662&lt;&gt;" ",IFERROR(INDEX(Summary!$G$3:$G$1000,SMALL((Summary!$G$3:$G$1000="")/0.1%+ROW($3:$1000),ROW()-2)-2)&amp;"",""),"")</f>
        <v/>
      </c>
      <c r="I662" s="22" t="str">
        <f t="shared" si="42"/>
        <v/>
      </c>
      <c r="J662" s="22" t="str">
        <f t="shared" si="43"/>
        <v/>
      </c>
    </row>
    <row r="663" spans="1:10">
      <c r="A663" s="56" t="str">
        <f>IF(AMS!H683="","",AMS!H683)</f>
        <v/>
      </c>
      <c r="B663" s="22" t="str">
        <f t="shared" si="40"/>
        <v/>
      </c>
      <c r="C663" s="22" t="str">
        <f t="array" ref="C663">IFERROR(INDEX(Summary!$I$3:$I$1000,SMALL((Summary!$I$3:$I$1000="")/0.1%+ROW($3:$1000),ROW()-2)-2)&amp;"","")</f>
        <v/>
      </c>
      <c r="D663" s="22" t="str">
        <v/>
      </c>
      <c r="E663" s="22" t="str">
        <f t="shared" si="41"/>
        <v/>
      </c>
      <c r="F663" s="56" t="str">
        <f>IF(AMS!I683="","",AMS!I683)</f>
        <v/>
      </c>
      <c r="G663" s="56" t="str">
        <f>IF(AMS!J683="","",AMS!J683)</f>
        <v/>
      </c>
      <c r="H663" s="22" t="str">
        <f t="array" ref="H663">IF(A663&lt;&gt;" ",IFERROR(INDEX(Summary!$G$3:$G$1000,SMALL((Summary!$G$3:$G$1000="")/0.1%+ROW($3:$1000),ROW()-2)-2)&amp;"",""),"")</f>
        <v/>
      </c>
      <c r="I663" s="22" t="str">
        <f t="shared" si="42"/>
        <v/>
      </c>
      <c r="J663" s="22" t="str">
        <f t="shared" si="43"/>
        <v/>
      </c>
    </row>
    <row r="664" spans="1:10">
      <c r="A664" s="56" t="str">
        <f>IF(AMS!H684="","",AMS!H684)</f>
        <v/>
      </c>
      <c r="B664" s="22" t="str">
        <f t="shared" si="40"/>
        <v/>
      </c>
      <c r="C664" s="22" t="str">
        <f t="array" ref="C664">IFERROR(INDEX(Summary!$I$3:$I$1000,SMALL((Summary!$I$3:$I$1000="")/0.1%+ROW($3:$1000),ROW()-2)-2)&amp;"","")</f>
        <v/>
      </c>
      <c r="D664" s="22" t="str">
        <v/>
      </c>
      <c r="E664" s="22" t="str">
        <f t="shared" si="41"/>
        <v/>
      </c>
      <c r="F664" s="56" t="str">
        <f>IF(AMS!I684="","",AMS!I684)</f>
        <v/>
      </c>
      <c r="G664" s="56" t="str">
        <f>IF(AMS!J684="","",AMS!J684)</f>
        <v/>
      </c>
      <c r="H664" s="22" t="str">
        <f t="array" ref="H664">IF(A664&lt;&gt;" ",IFERROR(INDEX(Summary!$G$3:$G$1000,SMALL((Summary!$G$3:$G$1000="")/0.1%+ROW($3:$1000),ROW()-2)-2)&amp;"",""),"")</f>
        <v/>
      </c>
      <c r="I664" s="22" t="str">
        <f t="shared" si="42"/>
        <v/>
      </c>
      <c r="J664" s="22" t="str">
        <f t="shared" si="43"/>
        <v/>
      </c>
    </row>
    <row r="665" spans="1:10">
      <c r="A665" s="56" t="str">
        <f>IF(AMS!H685="","",AMS!H685)</f>
        <v/>
      </c>
      <c r="B665" s="22" t="str">
        <f t="shared" si="40"/>
        <v/>
      </c>
      <c r="C665" s="22" t="str">
        <f t="array" ref="C665">IFERROR(INDEX(Summary!$I$3:$I$1000,SMALL((Summary!$I$3:$I$1000="")/0.1%+ROW($3:$1000),ROW()-2)-2)&amp;"","")</f>
        <v/>
      </c>
      <c r="D665" s="22" t="str">
        <v/>
      </c>
      <c r="E665" s="22" t="str">
        <f t="shared" si="41"/>
        <v/>
      </c>
      <c r="F665" s="56" t="str">
        <f>IF(AMS!I685="","",AMS!I685)</f>
        <v/>
      </c>
      <c r="G665" s="56" t="str">
        <f>IF(AMS!J685="","",AMS!J685)</f>
        <v/>
      </c>
      <c r="H665" s="22" t="str">
        <f t="array" ref="H665">IF(A665&lt;&gt;" ",IFERROR(INDEX(Summary!$G$3:$G$1000,SMALL((Summary!$G$3:$G$1000="")/0.1%+ROW($3:$1000),ROW()-2)-2)&amp;"",""),"")</f>
        <v/>
      </c>
      <c r="I665" s="22" t="str">
        <f t="shared" si="42"/>
        <v/>
      </c>
      <c r="J665" s="22" t="str">
        <f t="shared" si="43"/>
        <v/>
      </c>
    </row>
    <row r="666" spans="1:10">
      <c r="A666" s="56" t="str">
        <f>IF(AMS!H686="","",AMS!H686)</f>
        <v/>
      </c>
      <c r="B666" s="22" t="str">
        <f t="shared" si="40"/>
        <v/>
      </c>
      <c r="C666" s="22" t="str">
        <f t="array" ref="C666">IFERROR(INDEX(Summary!$I$3:$I$1000,SMALL((Summary!$I$3:$I$1000="")/0.1%+ROW($3:$1000),ROW()-2)-2)&amp;"","")</f>
        <v/>
      </c>
      <c r="D666" s="22" t="str">
        <v/>
      </c>
      <c r="E666" s="22" t="str">
        <f t="shared" si="41"/>
        <v/>
      </c>
      <c r="F666" s="56" t="str">
        <f>IF(AMS!I686="","",AMS!I686)</f>
        <v/>
      </c>
      <c r="G666" s="56" t="str">
        <f>IF(AMS!J686="","",AMS!J686)</f>
        <v/>
      </c>
      <c r="H666" s="22" t="str">
        <f t="array" ref="H666">IF(A666&lt;&gt;" ",IFERROR(INDEX(Summary!$G$3:$G$1000,SMALL((Summary!$G$3:$G$1000="")/0.1%+ROW($3:$1000),ROW()-2)-2)&amp;"",""),"")</f>
        <v/>
      </c>
      <c r="I666" s="22" t="str">
        <f t="shared" si="42"/>
        <v/>
      </c>
      <c r="J666" s="22" t="str">
        <f t="shared" si="43"/>
        <v/>
      </c>
    </row>
    <row r="667" spans="1:10">
      <c r="A667" s="56" t="str">
        <f>IF(AMS!H687="","",AMS!H687)</f>
        <v/>
      </c>
      <c r="B667" s="22" t="str">
        <f t="shared" si="40"/>
        <v/>
      </c>
      <c r="C667" s="22" t="str">
        <f t="array" ref="C667">IFERROR(INDEX(Summary!$I$3:$I$1000,SMALL((Summary!$I$3:$I$1000="")/0.1%+ROW($3:$1000),ROW()-2)-2)&amp;"","")</f>
        <v/>
      </c>
      <c r="D667" s="22" t="str">
        <v/>
      </c>
      <c r="E667" s="22" t="str">
        <f t="shared" si="41"/>
        <v/>
      </c>
      <c r="F667" s="56" t="str">
        <f>IF(AMS!I687="","",AMS!I687)</f>
        <v/>
      </c>
      <c r="G667" s="56" t="str">
        <f>IF(AMS!J687="","",AMS!J687)</f>
        <v/>
      </c>
      <c r="H667" s="22" t="str">
        <f t="array" ref="H667">IF(A667&lt;&gt;" ",IFERROR(INDEX(Summary!$G$3:$G$1000,SMALL((Summary!$G$3:$G$1000="")/0.1%+ROW($3:$1000),ROW()-2)-2)&amp;"",""),"")</f>
        <v/>
      </c>
      <c r="I667" s="22" t="str">
        <f t="shared" si="42"/>
        <v/>
      </c>
      <c r="J667" s="22" t="str">
        <f t="shared" si="43"/>
        <v/>
      </c>
    </row>
    <row r="668" spans="1:10">
      <c r="A668" s="56" t="str">
        <f>IF(AMS!H688="","",AMS!H688)</f>
        <v/>
      </c>
      <c r="B668" s="22" t="str">
        <f t="shared" si="40"/>
        <v/>
      </c>
      <c r="C668" s="22" t="str">
        <f t="array" ref="C668">IFERROR(INDEX(Summary!$I$3:$I$1000,SMALL((Summary!$I$3:$I$1000="")/0.1%+ROW($3:$1000),ROW()-2)-2)&amp;"","")</f>
        <v/>
      </c>
      <c r="D668" s="22" t="str">
        <v/>
      </c>
      <c r="E668" s="22" t="str">
        <f t="shared" si="41"/>
        <v/>
      </c>
      <c r="F668" s="56" t="str">
        <f>IF(AMS!I688="","",AMS!I688)</f>
        <v/>
      </c>
      <c r="G668" s="56" t="str">
        <f>IF(AMS!J688="","",AMS!J688)</f>
        <v/>
      </c>
      <c r="H668" s="22" t="str">
        <f t="array" ref="H668">IF(A668&lt;&gt;" ",IFERROR(INDEX(Summary!$G$3:$G$1000,SMALL((Summary!$G$3:$G$1000="")/0.1%+ROW($3:$1000),ROW()-2)-2)&amp;"",""),"")</f>
        <v/>
      </c>
      <c r="I668" s="22" t="str">
        <f t="shared" si="42"/>
        <v/>
      </c>
      <c r="J668" s="22" t="str">
        <f t="shared" si="43"/>
        <v/>
      </c>
    </row>
    <row r="669" spans="1:10">
      <c r="A669" s="56" t="str">
        <f>IF(AMS!H689="","",AMS!H689)</f>
        <v/>
      </c>
      <c r="B669" s="22" t="str">
        <f t="shared" si="40"/>
        <v/>
      </c>
      <c r="C669" s="22" t="str">
        <f t="array" ref="C669">IFERROR(INDEX(Summary!$I$3:$I$1000,SMALL((Summary!$I$3:$I$1000="")/0.1%+ROW($3:$1000),ROW()-2)-2)&amp;"","")</f>
        <v/>
      </c>
      <c r="D669" s="22" t="str">
        <v/>
      </c>
      <c r="E669" s="22" t="str">
        <f t="shared" si="41"/>
        <v/>
      </c>
      <c r="F669" s="56" t="str">
        <f>IF(AMS!I689="","",AMS!I689)</f>
        <v/>
      </c>
      <c r="G669" s="56" t="str">
        <f>IF(AMS!J689="","",AMS!J689)</f>
        <v/>
      </c>
      <c r="H669" s="22" t="str">
        <f t="array" ref="H669">IF(A669&lt;&gt;" ",IFERROR(INDEX(Summary!$G$3:$G$1000,SMALL((Summary!$G$3:$G$1000="")/0.1%+ROW($3:$1000),ROW()-2)-2)&amp;"",""),"")</f>
        <v/>
      </c>
      <c r="I669" s="22" t="str">
        <f t="shared" si="42"/>
        <v/>
      </c>
      <c r="J669" s="22" t="str">
        <f t="shared" si="43"/>
        <v/>
      </c>
    </row>
    <row r="670" spans="1:10">
      <c r="A670" s="56" t="str">
        <f>IF(AMS!H690="","",AMS!H690)</f>
        <v/>
      </c>
      <c r="B670" s="22" t="str">
        <f t="shared" si="40"/>
        <v/>
      </c>
      <c r="C670" s="22" t="str">
        <f t="array" ref="C670">IFERROR(INDEX(Summary!$I$3:$I$1000,SMALL((Summary!$I$3:$I$1000="")/0.1%+ROW($3:$1000),ROW()-2)-2)&amp;"","")</f>
        <v/>
      </c>
      <c r="D670" s="22" t="str">
        <v/>
      </c>
      <c r="E670" s="22" t="str">
        <f t="shared" si="41"/>
        <v/>
      </c>
      <c r="F670" s="56" t="str">
        <f>IF(AMS!I690="","",AMS!I690)</f>
        <v/>
      </c>
      <c r="G670" s="56" t="str">
        <f>IF(AMS!J690="","",AMS!J690)</f>
        <v/>
      </c>
      <c r="H670" s="22" t="str">
        <f t="array" ref="H670">IF(A670&lt;&gt;" ",IFERROR(INDEX(Summary!$G$3:$G$1000,SMALL((Summary!$G$3:$G$1000="")/0.1%+ROW($3:$1000),ROW()-2)-2)&amp;"",""),"")</f>
        <v/>
      </c>
      <c r="I670" s="22" t="str">
        <f t="shared" si="42"/>
        <v/>
      </c>
      <c r="J670" s="22" t="str">
        <f t="shared" si="43"/>
        <v/>
      </c>
    </row>
    <row r="671" spans="1:10">
      <c r="A671" s="56" t="str">
        <f>IF(AMS!H691="","",AMS!H691)</f>
        <v/>
      </c>
      <c r="B671" s="22" t="str">
        <f t="shared" si="40"/>
        <v/>
      </c>
      <c r="C671" s="22" t="str">
        <f t="array" ref="C671">IFERROR(INDEX(Summary!$I$3:$I$1000,SMALL((Summary!$I$3:$I$1000="")/0.1%+ROW($3:$1000),ROW()-2)-2)&amp;"","")</f>
        <v/>
      </c>
      <c r="D671" s="22" t="str">
        <v/>
      </c>
      <c r="E671" s="22" t="str">
        <f t="shared" si="41"/>
        <v/>
      </c>
      <c r="F671" s="56" t="str">
        <f>IF(AMS!I691="","",AMS!I691)</f>
        <v/>
      </c>
      <c r="G671" s="56" t="str">
        <f>IF(AMS!J691="","",AMS!J691)</f>
        <v/>
      </c>
      <c r="H671" s="22" t="str">
        <f t="array" ref="H671">IF(A671&lt;&gt;" ",IFERROR(INDEX(Summary!$G$3:$G$1000,SMALL((Summary!$G$3:$G$1000="")/0.1%+ROW($3:$1000),ROW()-2)-2)&amp;"",""),"")</f>
        <v/>
      </c>
      <c r="I671" s="22" t="str">
        <f t="shared" si="42"/>
        <v/>
      </c>
      <c r="J671" s="22" t="str">
        <f t="shared" si="43"/>
        <v/>
      </c>
    </row>
    <row r="672" spans="1:10">
      <c r="A672" s="56" t="str">
        <f>IF(AMS!H692="","",AMS!H692)</f>
        <v/>
      </c>
      <c r="B672" s="22" t="str">
        <f t="shared" si="40"/>
        <v/>
      </c>
      <c r="C672" s="22" t="str">
        <f t="array" ref="C672">IFERROR(INDEX(Summary!$I$3:$I$1000,SMALL((Summary!$I$3:$I$1000="")/0.1%+ROW($3:$1000),ROW()-2)-2)&amp;"","")</f>
        <v/>
      </c>
      <c r="D672" s="22" t="str">
        <v/>
      </c>
      <c r="E672" s="22" t="str">
        <f t="shared" si="41"/>
        <v/>
      </c>
      <c r="F672" s="56" t="str">
        <f>IF(AMS!I692="","",AMS!I692)</f>
        <v/>
      </c>
      <c r="G672" s="56" t="str">
        <f>IF(AMS!J692="","",AMS!J692)</f>
        <v/>
      </c>
      <c r="H672" s="22" t="str">
        <f t="array" ref="H672">IF(A672&lt;&gt;" ",IFERROR(INDEX(Summary!$G$3:$G$1000,SMALL((Summary!$G$3:$G$1000="")/0.1%+ROW($3:$1000),ROW()-2)-2)&amp;"",""),"")</f>
        <v/>
      </c>
      <c r="I672" s="22" t="str">
        <f t="shared" si="42"/>
        <v/>
      </c>
      <c r="J672" s="22" t="str">
        <f t="shared" si="43"/>
        <v/>
      </c>
    </row>
    <row r="673" spans="1:10">
      <c r="A673" s="56" t="str">
        <f>IF(AMS!H693="","",AMS!H693)</f>
        <v/>
      </c>
      <c r="B673" s="22" t="str">
        <f t="shared" si="40"/>
        <v/>
      </c>
      <c r="C673" s="22" t="str">
        <f t="array" ref="C673">IFERROR(INDEX(Summary!$I$3:$I$1000,SMALL((Summary!$I$3:$I$1000="")/0.1%+ROW($3:$1000),ROW()-2)-2)&amp;"","")</f>
        <v/>
      </c>
      <c r="D673" s="22" t="str">
        <v/>
      </c>
      <c r="E673" s="22" t="str">
        <f t="shared" si="41"/>
        <v/>
      </c>
      <c r="F673" s="56" t="str">
        <f>IF(AMS!I693="","",AMS!I693)</f>
        <v/>
      </c>
      <c r="G673" s="56" t="str">
        <f>IF(AMS!J693="","",AMS!J693)</f>
        <v/>
      </c>
      <c r="H673" s="22" t="str">
        <f t="array" ref="H673">IF(A673&lt;&gt;" ",IFERROR(INDEX(Summary!$G$3:$G$1000,SMALL((Summary!$G$3:$G$1000="")/0.1%+ROW($3:$1000),ROW()-2)-2)&amp;"",""),"")</f>
        <v/>
      </c>
      <c r="I673" s="22" t="str">
        <f t="shared" si="42"/>
        <v/>
      </c>
      <c r="J673" s="22" t="str">
        <f t="shared" si="43"/>
        <v/>
      </c>
    </row>
    <row r="674" spans="1:10">
      <c r="A674" s="56" t="str">
        <f>IF(AMS!H694="","",AMS!H694)</f>
        <v/>
      </c>
      <c r="B674" s="22" t="str">
        <f t="shared" si="40"/>
        <v/>
      </c>
      <c r="C674" s="22" t="str">
        <f t="array" ref="C674">IFERROR(INDEX(Summary!$I$3:$I$1000,SMALL((Summary!$I$3:$I$1000="")/0.1%+ROW($3:$1000),ROW()-2)-2)&amp;"","")</f>
        <v/>
      </c>
      <c r="D674" s="22" t="str">
        <v/>
      </c>
      <c r="E674" s="22" t="str">
        <f t="shared" si="41"/>
        <v/>
      </c>
      <c r="F674" s="56" t="str">
        <f>IF(AMS!I694="","",AMS!I694)</f>
        <v/>
      </c>
      <c r="G674" s="56" t="str">
        <f>IF(AMS!J694="","",AMS!J694)</f>
        <v/>
      </c>
      <c r="H674" s="22" t="str">
        <f t="array" ref="H674">IF(A674&lt;&gt;" ",IFERROR(INDEX(Summary!$G$3:$G$1000,SMALL((Summary!$G$3:$G$1000="")/0.1%+ROW($3:$1000),ROW()-2)-2)&amp;"",""),"")</f>
        <v/>
      </c>
      <c r="I674" s="22" t="str">
        <f t="shared" si="42"/>
        <v/>
      </c>
      <c r="J674" s="22" t="str">
        <f t="shared" si="43"/>
        <v/>
      </c>
    </row>
    <row r="675" spans="1:10">
      <c r="A675" s="56" t="str">
        <f>IF(AMS!H695="","",AMS!H695)</f>
        <v/>
      </c>
      <c r="B675" s="22" t="str">
        <f t="shared" si="40"/>
        <v/>
      </c>
      <c r="C675" s="22" t="str">
        <f t="array" ref="C675">IFERROR(INDEX(Summary!$I$3:$I$1000,SMALL((Summary!$I$3:$I$1000="")/0.1%+ROW($3:$1000),ROW()-2)-2)&amp;"","")</f>
        <v/>
      </c>
      <c r="D675" s="22" t="str">
        <v/>
      </c>
      <c r="E675" s="22" t="str">
        <f t="shared" si="41"/>
        <v/>
      </c>
      <c r="F675" s="56" t="str">
        <f>IF(AMS!I695="","",AMS!I695)</f>
        <v/>
      </c>
      <c r="G675" s="56" t="str">
        <f>IF(AMS!J695="","",AMS!J695)</f>
        <v/>
      </c>
      <c r="H675" s="22" t="str">
        <f t="array" ref="H675">IF(A675&lt;&gt;" ",IFERROR(INDEX(Summary!$G$3:$G$1000,SMALL((Summary!$G$3:$G$1000="")/0.1%+ROW($3:$1000),ROW()-2)-2)&amp;"",""),"")</f>
        <v/>
      </c>
      <c r="I675" s="22" t="str">
        <f t="shared" si="42"/>
        <v/>
      </c>
      <c r="J675" s="22" t="str">
        <f t="shared" si="43"/>
        <v/>
      </c>
    </row>
    <row r="676" spans="1:10">
      <c r="A676" s="56" t="str">
        <f>IF(AMS!H696="","",AMS!H696)</f>
        <v/>
      </c>
      <c r="B676" s="22" t="str">
        <f t="shared" si="40"/>
        <v/>
      </c>
      <c r="C676" s="22" t="str">
        <f t="array" ref="C676">IFERROR(INDEX(Summary!$I$3:$I$1000,SMALL((Summary!$I$3:$I$1000="")/0.1%+ROW($3:$1000),ROW()-2)-2)&amp;"","")</f>
        <v/>
      </c>
      <c r="D676" s="22" t="str">
        <v/>
      </c>
      <c r="E676" s="22" t="str">
        <f t="shared" si="41"/>
        <v/>
      </c>
      <c r="F676" s="56" t="str">
        <f>IF(AMS!I696="","",AMS!I696)</f>
        <v/>
      </c>
      <c r="G676" s="56" t="str">
        <f>IF(AMS!J696="","",AMS!J696)</f>
        <v/>
      </c>
      <c r="H676" s="22" t="str">
        <f t="array" ref="H676">IF(A676&lt;&gt;" ",IFERROR(INDEX(Summary!$G$3:$G$1000,SMALL((Summary!$G$3:$G$1000="")/0.1%+ROW($3:$1000),ROW()-2)-2)&amp;"",""),"")</f>
        <v/>
      </c>
      <c r="I676" s="22" t="str">
        <f t="shared" si="42"/>
        <v/>
      </c>
      <c r="J676" s="22" t="str">
        <f t="shared" si="43"/>
        <v/>
      </c>
    </row>
    <row r="677" spans="1:10">
      <c r="A677" s="56" t="str">
        <f>IF(AMS!H697="","",AMS!H697)</f>
        <v/>
      </c>
      <c r="B677" s="22" t="str">
        <f t="shared" si="40"/>
        <v/>
      </c>
      <c r="C677" s="22" t="str">
        <f t="array" ref="C677">IFERROR(INDEX(Summary!$I$3:$I$1000,SMALL((Summary!$I$3:$I$1000="")/0.1%+ROW($3:$1000),ROW()-2)-2)&amp;"","")</f>
        <v/>
      </c>
      <c r="D677" s="22" t="str">
        <v/>
      </c>
      <c r="E677" s="22" t="str">
        <f t="shared" si="41"/>
        <v/>
      </c>
      <c r="F677" s="56" t="str">
        <f>IF(AMS!I697="","",AMS!I697)</f>
        <v/>
      </c>
      <c r="G677" s="56" t="str">
        <f>IF(AMS!J697="","",AMS!J697)</f>
        <v/>
      </c>
      <c r="H677" s="22" t="str">
        <f t="array" ref="H677">IF(A677&lt;&gt;" ",IFERROR(INDEX(Summary!$G$3:$G$1000,SMALL((Summary!$G$3:$G$1000="")/0.1%+ROW($3:$1000),ROW()-2)-2)&amp;"",""),"")</f>
        <v/>
      </c>
      <c r="I677" s="22" t="str">
        <f t="shared" si="42"/>
        <v/>
      </c>
      <c r="J677" s="22" t="str">
        <f t="shared" si="43"/>
        <v/>
      </c>
    </row>
    <row r="678" spans="1:10">
      <c r="A678" s="56" t="str">
        <f>IF(AMS!H698="","",AMS!H698)</f>
        <v/>
      </c>
      <c r="B678" s="22" t="str">
        <f t="shared" si="40"/>
        <v/>
      </c>
      <c r="C678" s="22" t="str">
        <f t="array" ref="C678">IFERROR(INDEX(Summary!$I$3:$I$1000,SMALL((Summary!$I$3:$I$1000="")/0.1%+ROW($3:$1000),ROW()-2)-2)&amp;"","")</f>
        <v/>
      </c>
      <c r="D678" s="22" t="str">
        <v/>
      </c>
      <c r="E678" s="22" t="str">
        <f t="shared" si="41"/>
        <v/>
      </c>
      <c r="F678" s="56" t="str">
        <f>IF(AMS!I698="","",AMS!I698)</f>
        <v/>
      </c>
      <c r="G678" s="56" t="str">
        <f>IF(AMS!J698="","",AMS!J698)</f>
        <v/>
      </c>
      <c r="H678" s="22" t="str">
        <f t="array" ref="H678">IF(A678&lt;&gt;" ",IFERROR(INDEX(Summary!$G$3:$G$1000,SMALL((Summary!$G$3:$G$1000="")/0.1%+ROW($3:$1000),ROW()-2)-2)&amp;"",""),"")</f>
        <v/>
      </c>
      <c r="I678" s="22" t="str">
        <f t="shared" si="42"/>
        <v/>
      </c>
      <c r="J678" s="22" t="str">
        <f t="shared" si="43"/>
        <v/>
      </c>
    </row>
    <row r="679" spans="1:10">
      <c r="A679" s="56" t="str">
        <f>IF(AMS!H699="","",AMS!H699)</f>
        <v/>
      </c>
      <c r="B679" s="22" t="str">
        <f t="shared" si="40"/>
        <v/>
      </c>
      <c r="C679" s="22" t="str">
        <f t="array" ref="C679">IFERROR(INDEX(Summary!$I$3:$I$1000,SMALL((Summary!$I$3:$I$1000="")/0.1%+ROW($3:$1000),ROW()-2)-2)&amp;"","")</f>
        <v/>
      </c>
      <c r="D679" s="22" t="str">
        <v/>
      </c>
      <c r="E679" s="22" t="str">
        <f t="shared" si="41"/>
        <v/>
      </c>
      <c r="F679" s="56" t="str">
        <f>IF(AMS!I699="","",AMS!I699)</f>
        <v/>
      </c>
      <c r="G679" s="56" t="str">
        <f>IF(AMS!J699="","",AMS!J699)</f>
        <v/>
      </c>
      <c r="H679" s="22" t="str">
        <f t="array" ref="H679">IF(A679&lt;&gt;" ",IFERROR(INDEX(Summary!$G$3:$G$1000,SMALL((Summary!$G$3:$G$1000="")/0.1%+ROW($3:$1000),ROW()-2)-2)&amp;"",""),"")</f>
        <v/>
      </c>
      <c r="I679" s="22" t="str">
        <f t="shared" si="42"/>
        <v/>
      </c>
      <c r="J679" s="22" t="str">
        <f t="shared" si="43"/>
        <v/>
      </c>
    </row>
    <row r="680" spans="1:10">
      <c r="A680" s="56" t="str">
        <f>IF(AMS!H700="","",AMS!H700)</f>
        <v/>
      </c>
      <c r="B680" s="22" t="str">
        <f t="shared" si="40"/>
        <v/>
      </c>
      <c r="C680" s="22" t="str">
        <f t="array" ref="C680">IFERROR(INDEX(Summary!$I$3:$I$1000,SMALL((Summary!$I$3:$I$1000="")/0.1%+ROW($3:$1000),ROW()-2)-2)&amp;"","")</f>
        <v/>
      </c>
      <c r="D680" s="22" t="str">
        <v/>
      </c>
      <c r="E680" s="22" t="str">
        <f t="shared" si="41"/>
        <v/>
      </c>
      <c r="F680" s="56" t="str">
        <f>IF(AMS!I700="","",AMS!I700)</f>
        <v/>
      </c>
      <c r="G680" s="56" t="str">
        <f>IF(AMS!J700="","",AMS!J700)</f>
        <v/>
      </c>
      <c r="H680" s="22" t="str">
        <f t="array" ref="H680">IF(A680&lt;&gt;" ",IFERROR(INDEX(Summary!$G$3:$G$1000,SMALL((Summary!$G$3:$G$1000="")/0.1%+ROW($3:$1000),ROW()-2)-2)&amp;"",""),"")</f>
        <v/>
      </c>
      <c r="I680" s="22" t="str">
        <f t="shared" si="42"/>
        <v/>
      </c>
      <c r="J680" s="22" t="str">
        <f t="shared" si="43"/>
        <v/>
      </c>
    </row>
    <row r="681" spans="1:10">
      <c r="A681" s="56" t="str">
        <f>IF(AMS!H701="","",AMS!H701)</f>
        <v/>
      </c>
      <c r="B681" s="22" t="str">
        <f t="shared" si="40"/>
        <v/>
      </c>
      <c r="C681" s="22" t="str">
        <f t="array" ref="C681">IFERROR(INDEX(Summary!$I$3:$I$1000,SMALL((Summary!$I$3:$I$1000="")/0.1%+ROW($3:$1000),ROW()-2)-2)&amp;"","")</f>
        <v/>
      </c>
      <c r="D681" s="22" t="str">
        <v/>
      </c>
      <c r="E681" s="22" t="str">
        <f t="shared" si="41"/>
        <v/>
      </c>
      <c r="F681" s="56" t="str">
        <f>IF(AMS!I701="","",AMS!I701)</f>
        <v/>
      </c>
      <c r="G681" s="56" t="str">
        <f>IF(AMS!J701="","",AMS!J701)</f>
        <v/>
      </c>
      <c r="H681" s="22" t="str">
        <f t="array" ref="H681">IF(A681&lt;&gt;" ",IFERROR(INDEX(Summary!$G$3:$G$1000,SMALL((Summary!$G$3:$G$1000="")/0.1%+ROW($3:$1000),ROW()-2)-2)&amp;"",""),"")</f>
        <v/>
      </c>
      <c r="I681" s="22" t="str">
        <f t="shared" si="42"/>
        <v/>
      </c>
      <c r="J681" s="22" t="str">
        <f t="shared" si="43"/>
        <v/>
      </c>
    </row>
    <row r="682" spans="1:10">
      <c r="A682" s="56" t="str">
        <f>IF(AMS!H702="","",AMS!H702)</f>
        <v/>
      </c>
      <c r="B682" s="22" t="str">
        <f t="shared" si="40"/>
        <v/>
      </c>
      <c r="C682" s="22" t="str">
        <f t="array" ref="C682">IFERROR(INDEX(Summary!$I$3:$I$1000,SMALL((Summary!$I$3:$I$1000="")/0.1%+ROW($3:$1000),ROW()-2)-2)&amp;"","")</f>
        <v/>
      </c>
      <c r="D682" s="22" t="str">
        <v/>
      </c>
      <c r="E682" s="22" t="str">
        <f t="shared" si="41"/>
        <v/>
      </c>
      <c r="F682" s="56" t="str">
        <f>IF(AMS!I702="","",AMS!I702)</f>
        <v/>
      </c>
      <c r="G682" s="56" t="str">
        <f>IF(AMS!J702="","",AMS!J702)</f>
        <v/>
      </c>
      <c r="H682" s="22" t="str">
        <f t="array" ref="H682">IF(A682&lt;&gt;" ",IFERROR(INDEX(Summary!$G$3:$G$1000,SMALL((Summary!$G$3:$G$1000="")/0.1%+ROW($3:$1000),ROW()-2)-2)&amp;"",""),"")</f>
        <v/>
      </c>
      <c r="I682" s="22" t="str">
        <f t="shared" si="42"/>
        <v/>
      </c>
      <c r="J682" s="22" t="str">
        <f t="shared" si="43"/>
        <v/>
      </c>
    </row>
    <row r="683" spans="1:10">
      <c r="A683" s="56" t="str">
        <f>IF(AMS!H703="","",AMS!H703)</f>
        <v/>
      </c>
      <c r="B683" s="22" t="str">
        <f t="shared" si="40"/>
        <v/>
      </c>
      <c r="C683" s="22" t="str">
        <f t="array" ref="C683">IFERROR(INDEX(Summary!$I$3:$I$1000,SMALL((Summary!$I$3:$I$1000="")/0.1%+ROW($3:$1000),ROW()-2)-2)&amp;"","")</f>
        <v/>
      </c>
      <c r="D683" s="22" t="str">
        <v/>
      </c>
      <c r="E683" s="22" t="str">
        <f t="shared" si="41"/>
        <v/>
      </c>
      <c r="F683" s="56" t="str">
        <f>IF(AMS!I703="","",AMS!I703)</f>
        <v/>
      </c>
      <c r="G683" s="56" t="str">
        <f>IF(AMS!J703="","",AMS!J703)</f>
        <v/>
      </c>
      <c r="H683" s="22" t="str">
        <f t="array" ref="H683">IF(A683&lt;&gt;" ",IFERROR(INDEX(Summary!$G$3:$G$1000,SMALL((Summary!$G$3:$G$1000="")/0.1%+ROW($3:$1000),ROW()-2)-2)&amp;"",""),"")</f>
        <v/>
      </c>
      <c r="I683" s="22" t="str">
        <f t="shared" si="42"/>
        <v/>
      </c>
      <c r="J683" s="22" t="str">
        <f t="shared" si="43"/>
        <v/>
      </c>
    </row>
    <row r="684" spans="1:10">
      <c r="A684" s="56" t="str">
        <f>IF(AMS!H704="","",AMS!H704)</f>
        <v/>
      </c>
      <c r="B684" s="22" t="str">
        <f t="shared" si="40"/>
        <v/>
      </c>
      <c r="C684" s="22" t="str">
        <f t="array" ref="C684">IFERROR(INDEX(Summary!$I$3:$I$1000,SMALL((Summary!$I$3:$I$1000="")/0.1%+ROW($3:$1000),ROW()-2)-2)&amp;"","")</f>
        <v/>
      </c>
      <c r="D684" s="22" t="str">
        <v/>
      </c>
      <c r="E684" s="22" t="str">
        <f t="shared" si="41"/>
        <v/>
      </c>
      <c r="F684" s="56" t="str">
        <f>IF(AMS!I704="","",AMS!I704)</f>
        <v/>
      </c>
      <c r="G684" s="56" t="str">
        <f>IF(AMS!J704="","",AMS!J704)</f>
        <v/>
      </c>
      <c r="H684" s="22" t="str">
        <f t="array" ref="H684">IF(A684&lt;&gt;" ",IFERROR(INDEX(Summary!$G$3:$G$1000,SMALL((Summary!$G$3:$G$1000="")/0.1%+ROW($3:$1000),ROW()-2)-2)&amp;"",""),"")</f>
        <v/>
      </c>
      <c r="I684" s="22" t="str">
        <f t="shared" si="42"/>
        <v/>
      </c>
      <c r="J684" s="22" t="str">
        <f t="shared" si="43"/>
        <v/>
      </c>
    </row>
    <row r="685" spans="1:10">
      <c r="A685" s="56" t="str">
        <f>IF(AMS!H705="","",AMS!H705)</f>
        <v/>
      </c>
      <c r="B685" s="22" t="str">
        <f t="shared" si="40"/>
        <v/>
      </c>
      <c r="C685" s="22" t="str">
        <f t="array" ref="C685">IFERROR(INDEX(Summary!$I$3:$I$1000,SMALL((Summary!$I$3:$I$1000="")/0.1%+ROW($3:$1000),ROW()-2)-2)&amp;"","")</f>
        <v/>
      </c>
      <c r="D685" s="22" t="str">
        <v/>
      </c>
      <c r="E685" s="22" t="str">
        <f t="shared" si="41"/>
        <v/>
      </c>
      <c r="F685" s="56" t="str">
        <f>IF(AMS!I705="","",AMS!I705)</f>
        <v/>
      </c>
      <c r="G685" s="56" t="str">
        <f>IF(AMS!J705="","",AMS!J705)</f>
        <v/>
      </c>
      <c r="H685" s="22" t="str">
        <f t="array" ref="H685">IF(A685&lt;&gt;" ",IFERROR(INDEX(Summary!$G$3:$G$1000,SMALL((Summary!$G$3:$G$1000="")/0.1%+ROW($3:$1000),ROW()-2)-2)&amp;"",""),"")</f>
        <v/>
      </c>
      <c r="I685" s="22" t="str">
        <f t="shared" si="42"/>
        <v/>
      </c>
      <c r="J685" s="22" t="str">
        <f t="shared" si="43"/>
        <v/>
      </c>
    </row>
    <row r="686" spans="1:10">
      <c r="A686" s="56" t="str">
        <f>IF(AMS!H706="","",AMS!H706)</f>
        <v/>
      </c>
      <c r="B686" s="22" t="str">
        <f t="shared" si="40"/>
        <v/>
      </c>
      <c r="C686" s="22" t="str">
        <f t="array" ref="C686">IFERROR(INDEX(Summary!$I$3:$I$1000,SMALL((Summary!$I$3:$I$1000="")/0.1%+ROW($3:$1000),ROW()-2)-2)&amp;"","")</f>
        <v/>
      </c>
      <c r="D686" s="22" t="str">
        <v/>
      </c>
      <c r="E686" s="22" t="str">
        <f t="shared" si="41"/>
        <v/>
      </c>
      <c r="F686" s="56" t="str">
        <f>IF(AMS!I706="","",AMS!I706)</f>
        <v/>
      </c>
      <c r="G686" s="56" t="str">
        <f>IF(AMS!J706="","",AMS!J706)</f>
        <v/>
      </c>
      <c r="H686" s="22" t="str">
        <f t="array" ref="H686">IF(A686&lt;&gt;" ",IFERROR(INDEX(Summary!$G$3:$G$1000,SMALL((Summary!$G$3:$G$1000="")/0.1%+ROW($3:$1000),ROW()-2)-2)&amp;"",""),"")</f>
        <v/>
      </c>
      <c r="I686" s="22" t="str">
        <f t="shared" si="42"/>
        <v/>
      </c>
      <c r="J686" s="22" t="str">
        <f t="shared" si="43"/>
        <v/>
      </c>
    </row>
    <row r="687" spans="1:10">
      <c r="A687" s="56" t="str">
        <f>IF(AMS!H707="","",AMS!H707)</f>
        <v/>
      </c>
      <c r="B687" s="22" t="str">
        <f t="shared" si="40"/>
        <v/>
      </c>
      <c r="C687" s="22" t="str">
        <f t="array" ref="C687">IFERROR(INDEX(Summary!$I$3:$I$1000,SMALL((Summary!$I$3:$I$1000="")/0.1%+ROW($3:$1000),ROW()-2)-2)&amp;"","")</f>
        <v/>
      </c>
      <c r="D687" s="22" t="str">
        <v/>
      </c>
      <c r="E687" s="22" t="str">
        <f t="shared" si="41"/>
        <v/>
      </c>
      <c r="F687" s="56" t="str">
        <f>IF(AMS!I707="","",AMS!I707)</f>
        <v/>
      </c>
      <c r="G687" s="56" t="str">
        <f>IF(AMS!J707="","",AMS!J707)</f>
        <v/>
      </c>
      <c r="H687" s="22" t="str">
        <f t="array" ref="H687">IF(A687&lt;&gt;" ",IFERROR(INDEX(Summary!$G$3:$G$1000,SMALL((Summary!$G$3:$G$1000="")/0.1%+ROW($3:$1000),ROW()-2)-2)&amp;"",""),"")</f>
        <v/>
      </c>
      <c r="I687" s="22" t="str">
        <f t="shared" si="42"/>
        <v/>
      </c>
      <c r="J687" s="22" t="str">
        <f t="shared" si="43"/>
        <v/>
      </c>
    </row>
    <row r="688" spans="1:10">
      <c r="A688" s="56" t="str">
        <f>IF(AMS!H708="","",AMS!H708)</f>
        <v/>
      </c>
      <c r="B688" s="22" t="str">
        <f t="shared" si="40"/>
        <v/>
      </c>
      <c r="C688" s="22" t="str">
        <f t="array" ref="C688">IFERROR(INDEX(Summary!$I$3:$I$1000,SMALL((Summary!$I$3:$I$1000="")/0.1%+ROW($3:$1000),ROW()-2)-2)&amp;"","")</f>
        <v/>
      </c>
      <c r="D688" s="22" t="str">
        <v/>
      </c>
      <c r="E688" s="22" t="str">
        <f t="shared" si="41"/>
        <v/>
      </c>
      <c r="F688" s="56" t="str">
        <f>IF(AMS!I708="","",AMS!I708)</f>
        <v/>
      </c>
      <c r="G688" s="56" t="str">
        <f>IF(AMS!J708="","",AMS!J708)</f>
        <v/>
      </c>
      <c r="H688" s="22" t="str">
        <f t="array" ref="H688">IF(A688&lt;&gt;" ",IFERROR(INDEX(Summary!$G$3:$G$1000,SMALL((Summary!$G$3:$G$1000="")/0.1%+ROW($3:$1000),ROW()-2)-2)&amp;"",""),"")</f>
        <v/>
      </c>
      <c r="I688" s="22" t="str">
        <f t="shared" si="42"/>
        <v/>
      </c>
      <c r="J688" s="22" t="str">
        <f t="shared" si="43"/>
        <v/>
      </c>
    </row>
    <row r="689" spans="1:10">
      <c r="A689" s="56" t="str">
        <f>IF(AMS!H709="","",AMS!H709)</f>
        <v/>
      </c>
      <c r="B689" s="22" t="str">
        <f t="shared" si="40"/>
        <v/>
      </c>
      <c r="C689" s="22" t="str">
        <f t="array" ref="C689">IFERROR(INDEX(Summary!$I$3:$I$1000,SMALL((Summary!$I$3:$I$1000="")/0.1%+ROW($3:$1000),ROW()-2)-2)&amp;"","")</f>
        <v/>
      </c>
      <c r="D689" s="22" t="str">
        <v/>
      </c>
      <c r="E689" s="22" t="str">
        <f t="shared" si="41"/>
        <v/>
      </c>
      <c r="F689" s="56" t="str">
        <f>IF(AMS!I709="","",AMS!I709)</f>
        <v/>
      </c>
      <c r="G689" s="56" t="str">
        <f>IF(AMS!J709="","",AMS!J709)</f>
        <v/>
      </c>
      <c r="H689" s="22" t="str">
        <f t="array" ref="H689">IF(A689&lt;&gt;" ",IFERROR(INDEX(Summary!$G$3:$G$1000,SMALL((Summary!$G$3:$G$1000="")/0.1%+ROW($3:$1000),ROW()-2)-2)&amp;"",""),"")</f>
        <v/>
      </c>
      <c r="I689" s="22" t="str">
        <f t="shared" si="42"/>
        <v/>
      </c>
      <c r="J689" s="22" t="str">
        <f t="shared" si="43"/>
        <v/>
      </c>
    </row>
    <row r="690" spans="1:10">
      <c r="A690" s="56" t="str">
        <f>IF(AMS!H710="","",AMS!H710)</f>
        <v/>
      </c>
      <c r="B690" s="22" t="str">
        <f t="shared" si="40"/>
        <v/>
      </c>
      <c r="C690" s="22" t="str">
        <f t="array" ref="C690">IFERROR(INDEX(Summary!$I$3:$I$1000,SMALL((Summary!$I$3:$I$1000="")/0.1%+ROW($3:$1000),ROW()-2)-2)&amp;"","")</f>
        <v/>
      </c>
      <c r="D690" s="22" t="str">
        <v/>
      </c>
      <c r="E690" s="22" t="str">
        <f t="shared" si="41"/>
        <v/>
      </c>
      <c r="F690" s="56" t="str">
        <f>IF(AMS!I710="","",AMS!I710)</f>
        <v/>
      </c>
      <c r="G690" s="56" t="str">
        <f>IF(AMS!J710="","",AMS!J710)</f>
        <v/>
      </c>
      <c r="H690" s="22" t="str">
        <f t="array" ref="H690">IF(A690&lt;&gt;" ",IFERROR(INDEX(Summary!$G$3:$G$1000,SMALL((Summary!$G$3:$G$1000="")/0.1%+ROW($3:$1000),ROW()-2)-2)&amp;"",""),"")</f>
        <v/>
      </c>
      <c r="I690" s="22" t="str">
        <f t="shared" si="42"/>
        <v/>
      </c>
      <c r="J690" s="22" t="str">
        <f t="shared" si="43"/>
        <v/>
      </c>
    </row>
    <row r="691" spans="1:10">
      <c r="A691" s="56" t="str">
        <f>IF(AMS!H711="","",AMS!H711)</f>
        <v/>
      </c>
      <c r="B691" s="22" t="str">
        <f t="shared" si="40"/>
        <v/>
      </c>
      <c r="C691" s="22" t="str">
        <f t="array" ref="C691">IFERROR(INDEX(Summary!$I$3:$I$1000,SMALL((Summary!$I$3:$I$1000="")/0.1%+ROW($3:$1000),ROW()-2)-2)&amp;"","")</f>
        <v/>
      </c>
      <c r="D691" s="22" t="str">
        <v/>
      </c>
      <c r="E691" s="22" t="str">
        <f t="shared" si="41"/>
        <v/>
      </c>
      <c r="F691" s="56" t="str">
        <f>IF(AMS!I711="","",AMS!I711)</f>
        <v/>
      </c>
      <c r="G691" s="56" t="str">
        <f>IF(AMS!J711="","",AMS!J711)</f>
        <v/>
      </c>
      <c r="H691" s="22" t="str">
        <f t="array" ref="H691">IF(A691&lt;&gt;" ",IFERROR(INDEX(Summary!$G$3:$G$1000,SMALL((Summary!$G$3:$G$1000="")/0.1%+ROW($3:$1000),ROW()-2)-2)&amp;"",""),"")</f>
        <v/>
      </c>
      <c r="I691" s="22" t="str">
        <f t="shared" si="42"/>
        <v/>
      </c>
      <c r="J691" s="22" t="str">
        <f t="shared" si="43"/>
        <v/>
      </c>
    </row>
    <row r="692" spans="1:10">
      <c r="A692" s="56" t="str">
        <f>IF(AMS!H712="","",AMS!H712)</f>
        <v/>
      </c>
      <c r="B692" s="22" t="str">
        <f t="shared" si="40"/>
        <v/>
      </c>
      <c r="C692" s="22" t="str">
        <f t="array" ref="C692">IFERROR(INDEX(Summary!$I$3:$I$1000,SMALL((Summary!$I$3:$I$1000="")/0.1%+ROW($3:$1000),ROW()-2)-2)&amp;"","")</f>
        <v/>
      </c>
      <c r="D692" s="22" t="str">
        <v/>
      </c>
      <c r="E692" s="22" t="str">
        <f t="shared" si="41"/>
        <v/>
      </c>
      <c r="F692" s="56" t="str">
        <f>IF(AMS!I712="","",AMS!I712)</f>
        <v/>
      </c>
      <c r="G692" s="56" t="str">
        <f>IF(AMS!J712="","",AMS!J712)</f>
        <v/>
      </c>
      <c r="H692" s="22" t="str">
        <f t="array" ref="H692">IF(A692&lt;&gt;" ",IFERROR(INDEX(Summary!$G$3:$G$1000,SMALL((Summary!$G$3:$G$1000="")/0.1%+ROW($3:$1000),ROW()-2)-2)&amp;"",""),"")</f>
        <v/>
      </c>
      <c r="I692" s="22" t="str">
        <f t="shared" si="42"/>
        <v/>
      </c>
      <c r="J692" s="22" t="str">
        <f t="shared" si="43"/>
        <v/>
      </c>
    </row>
    <row r="693" spans="1:10">
      <c r="A693" s="56" t="str">
        <f>IF(AMS!H713="","",AMS!H713)</f>
        <v/>
      </c>
      <c r="B693" s="22" t="str">
        <f t="shared" si="40"/>
        <v/>
      </c>
      <c r="C693" s="22" t="str">
        <f t="array" ref="C693">IFERROR(INDEX(Summary!$I$3:$I$1000,SMALL((Summary!$I$3:$I$1000="")/0.1%+ROW($3:$1000),ROW()-2)-2)&amp;"","")</f>
        <v/>
      </c>
      <c r="D693" s="22" t="str">
        <v/>
      </c>
      <c r="E693" s="22" t="str">
        <f t="shared" si="41"/>
        <v/>
      </c>
      <c r="F693" s="56" t="str">
        <f>IF(AMS!I713="","",AMS!I713)</f>
        <v/>
      </c>
      <c r="G693" s="56" t="str">
        <f>IF(AMS!J713="","",AMS!J713)</f>
        <v/>
      </c>
      <c r="H693" s="22" t="str">
        <f t="array" ref="H693">IF(A693&lt;&gt;" ",IFERROR(INDEX(Summary!$G$3:$G$1000,SMALL((Summary!$G$3:$G$1000="")/0.1%+ROW($3:$1000),ROW()-2)-2)&amp;"",""),"")</f>
        <v/>
      </c>
      <c r="I693" s="22" t="str">
        <f t="shared" si="42"/>
        <v/>
      </c>
      <c r="J693" s="22" t="str">
        <f t="shared" si="43"/>
        <v/>
      </c>
    </row>
    <row r="694" spans="1:10">
      <c r="A694" s="56" t="str">
        <f>IF(AMS!H714="","",AMS!H714)</f>
        <v/>
      </c>
      <c r="B694" s="22" t="str">
        <f t="shared" si="40"/>
        <v/>
      </c>
      <c r="C694" s="22" t="str">
        <f t="array" ref="C694">IFERROR(INDEX(Summary!$I$3:$I$1000,SMALL((Summary!$I$3:$I$1000="")/0.1%+ROW($3:$1000),ROW()-2)-2)&amp;"","")</f>
        <v/>
      </c>
      <c r="D694" s="22" t="str">
        <v/>
      </c>
      <c r="E694" s="22" t="str">
        <f t="shared" si="41"/>
        <v/>
      </c>
      <c r="F694" s="56" t="str">
        <f>IF(AMS!I714="","",AMS!I714)</f>
        <v/>
      </c>
      <c r="G694" s="56" t="str">
        <f>IF(AMS!J714="","",AMS!J714)</f>
        <v/>
      </c>
      <c r="H694" s="22" t="str">
        <f t="array" ref="H694">IF(A694&lt;&gt;" ",IFERROR(INDEX(Summary!$G$3:$G$1000,SMALL((Summary!$G$3:$G$1000="")/0.1%+ROW($3:$1000),ROW()-2)-2)&amp;"",""),"")</f>
        <v/>
      </c>
      <c r="I694" s="22" t="str">
        <f t="shared" si="42"/>
        <v/>
      </c>
      <c r="J694" s="22" t="str">
        <f t="shared" si="43"/>
        <v/>
      </c>
    </row>
    <row r="695" spans="1:10">
      <c r="A695" s="56" t="str">
        <f>IF(AMS!H715="","",AMS!H715)</f>
        <v/>
      </c>
      <c r="B695" s="22" t="str">
        <f t="shared" si="40"/>
        <v/>
      </c>
      <c r="C695" s="22" t="str">
        <f t="array" ref="C695">IFERROR(INDEX(Summary!$I$3:$I$1000,SMALL((Summary!$I$3:$I$1000="")/0.1%+ROW($3:$1000),ROW()-2)-2)&amp;"","")</f>
        <v/>
      </c>
      <c r="D695" s="22" t="str">
        <v/>
      </c>
      <c r="E695" s="22" t="str">
        <f t="shared" si="41"/>
        <v/>
      </c>
      <c r="F695" s="56" t="str">
        <f>IF(AMS!I715="","",AMS!I715)</f>
        <v/>
      </c>
      <c r="G695" s="56" t="str">
        <f>IF(AMS!J715="","",AMS!J715)</f>
        <v/>
      </c>
      <c r="H695" s="22" t="str">
        <f t="array" ref="H695">IF(A695&lt;&gt;" ",IFERROR(INDEX(Summary!$G$3:$G$1000,SMALL((Summary!$G$3:$G$1000="")/0.1%+ROW($3:$1000),ROW()-2)-2)&amp;"",""),"")</f>
        <v/>
      </c>
      <c r="I695" s="22" t="str">
        <f t="shared" si="42"/>
        <v/>
      </c>
      <c r="J695" s="22" t="str">
        <f t="shared" si="43"/>
        <v/>
      </c>
    </row>
    <row r="696" spans="1:10">
      <c r="A696" s="56" t="str">
        <f>IF(AMS!H716="","",AMS!H716)</f>
        <v/>
      </c>
      <c r="B696" s="22" t="str">
        <f t="shared" si="40"/>
        <v/>
      </c>
      <c r="C696" s="22" t="str">
        <f t="array" ref="C696">IFERROR(INDEX(Summary!$I$3:$I$1000,SMALL((Summary!$I$3:$I$1000="")/0.1%+ROW($3:$1000),ROW()-2)-2)&amp;"","")</f>
        <v/>
      </c>
      <c r="D696" s="22" t="str">
        <v/>
      </c>
      <c r="E696" s="22" t="str">
        <f t="shared" si="41"/>
        <v/>
      </c>
      <c r="F696" s="56" t="str">
        <f>IF(AMS!I716="","",AMS!I716)</f>
        <v/>
      </c>
      <c r="G696" s="56" t="str">
        <f>IF(AMS!J716="","",AMS!J716)</f>
        <v/>
      </c>
      <c r="H696" s="22" t="str">
        <f t="array" ref="H696">IF(A696&lt;&gt;" ",IFERROR(INDEX(Summary!$G$3:$G$1000,SMALL((Summary!$G$3:$G$1000="")/0.1%+ROW($3:$1000),ROW()-2)-2)&amp;"",""),"")</f>
        <v/>
      </c>
      <c r="I696" s="22" t="str">
        <f t="shared" si="42"/>
        <v/>
      </c>
      <c r="J696" s="22" t="str">
        <f t="shared" si="43"/>
        <v/>
      </c>
    </row>
    <row r="697" spans="1:10">
      <c r="A697" s="56" t="str">
        <f>IF(AMS!H717="","",AMS!H717)</f>
        <v/>
      </c>
      <c r="B697" s="22" t="str">
        <f t="shared" si="40"/>
        <v/>
      </c>
      <c r="C697" s="22" t="str">
        <f t="array" ref="C697">IFERROR(INDEX(Summary!$I$3:$I$1000,SMALL((Summary!$I$3:$I$1000="")/0.1%+ROW($3:$1000),ROW()-2)-2)&amp;"","")</f>
        <v/>
      </c>
      <c r="D697" s="22" t="str">
        <v/>
      </c>
      <c r="E697" s="22" t="str">
        <f t="shared" si="41"/>
        <v/>
      </c>
      <c r="F697" s="56" t="str">
        <f>IF(AMS!I717="","",AMS!I717)</f>
        <v/>
      </c>
      <c r="G697" s="56" t="str">
        <f>IF(AMS!J717="","",AMS!J717)</f>
        <v/>
      </c>
      <c r="H697" s="22" t="str">
        <f t="array" ref="H697">IF(A697&lt;&gt;" ",IFERROR(INDEX(Summary!$G$3:$G$1000,SMALL((Summary!$G$3:$G$1000="")/0.1%+ROW($3:$1000),ROW()-2)-2)&amp;"",""),"")</f>
        <v/>
      </c>
      <c r="I697" s="22" t="str">
        <f t="shared" si="42"/>
        <v/>
      </c>
      <c r="J697" s="22" t="str">
        <f t="shared" si="43"/>
        <v/>
      </c>
    </row>
    <row r="698" spans="1:10">
      <c r="A698" s="56" t="str">
        <f>IF(AMS!H718="","",AMS!H718)</f>
        <v/>
      </c>
      <c r="B698" s="22" t="str">
        <f t="shared" si="40"/>
        <v/>
      </c>
      <c r="C698" s="22" t="str">
        <f t="array" ref="C698">IFERROR(INDEX(Summary!$I$3:$I$1000,SMALL((Summary!$I$3:$I$1000="")/0.1%+ROW($3:$1000),ROW()-2)-2)&amp;"","")</f>
        <v/>
      </c>
      <c r="D698" s="22" t="str">
        <v/>
      </c>
      <c r="E698" s="22" t="str">
        <f t="shared" si="41"/>
        <v/>
      </c>
      <c r="F698" s="56" t="str">
        <f>IF(AMS!I718="","",AMS!I718)</f>
        <v/>
      </c>
      <c r="G698" s="56" t="str">
        <f>IF(AMS!J718="","",AMS!J718)</f>
        <v/>
      </c>
      <c r="H698" s="22" t="str">
        <f t="array" ref="H698">IF(A698&lt;&gt;" ",IFERROR(INDEX(Summary!$G$3:$G$1000,SMALL((Summary!$G$3:$G$1000="")/0.1%+ROW($3:$1000),ROW()-2)-2)&amp;"",""),"")</f>
        <v/>
      </c>
      <c r="I698" s="22" t="str">
        <f t="shared" si="42"/>
        <v/>
      </c>
      <c r="J698" s="22" t="str">
        <f t="shared" si="43"/>
        <v/>
      </c>
    </row>
    <row r="699" spans="1:10">
      <c r="A699" s="56" t="str">
        <f>IF(AMS!H719="","",AMS!H719)</f>
        <v/>
      </c>
      <c r="B699" s="22" t="str">
        <f t="shared" si="40"/>
        <v/>
      </c>
      <c r="C699" s="22" t="str">
        <f t="array" ref="C699">IFERROR(INDEX(Summary!$I$3:$I$1000,SMALL((Summary!$I$3:$I$1000="")/0.1%+ROW($3:$1000),ROW()-2)-2)&amp;"","")</f>
        <v/>
      </c>
      <c r="D699" s="22" t="str">
        <v/>
      </c>
      <c r="E699" s="22" t="str">
        <f t="shared" si="41"/>
        <v/>
      </c>
      <c r="F699" s="56" t="str">
        <f>IF(AMS!I719="","",AMS!I719)</f>
        <v/>
      </c>
      <c r="G699" s="56" t="str">
        <f>IF(AMS!J719="","",AMS!J719)</f>
        <v/>
      </c>
      <c r="H699" s="22" t="str">
        <f t="array" ref="H699">IF(A699&lt;&gt;" ",IFERROR(INDEX(Summary!$G$3:$G$1000,SMALL((Summary!$G$3:$G$1000="")/0.1%+ROW($3:$1000),ROW()-2)-2)&amp;"",""),"")</f>
        <v/>
      </c>
      <c r="I699" s="22" t="str">
        <f t="shared" si="42"/>
        <v/>
      </c>
      <c r="J699" s="22" t="str">
        <f t="shared" si="43"/>
        <v/>
      </c>
    </row>
    <row r="700" spans="1:10">
      <c r="A700" s="56" t="str">
        <f>IF(AMS!H720="","",AMS!H720)</f>
        <v/>
      </c>
      <c r="B700" s="22" t="str">
        <f t="shared" si="40"/>
        <v/>
      </c>
      <c r="C700" s="22" t="str">
        <f t="array" ref="C700">IFERROR(INDEX(Summary!$I$3:$I$1000,SMALL((Summary!$I$3:$I$1000="")/0.1%+ROW($3:$1000),ROW()-2)-2)&amp;"","")</f>
        <v/>
      </c>
      <c r="D700" s="22" t="str">
        <v/>
      </c>
      <c r="E700" s="22" t="str">
        <f t="shared" si="41"/>
        <v/>
      </c>
      <c r="F700" s="56" t="str">
        <f>IF(AMS!I720="","",AMS!I720)</f>
        <v/>
      </c>
      <c r="G700" s="56" t="str">
        <f>IF(AMS!J720="","",AMS!J720)</f>
        <v/>
      </c>
      <c r="H700" s="22" t="str">
        <f t="array" ref="H700">IF(A700&lt;&gt;" ",IFERROR(INDEX(Summary!$G$3:$G$1000,SMALL((Summary!$G$3:$G$1000="")/0.1%+ROW($3:$1000),ROW()-2)-2)&amp;"",""),"")</f>
        <v/>
      </c>
      <c r="I700" s="22" t="str">
        <f t="shared" si="42"/>
        <v/>
      </c>
      <c r="J700" s="22" t="str">
        <f t="shared" si="43"/>
        <v/>
      </c>
    </row>
    <row r="701" spans="1:10">
      <c r="A701" s="56" t="str">
        <f>IF(AMS!H721="","",AMS!H721)</f>
        <v/>
      </c>
      <c r="B701" s="22" t="str">
        <f t="shared" si="40"/>
        <v/>
      </c>
      <c r="C701" s="22" t="str">
        <f t="array" ref="C701">IFERROR(INDEX(Summary!$I$3:$I$1000,SMALL((Summary!$I$3:$I$1000="")/0.1%+ROW($3:$1000),ROW()-2)-2)&amp;"","")</f>
        <v/>
      </c>
      <c r="D701" s="22" t="str">
        <v/>
      </c>
      <c r="E701" s="22" t="str">
        <f t="shared" si="41"/>
        <v/>
      </c>
      <c r="F701" s="56" t="str">
        <f>IF(AMS!I721="","",AMS!I721)</f>
        <v/>
      </c>
      <c r="G701" s="56" t="str">
        <f>IF(AMS!J721="","",AMS!J721)</f>
        <v/>
      </c>
      <c r="H701" s="22" t="str">
        <f t="array" ref="H701">IF(A701&lt;&gt;" ",IFERROR(INDEX(Summary!$G$3:$G$1000,SMALL((Summary!$G$3:$G$1000="")/0.1%+ROW($3:$1000),ROW()-2)-2)&amp;"",""),"")</f>
        <v/>
      </c>
      <c r="I701" s="22" t="str">
        <f t="shared" si="42"/>
        <v/>
      </c>
      <c r="J701" s="22" t="str">
        <f t="shared" si="43"/>
        <v/>
      </c>
    </row>
    <row r="702" spans="1:10">
      <c r="A702" s="56" t="str">
        <f>IF(AMS!H722="","",AMS!H722)</f>
        <v/>
      </c>
      <c r="B702" s="22" t="str">
        <f t="shared" si="40"/>
        <v/>
      </c>
      <c r="C702" s="22" t="str">
        <f t="array" ref="C702">IFERROR(INDEX(Summary!$I$3:$I$1000,SMALL((Summary!$I$3:$I$1000="")/0.1%+ROW($3:$1000),ROW()-2)-2)&amp;"","")</f>
        <v/>
      </c>
      <c r="D702" s="22" t="str">
        <v/>
      </c>
      <c r="E702" s="22" t="str">
        <f t="shared" si="41"/>
        <v/>
      </c>
      <c r="F702" s="56" t="str">
        <f>IF(AMS!I722="","",AMS!I722)</f>
        <v/>
      </c>
      <c r="G702" s="56" t="str">
        <f>IF(AMS!J722="","",AMS!J722)</f>
        <v/>
      </c>
      <c r="H702" s="22" t="str">
        <f t="array" ref="H702">IF(A702&lt;&gt;" ",IFERROR(INDEX(Summary!$G$3:$G$1000,SMALL((Summary!$G$3:$G$1000="")/0.1%+ROW($3:$1000),ROW()-2)-2)&amp;"",""),"")</f>
        <v/>
      </c>
      <c r="I702" s="22" t="str">
        <f t="shared" si="42"/>
        <v/>
      </c>
      <c r="J702" s="22" t="str">
        <f t="shared" si="43"/>
        <v/>
      </c>
    </row>
    <row r="703" spans="1:10">
      <c r="A703" s="56" t="str">
        <f>IF(AMS!H723="","",AMS!H723)</f>
        <v/>
      </c>
      <c r="B703" s="22" t="str">
        <f t="shared" si="40"/>
        <v/>
      </c>
      <c r="C703" s="22" t="str">
        <f t="array" ref="C703">IFERROR(INDEX(Summary!$I$3:$I$1000,SMALL((Summary!$I$3:$I$1000="")/0.1%+ROW($3:$1000),ROW()-2)-2)&amp;"","")</f>
        <v/>
      </c>
      <c r="D703" s="22" t="str">
        <v/>
      </c>
      <c r="E703" s="22" t="str">
        <f t="shared" si="41"/>
        <v/>
      </c>
      <c r="F703" s="56" t="str">
        <f>IF(AMS!I723="","",AMS!I723)</f>
        <v/>
      </c>
      <c r="G703" s="56" t="str">
        <f>IF(AMS!J723="","",AMS!J723)</f>
        <v/>
      </c>
      <c r="H703" s="22" t="str">
        <f t="array" ref="H703">IF(A703&lt;&gt;" ",IFERROR(INDEX(Summary!$G$3:$G$1000,SMALL((Summary!$G$3:$G$1000="")/0.1%+ROW($3:$1000),ROW()-2)-2)&amp;"",""),"")</f>
        <v/>
      </c>
      <c r="I703" s="22" t="str">
        <f t="shared" si="42"/>
        <v/>
      </c>
      <c r="J703" s="22" t="str">
        <f t="shared" si="43"/>
        <v/>
      </c>
    </row>
    <row r="704" spans="1:10">
      <c r="A704" s="56" t="str">
        <f>IF(AMS!H724="","",AMS!H724)</f>
        <v/>
      </c>
      <c r="B704" s="22" t="str">
        <f t="shared" si="40"/>
        <v/>
      </c>
      <c r="C704" s="22" t="str">
        <f t="array" ref="C704">IFERROR(INDEX(Summary!$I$3:$I$1000,SMALL((Summary!$I$3:$I$1000="")/0.1%+ROW($3:$1000),ROW()-2)-2)&amp;"","")</f>
        <v/>
      </c>
      <c r="D704" s="22" t="str">
        <v/>
      </c>
      <c r="E704" s="22" t="str">
        <f t="shared" si="41"/>
        <v/>
      </c>
      <c r="F704" s="56" t="str">
        <f>IF(AMS!I724="","",AMS!I724)</f>
        <v/>
      </c>
      <c r="G704" s="56" t="str">
        <f>IF(AMS!J724="","",AMS!J724)</f>
        <v/>
      </c>
      <c r="H704" s="22" t="str">
        <f t="array" ref="H704">IF(A704&lt;&gt;" ",IFERROR(INDEX(Summary!$G$3:$G$1000,SMALL((Summary!$G$3:$G$1000="")/0.1%+ROW($3:$1000),ROW()-2)-2)&amp;"",""),"")</f>
        <v/>
      </c>
      <c r="I704" s="22" t="str">
        <f t="shared" si="42"/>
        <v/>
      </c>
      <c r="J704" s="22" t="str">
        <f t="shared" si="43"/>
        <v/>
      </c>
    </row>
    <row r="705" spans="1:10">
      <c r="A705" s="56" t="str">
        <f>IF(AMS!H725="","",AMS!H725)</f>
        <v/>
      </c>
      <c r="B705" s="22" t="str">
        <f t="shared" si="40"/>
        <v/>
      </c>
      <c r="C705" s="22" t="str">
        <f t="array" ref="C705">IFERROR(INDEX(Summary!$I$3:$I$1000,SMALL((Summary!$I$3:$I$1000="")/0.1%+ROW($3:$1000),ROW()-2)-2)&amp;"","")</f>
        <v/>
      </c>
      <c r="D705" s="22" t="str">
        <v/>
      </c>
      <c r="E705" s="22" t="str">
        <f t="shared" si="41"/>
        <v/>
      </c>
      <c r="F705" s="56" t="str">
        <f>IF(AMS!I725="","",AMS!I725)</f>
        <v/>
      </c>
      <c r="G705" s="56" t="str">
        <f>IF(AMS!J725="","",AMS!J725)</f>
        <v/>
      </c>
      <c r="H705" s="22" t="str">
        <f t="array" ref="H705">IF(A705&lt;&gt;" ",IFERROR(INDEX(Summary!$G$3:$G$1000,SMALL((Summary!$G$3:$G$1000="")/0.1%+ROW($3:$1000),ROW()-2)-2)&amp;"",""),"")</f>
        <v/>
      </c>
      <c r="I705" s="22" t="str">
        <f t="shared" si="42"/>
        <v/>
      </c>
      <c r="J705" s="22" t="str">
        <f t="shared" si="43"/>
        <v/>
      </c>
    </row>
    <row r="706" spans="1:10">
      <c r="A706" s="56" t="str">
        <f>IF(AMS!H726="","",AMS!H726)</f>
        <v/>
      </c>
      <c r="B706" s="22" t="str">
        <f t="shared" si="40"/>
        <v/>
      </c>
      <c r="C706" s="22" t="str">
        <f t="array" ref="C706">IFERROR(INDEX(Summary!$I$3:$I$1000,SMALL((Summary!$I$3:$I$1000="")/0.1%+ROW($3:$1000),ROW()-2)-2)&amp;"","")</f>
        <v/>
      </c>
      <c r="D706" s="22" t="str">
        <v/>
      </c>
      <c r="E706" s="22" t="str">
        <f t="shared" si="41"/>
        <v/>
      </c>
      <c r="F706" s="56" t="str">
        <f>IF(AMS!I726="","",AMS!I726)</f>
        <v/>
      </c>
      <c r="G706" s="56" t="str">
        <f>IF(AMS!J726="","",AMS!J726)</f>
        <v/>
      </c>
      <c r="H706" s="22" t="str">
        <f t="array" ref="H706">IF(A706&lt;&gt;" ",IFERROR(INDEX(Summary!$G$3:$G$1000,SMALL((Summary!$G$3:$G$1000="")/0.1%+ROW($3:$1000),ROW()-2)-2)&amp;"",""),"")</f>
        <v/>
      </c>
      <c r="I706" s="22" t="str">
        <f t="shared" si="42"/>
        <v/>
      </c>
      <c r="J706" s="22" t="str">
        <f t="shared" si="43"/>
        <v/>
      </c>
    </row>
    <row r="707" spans="1:10">
      <c r="A707" s="56" t="str">
        <f>IF(AMS!H727="","",AMS!H727)</f>
        <v/>
      </c>
      <c r="B707" s="22" t="str">
        <f t="shared" ref="B707:B770" si="44">IF(A707&lt;&gt;"",IFERROR(IF(SEARCH(".",A707),LEFT(SUBSTITUTE(A707,".",""),6)),LEFT(SUBSTITUTE(SUBSTITUTE(TRIM(A707)," ","")," ",""),6)),"")</f>
        <v/>
      </c>
      <c r="C707" s="22" t="str">
        <f t="array" ref="C707">IFERROR(INDEX(Summary!$I$3:$I$1000,SMALL((Summary!$I$3:$I$1000="")/0.1%+ROW($3:$1000),ROW()-2)-2)&amp;"","")</f>
        <v/>
      </c>
      <c r="D707" s="22" t="str">
        <v/>
      </c>
      <c r="E707" s="22" t="str">
        <f t="shared" ref="E707:E770" si="45">LEFT(D707,6)</f>
        <v/>
      </c>
      <c r="F707" s="56" t="str">
        <f>IF(AMS!I727="","",AMS!I727)</f>
        <v/>
      </c>
      <c r="G707" s="56" t="str">
        <f>IF(AMS!J727="","",AMS!J727)</f>
        <v/>
      </c>
      <c r="H707" s="22" t="str">
        <f t="array" ref="H707">IF(A707&lt;&gt;" ",IFERROR(INDEX(Summary!$G$3:$G$1000,SMALL((Summary!$G$3:$G$1000="")/0.1%+ROW($3:$1000),ROW()-2)-2)&amp;"",""),"")</f>
        <v/>
      </c>
      <c r="I707" s="22" t="str">
        <f t="shared" ref="I707:I770" si="46">B707&amp;F707</f>
        <v/>
      </c>
      <c r="J707" s="22" t="str">
        <f t="shared" ref="J707:J770" si="47">IF(D707="","",RIGHT(D707,LEN(D707)-6))</f>
        <v/>
      </c>
    </row>
    <row r="708" spans="1:10">
      <c r="A708" s="56" t="str">
        <f>IF(AMS!H728="","",AMS!H728)</f>
        <v/>
      </c>
      <c r="B708" s="22" t="str">
        <f t="shared" si="44"/>
        <v/>
      </c>
      <c r="C708" s="22" t="str">
        <f t="array" ref="C708">IFERROR(INDEX(Summary!$I$3:$I$1000,SMALL((Summary!$I$3:$I$1000="")/0.1%+ROW($3:$1000),ROW()-2)-2)&amp;"","")</f>
        <v/>
      </c>
      <c r="D708" s="22" t="str">
        <v/>
      </c>
      <c r="E708" s="22" t="str">
        <f t="shared" si="45"/>
        <v/>
      </c>
      <c r="F708" s="56" t="str">
        <f>IF(AMS!I728="","",AMS!I728)</f>
        <v/>
      </c>
      <c r="G708" s="56" t="str">
        <f>IF(AMS!J728="","",AMS!J728)</f>
        <v/>
      </c>
      <c r="H708" s="22" t="str">
        <f t="array" ref="H708">IF(A708&lt;&gt;" ",IFERROR(INDEX(Summary!$G$3:$G$1000,SMALL((Summary!$G$3:$G$1000="")/0.1%+ROW($3:$1000),ROW()-2)-2)&amp;"",""),"")</f>
        <v/>
      </c>
      <c r="I708" s="22" t="str">
        <f t="shared" si="46"/>
        <v/>
      </c>
      <c r="J708" s="22" t="str">
        <f t="shared" si="47"/>
        <v/>
      </c>
    </row>
    <row r="709" spans="1:10">
      <c r="A709" s="56" t="str">
        <f>IF(AMS!H729="","",AMS!H729)</f>
        <v/>
      </c>
      <c r="B709" s="22" t="str">
        <f t="shared" si="44"/>
        <v/>
      </c>
      <c r="C709" s="22" t="str">
        <f t="array" ref="C709">IFERROR(INDEX(Summary!$I$3:$I$1000,SMALL((Summary!$I$3:$I$1000="")/0.1%+ROW($3:$1000),ROW()-2)-2)&amp;"","")</f>
        <v/>
      </c>
      <c r="D709" s="22" t="str">
        <v/>
      </c>
      <c r="E709" s="22" t="str">
        <f t="shared" si="45"/>
        <v/>
      </c>
      <c r="F709" s="56" t="str">
        <f>IF(AMS!I729="","",AMS!I729)</f>
        <v/>
      </c>
      <c r="G709" s="56" t="str">
        <f>IF(AMS!J729="","",AMS!J729)</f>
        <v/>
      </c>
      <c r="H709" s="22" t="str">
        <f t="array" ref="H709">IF(A709&lt;&gt;" ",IFERROR(INDEX(Summary!$G$3:$G$1000,SMALL((Summary!$G$3:$G$1000="")/0.1%+ROW($3:$1000),ROW()-2)-2)&amp;"",""),"")</f>
        <v/>
      </c>
      <c r="I709" s="22" t="str">
        <f t="shared" si="46"/>
        <v/>
      </c>
      <c r="J709" s="22" t="str">
        <f t="shared" si="47"/>
        <v/>
      </c>
    </row>
    <row r="710" spans="1:10">
      <c r="A710" s="56" t="str">
        <f>IF(AMS!H730="","",AMS!H730)</f>
        <v/>
      </c>
      <c r="B710" s="22" t="str">
        <f t="shared" si="44"/>
        <v/>
      </c>
      <c r="C710" s="22" t="str">
        <f t="array" ref="C710">IFERROR(INDEX(Summary!$I$3:$I$1000,SMALL((Summary!$I$3:$I$1000="")/0.1%+ROW($3:$1000),ROW()-2)-2)&amp;"","")</f>
        <v/>
      </c>
      <c r="D710" s="22" t="str">
        <v/>
      </c>
      <c r="E710" s="22" t="str">
        <f t="shared" si="45"/>
        <v/>
      </c>
      <c r="F710" s="56" t="str">
        <f>IF(AMS!I730="","",AMS!I730)</f>
        <v/>
      </c>
      <c r="G710" s="56" t="str">
        <f>IF(AMS!J730="","",AMS!J730)</f>
        <v/>
      </c>
      <c r="H710" s="22" t="str">
        <f t="array" ref="H710">IF(A710&lt;&gt;" ",IFERROR(INDEX(Summary!$G$3:$G$1000,SMALL((Summary!$G$3:$G$1000="")/0.1%+ROW($3:$1000),ROW()-2)-2)&amp;"",""),"")</f>
        <v/>
      </c>
      <c r="I710" s="22" t="str">
        <f t="shared" si="46"/>
        <v/>
      </c>
      <c r="J710" s="22" t="str">
        <f t="shared" si="47"/>
        <v/>
      </c>
    </row>
    <row r="711" spans="1:10">
      <c r="A711" s="56" t="str">
        <f>IF(AMS!H731="","",AMS!H731)</f>
        <v/>
      </c>
      <c r="B711" s="22" t="str">
        <f t="shared" si="44"/>
        <v/>
      </c>
      <c r="C711" s="22" t="str">
        <f t="array" ref="C711">IFERROR(INDEX(Summary!$I$3:$I$1000,SMALL((Summary!$I$3:$I$1000="")/0.1%+ROW($3:$1000),ROW()-2)-2)&amp;"","")</f>
        <v/>
      </c>
      <c r="D711" s="22" t="str">
        <v/>
      </c>
      <c r="E711" s="22" t="str">
        <f t="shared" si="45"/>
        <v/>
      </c>
      <c r="F711" s="56" t="str">
        <f>IF(AMS!I731="","",AMS!I731)</f>
        <v/>
      </c>
      <c r="G711" s="56" t="str">
        <f>IF(AMS!J731="","",AMS!J731)</f>
        <v/>
      </c>
      <c r="H711" s="22" t="str">
        <f t="array" ref="H711">IF(A711&lt;&gt;" ",IFERROR(INDEX(Summary!$G$3:$G$1000,SMALL((Summary!$G$3:$G$1000="")/0.1%+ROW($3:$1000),ROW()-2)-2)&amp;"",""),"")</f>
        <v/>
      </c>
      <c r="I711" s="22" t="str">
        <f t="shared" si="46"/>
        <v/>
      </c>
      <c r="J711" s="22" t="str">
        <f t="shared" si="47"/>
        <v/>
      </c>
    </row>
    <row r="712" spans="1:10">
      <c r="A712" s="56" t="str">
        <f>IF(AMS!H732="","",AMS!H732)</f>
        <v/>
      </c>
      <c r="B712" s="22" t="str">
        <f t="shared" si="44"/>
        <v/>
      </c>
      <c r="C712" s="22" t="str">
        <f t="array" ref="C712">IFERROR(INDEX(Summary!$I$3:$I$1000,SMALL((Summary!$I$3:$I$1000="")/0.1%+ROW($3:$1000),ROW()-2)-2)&amp;"","")</f>
        <v/>
      </c>
      <c r="D712" s="22" t="str">
        <v/>
      </c>
      <c r="E712" s="22" t="str">
        <f t="shared" si="45"/>
        <v/>
      </c>
      <c r="F712" s="56" t="str">
        <f>IF(AMS!I732="","",AMS!I732)</f>
        <v/>
      </c>
      <c r="G712" s="56" t="str">
        <f>IF(AMS!J732="","",AMS!J732)</f>
        <v/>
      </c>
      <c r="H712" s="22" t="str">
        <f t="array" ref="H712">IF(A712&lt;&gt;" ",IFERROR(INDEX(Summary!$G$3:$G$1000,SMALL((Summary!$G$3:$G$1000="")/0.1%+ROW($3:$1000),ROW()-2)-2)&amp;"",""),"")</f>
        <v/>
      </c>
      <c r="I712" s="22" t="str">
        <f t="shared" si="46"/>
        <v/>
      </c>
      <c r="J712" s="22" t="str">
        <f t="shared" si="47"/>
        <v/>
      </c>
    </row>
    <row r="713" spans="1:10">
      <c r="A713" s="56" t="str">
        <f>IF(AMS!H733="","",AMS!H733)</f>
        <v/>
      </c>
      <c r="B713" s="22" t="str">
        <f t="shared" si="44"/>
        <v/>
      </c>
      <c r="C713" s="22" t="str">
        <f t="array" ref="C713">IFERROR(INDEX(Summary!$I$3:$I$1000,SMALL((Summary!$I$3:$I$1000="")/0.1%+ROW($3:$1000),ROW()-2)-2)&amp;"","")</f>
        <v/>
      </c>
      <c r="D713" s="22" t="str">
        <v/>
      </c>
      <c r="E713" s="22" t="str">
        <f t="shared" si="45"/>
        <v/>
      </c>
      <c r="F713" s="56" t="str">
        <f>IF(AMS!I733="","",AMS!I733)</f>
        <v/>
      </c>
      <c r="G713" s="56" t="str">
        <f>IF(AMS!J733="","",AMS!J733)</f>
        <v/>
      </c>
      <c r="H713" s="22" t="str">
        <f t="array" ref="H713">IF(A713&lt;&gt;" ",IFERROR(INDEX(Summary!$G$3:$G$1000,SMALL((Summary!$G$3:$G$1000="")/0.1%+ROW($3:$1000),ROW()-2)-2)&amp;"",""),"")</f>
        <v/>
      </c>
      <c r="I713" s="22" t="str">
        <f t="shared" si="46"/>
        <v/>
      </c>
      <c r="J713" s="22" t="str">
        <f t="shared" si="47"/>
        <v/>
      </c>
    </row>
    <row r="714" spans="1:10">
      <c r="A714" s="56" t="str">
        <f>IF(AMS!H734="","",AMS!H734)</f>
        <v/>
      </c>
      <c r="B714" s="22" t="str">
        <f t="shared" si="44"/>
        <v/>
      </c>
      <c r="C714" s="22" t="str">
        <f t="array" ref="C714">IFERROR(INDEX(Summary!$I$3:$I$1000,SMALL((Summary!$I$3:$I$1000="")/0.1%+ROW($3:$1000),ROW()-2)-2)&amp;"","")</f>
        <v/>
      </c>
      <c r="D714" s="22" t="str">
        <v/>
      </c>
      <c r="E714" s="22" t="str">
        <f t="shared" si="45"/>
        <v/>
      </c>
      <c r="F714" s="56" t="str">
        <f>IF(AMS!I734="","",AMS!I734)</f>
        <v/>
      </c>
      <c r="G714" s="56" t="str">
        <f>IF(AMS!J734="","",AMS!J734)</f>
        <v/>
      </c>
      <c r="H714" s="22" t="str">
        <f t="array" ref="H714">IF(A714&lt;&gt;" ",IFERROR(INDEX(Summary!$G$3:$G$1000,SMALL((Summary!$G$3:$G$1000="")/0.1%+ROW($3:$1000),ROW()-2)-2)&amp;"",""),"")</f>
        <v/>
      </c>
      <c r="I714" s="22" t="str">
        <f t="shared" si="46"/>
        <v/>
      </c>
      <c r="J714" s="22" t="str">
        <f t="shared" si="47"/>
        <v/>
      </c>
    </row>
    <row r="715" spans="1:10">
      <c r="A715" s="56" t="str">
        <f>IF(AMS!H735="","",AMS!H735)</f>
        <v/>
      </c>
      <c r="B715" s="22" t="str">
        <f t="shared" si="44"/>
        <v/>
      </c>
      <c r="C715" s="22" t="str">
        <f t="array" ref="C715">IFERROR(INDEX(Summary!$I$3:$I$1000,SMALL((Summary!$I$3:$I$1000="")/0.1%+ROW($3:$1000),ROW()-2)-2)&amp;"","")</f>
        <v/>
      </c>
      <c r="D715" s="22" t="str">
        <v/>
      </c>
      <c r="E715" s="22" t="str">
        <f t="shared" si="45"/>
        <v/>
      </c>
      <c r="F715" s="56" t="str">
        <f>IF(AMS!I735="","",AMS!I735)</f>
        <v/>
      </c>
      <c r="G715" s="56" t="str">
        <f>IF(AMS!J735="","",AMS!J735)</f>
        <v/>
      </c>
      <c r="H715" s="22" t="str">
        <f t="array" ref="H715">IF(A715&lt;&gt;" ",IFERROR(INDEX(Summary!$G$3:$G$1000,SMALL((Summary!$G$3:$G$1000="")/0.1%+ROW($3:$1000),ROW()-2)-2)&amp;"",""),"")</f>
        <v/>
      </c>
      <c r="I715" s="22" t="str">
        <f t="shared" si="46"/>
        <v/>
      </c>
      <c r="J715" s="22" t="str">
        <f t="shared" si="47"/>
        <v/>
      </c>
    </row>
    <row r="716" spans="1:10">
      <c r="A716" s="56" t="str">
        <f>IF(AMS!H736="","",AMS!H736)</f>
        <v/>
      </c>
      <c r="B716" s="22" t="str">
        <f t="shared" si="44"/>
        <v/>
      </c>
      <c r="C716" s="22" t="str">
        <f t="array" ref="C716">IFERROR(INDEX(Summary!$I$3:$I$1000,SMALL((Summary!$I$3:$I$1000="")/0.1%+ROW($3:$1000),ROW()-2)-2)&amp;"","")</f>
        <v/>
      </c>
      <c r="D716" s="22" t="str">
        <v/>
      </c>
      <c r="E716" s="22" t="str">
        <f t="shared" si="45"/>
        <v/>
      </c>
      <c r="F716" s="56" t="str">
        <f>IF(AMS!I736="","",AMS!I736)</f>
        <v/>
      </c>
      <c r="G716" s="56" t="str">
        <f>IF(AMS!J736="","",AMS!J736)</f>
        <v/>
      </c>
      <c r="H716" s="22" t="str">
        <f t="array" ref="H716">IF(A716&lt;&gt;" ",IFERROR(INDEX(Summary!$G$3:$G$1000,SMALL((Summary!$G$3:$G$1000="")/0.1%+ROW($3:$1000),ROW()-2)-2)&amp;"",""),"")</f>
        <v/>
      </c>
      <c r="I716" s="22" t="str">
        <f t="shared" si="46"/>
        <v/>
      </c>
      <c r="J716" s="22" t="str">
        <f t="shared" si="47"/>
        <v/>
      </c>
    </row>
    <row r="717" spans="1:10">
      <c r="A717" s="56" t="str">
        <f>IF(AMS!H737="","",AMS!H737)</f>
        <v/>
      </c>
      <c r="B717" s="22" t="str">
        <f t="shared" si="44"/>
        <v/>
      </c>
      <c r="C717" s="22" t="str">
        <f t="array" ref="C717">IFERROR(INDEX(Summary!$I$3:$I$1000,SMALL((Summary!$I$3:$I$1000="")/0.1%+ROW($3:$1000),ROW()-2)-2)&amp;"","")</f>
        <v/>
      </c>
      <c r="D717" s="22" t="str">
        <v/>
      </c>
      <c r="E717" s="22" t="str">
        <f t="shared" si="45"/>
        <v/>
      </c>
      <c r="F717" s="56" t="str">
        <f>IF(AMS!I737="","",AMS!I737)</f>
        <v/>
      </c>
      <c r="G717" s="56" t="str">
        <f>IF(AMS!J737="","",AMS!J737)</f>
        <v/>
      </c>
      <c r="H717" s="22" t="str">
        <f t="array" ref="H717">IF(A717&lt;&gt;" ",IFERROR(INDEX(Summary!$G$3:$G$1000,SMALL((Summary!$G$3:$G$1000="")/0.1%+ROW($3:$1000),ROW()-2)-2)&amp;"",""),"")</f>
        <v/>
      </c>
      <c r="I717" s="22" t="str">
        <f t="shared" si="46"/>
        <v/>
      </c>
      <c r="J717" s="22" t="str">
        <f t="shared" si="47"/>
        <v/>
      </c>
    </row>
    <row r="718" spans="1:10">
      <c r="A718" s="56" t="str">
        <f>IF(AMS!H738="","",AMS!H738)</f>
        <v/>
      </c>
      <c r="B718" s="22" t="str">
        <f t="shared" si="44"/>
        <v/>
      </c>
      <c r="C718" s="22" t="str">
        <f t="array" ref="C718">IFERROR(INDEX(Summary!$I$3:$I$1000,SMALL((Summary!$I$3:$I$1000="")/0.1%+ROW($3:$1000),ROW()-2)-2)&amp;"","")</f>
        <v/>
      </c>
      <c r="D718" s="22" t="str">
        <v/>
      </c>
      <c r="E718" s="22" t="str">
        <f t="shared" si="45"/>
        <v/>
      </c>
      <c r="F718" s="56" t="str">
        <f>IF(AMS!I738="","",AMS!I738)</f>
        <v/>
      </c>
      <c r="G718" s="56" t="str">
        <f>IF(AMS!J738="","",AMS!J738)</f>
        <v/>
      </c>
      <c r="H718" s="22" t="str">
        <f t="array" ref="H718">IF(A718&lt;&gt;" ",IFERROR(INDEX(Summary!$G$3:$G$1000,SMALL((Summary!$G$3:$G$1000="")/0.1%+ROW($3:$1000),ROW()-2)-2)&amp;"",""),"")</f>
        <v/>
      </c>
      <c r="I718" s="22" t="str">
        <f t="shared" si="46"/>
        <v/>
      </c>
      <c r="J718" s="22" t="str">
        <f t="shared" si="47"/>
        <v/>
      </c>
    </row>
    <row r="719" spans="1:10">
      <c r="A719" s="56" t="str">
        <f>IF(AMS!H739="","",AMS!H739)</f>
        <v/>
      </c>
      <c r="B719" s="22" t="str">
        <f t="shared" si="44"/>
        <v/>
      </c>
      <c r="C719" s="22" t="str">
        <f t="array" ref="C719">IFERROR(INDEX(Summary!$I$3:$I$1000,SMALL((Summary!$I$3:$I$1000="")/0.1%+ROW($3:$1000),ROW()-2)-2)&amp;"","")</f>
        <v/>
      </c>
      <c r="D719" s="22" t="str">
        <v/>
      </c>
      <c r="E719" s="22" t="str">
        <f t="shared" si="45"/>
        <v/>
      </c>
      <c r="F719" s="56" t="str">
        <f>IF(AMS!I739="","",AMS!I739)</f>
        <v/>
      </c>
      <c r="G719" s="56" t="str">
        <f>IF(AMS!J739="","",AMS!J739)</f>
        <v/>
      </c>
      <c r="H719" s="22" t="str">
        <f t="array" ref="H719">IF(A719&lt;&gt;" ",IFERROR(INDEX(Summary!$G$3:$G$1000,SMALL((Summary!$G$3:$G$1000="")/0.1%+ROW($3:$1000),ROW()-2)-2)&amp;"",""),"")</f>
        <v/>
      </c>
      <c r="I719" s="22" t="str">
        <f t="shared" si="46"/>
        <v/>
      </c>
      <c r="J719" s="22" t="str">
        <f t="shared" si="47"/>
        <v/>
      </c>
    </row>
    <row r="720" spans="1:10">
      <c r="A720" s="56" t="str">
        <f>IF(AMS!H740="","",AMS!H740)</f>
        <v/>
      </c>
      <c r="B720" s="22" t="str">
        <f t="shared" si="44"/>
        <v/>
      </c>
      <c r="C720" s="22" t="str">
        <f t="array" ref="C720">IFERROR(INDEX(Summary!$I$3:$I$1000,SMALL((Summary!$I$3:$I$1000="")/0.1%+ROW($3:$1000),ROW()-2)-2)&amp;"","")</f>
        <v/>
      </c>
      <c r="D720" s="22" t="str">
        <v/>
      </c>
      <c r="E720" s="22" t="str">
        <f t="shared" si="45"/>
        <v/>
      </c>
      <c r="F720" s="56" t="str">
        <f>IF(AMS!I740="","",AMS!I740)</f>
        <v/>
      </c>
      <c r="G720" s="56" t="str">
        <f>IF(AMS!J740="","",AMS!J740)</f>
        <v/>
      </c>
      <c r="H720" s="22" t="str">
        <f t="array" ref="H720">IF(A720&lt;&gt;" ",IFERROR(INDEX(Summary!$G$3:$G$1000,SMALL((Summary!$G$3:$G$1000="")/0.1%+ROW($3:$1000),ROW()-2)-2)&amp;"",""),"")</f>
        <v/>
      </c>
      <c r="I720" s="22" t="str">
        <f t="shared" si="46"/>
        <v/>
      </c>
      <c r="J720" s="22" t="str">
        <f t="shared" si="47"/>
        <v/>
      </c>
    </row>
    <row r="721" spans="1:10">
      <c r="A721" s="56" t="str">
        <f>IF(AMS!H741="","",AMS!H741)</f>
        <v/>
      </c>
      <c r="B721" s="22" t="str">
        <f t="shared" si="44"/>
        <v/>
      </c>
      <c r="C721" s="22" t="str">
        <f t="array" ref="C721">IFERROR(INDEX(Summary!$I$3:$I$1000,SMALL((Summary!$I$3:$I$1000="")/0.1%+ROW($3:$1000),ROW()-2)-2)&amp;"","")</f>
        <v/>
      </c>
      <c r="D721" s="22" t="str">
        <v/>
      </c>
      <c r="E721" s="22" t="str">
        <f t="shared" si="45"/>
        <v/>
      </c>
      <c r="F721" s="56" t="str">
        <f>IF(AMS!I741="","",AMS!I741)</f>
        <v/>
      </c>
      <c r="G721" s="56" t="str">
        <f>IF(AMS!J741="","",AMS!J741)</f>
        <v/>
      </c>
      <c r="H721" s="22" t="str">
        <f t="array" ref="H721">IF(A721&lt;&gt;" ",IFERROR(INDEX(Summary!$G$3:$G$1000,SMALL((Summary!$G$3:$G$1000="")/0.1%+ROW($3:$1000),ROW()-2)-2)&amp;"",""),"")</f>
        <v/>
      </c>
      <c r="I721" s="22" t="str">
        <f t="shared" si="46"/>
        <v/>
      </c>
      <c r="J721" s="22" t="str">
        <f t="shared" si="47"/>
        <v/>
      </c>
    </row>
    <row r="722" spans="1:10">
      <c r="A722" s="56" t="str">
        <f>IF(AMS!H742="","",AMS!H742)</f>
        <v/>
      </c>
      <c r="B722" s="22" t="str">
        <f t="shared" si="44"/>
        <v/>
      </c>
      <c r="C722" s="22" t="str">
        <f t="array" ref="C722">IFERROR(INDEX(Summary!$I$3:$I$1000,SMALL((Summary!$I$3:$I$1000="")/0.1%+ROW($3:$1000),ROW()-2)-2)&amp;"","")</f>
        <v/>
      </c>
      <c r="D722" s="22" t="str">
        <v/>
      </c>
      <c r="E722" s="22" t="str">
        <f t="shared" si="45"/>
        <v/>
      </c>
      <c r="F722" s="56" t="str">
        <f>IF(AMS!I742="","",AMS!I742)</f>
        <v/>
      </c>
      <c r="G722" s="56" t="str">
        <f>IF(AMS!J742="","",AMS!J742)</f>
        <v/>
      </c>
      <c r="H722" s="22" t="str">
        <f t="array" ref="H722">IF(A722&lt;&gt;" ",IFERROR(INDEX(Summary!$G$3:$G$1000,SMALL((Summary!$G$3:$G$1000="")/0.1%+ROW($3:$1000),ROW()-2)-2)&amp;"",""),"")</f>
        <v/>
      </c>
      <c r="I722" s="22" t="str">
        <f t="shared" si="46"/>
        <v/>
      </c>
      <c r="J722" s="22" t="str">
        <f t="shared" si="47"/>
        <v/>
      </c>
    </row>
    <row r="723" spans="1:10">
      <c r="A723" s="56" t="str">
        <f>IF(AMS!H743="","",AMS!H743)</f>
        <v/>
      </c>
      <c r="B723" s="22" t="str">
        <f t="shared" si="44"/>
        <v/>
      </c>
      <c r="C723" s="22" t="str">
        <f t="array" ref="C723">IFERROR(INDEX(Summary!$I$3:$I$1000,SMALL((Summary!$I$3:$I$1000="")/0.1%+ROW($3:$1000),ROW()-2)-2)&amp;"","")</f>
        <v/>
      </c>
      <c r="D723" s="22" t="str">
        <v/>
      </c>
      <c r="E723" s="22" t="str">
        <f t="shared" si="45"/>
        <v/>
      </c>
      <c r="F723" s="56" t="str">
        <f>IF(AMS!I743="","",AMS!I743)</f>
        <v/>
      </c>
      <c r="G723" s="56" t="str">
        <f>IF(AMS!J743="","",AMS!J743)</f>
        <v/>
      </c>
      <c r="H723" s="22" t="str">
        <f t="array" ref="H723">IF(A723&lt;&gt;" ",IFERROR(INDEX(Summary!$G$3:$G$1000,SMALL((Summary!$G$3:$G$1000="")/0.1%+ROW($3:$1000),ROW()-2)-2)&amp;"",""),"")</f>
        <v/>
      </c>
      <c r="I723" s="22" t="str">
        <f t="shared" si="46"/>
        <v/>
      </c>
      <c r="J723" s="22" t="str">
        <f t="shared" si="47"/>
        <v/>
      </c>
    </row>
    <row r="724" spans="1:10">
      <c r="A724" s="56" t="str">
        <f>IF(AMS!H744="","",AMS!H744)</f>
        <v/>
      </c>
      <c r="B724" s="22" t="str">
        <f t="shared" si="44"/>
        <v/>
      </c>
      <c r="C724" s="22" t="str">
        <f t="array" ref="C724">IFERROR(INDEX(Summary!$I$3:$I$1000,SMALL((Summary!$I$3:$I$1000="")/0.1%+ROW($3:$1000),ROW()-2)-2)&amp;"","")</f>
        <v/>
      </c>
      <c r="D724" s="22" t="str">
        <v/>
      </c>
      <c r="E724" s="22" t="str">
        <f t="shared" si="45"/>
        <v/>
      </c>
      <c r="F724" s="56" t="str">
        <f>IF(AMS!I744="","",AMS!I744)</f>
        <v/>
      </c>
      <c r="G724" s="56" t="str">
        <f>IF(AMS!J744="","",AMS!J744)</f>
        <v/>
      </c>
      <c r="H724" s="22" t="str">
        <f t="array" ref="H724">IF(A724&lt;&gt;" ",IFERROR(INDEX(Summary!$G$3:$G$1000,SMALL((Summary!$G$3:$G$1000="")/0.1%+ROW($3:$1000),ROW()-2)-2)&amp;"",""),"")</f>
        <v/>
      </c>
      <c r="I724" s="22" t="str">
        <f t="shared" si="46"/>
        <v/>
      </c>
      <c r="J724" s="22" t="str">
        <f t="shared" si="47"/>
        <v/>
      </c>
    </row>
    <row r="725" spans="1:10">
      <c r="A725" s="56" t="str">
        <f>IF(AMS!H745="","",AMS!H745)</f>
        <v/>
      </c>
      <c r="B725" s="22" t="str">
        <f t="shared" si="44"/>
        <v/>
      </c>
      <c r="C725" s="22" t="str">
        <f t="array" ref="C725">IFERROR(INDEX(Summary!$I$3:$I$1000,SMALL((Summary!$I$3:$I$1000="")/0.1%+ROW($3:$1000),ROW()-2)-2)&amp;"","")</f>
        <v/>
      </c>
      <c r="D725" s="22" t="str">
        <v/>
      </c>
      <c r="E725" s="22" t="str">
        <f t="shared" si="45"/>
        <v/>
      </c>
      <c r="F725" s="56" t="str">
        <f>IF(AMS!I745="","",AMS!I745)</f>
        <v/>
      </c>
      <c r="G725" s="56" t="str">
        <f>IF(AMS!J745="","",AMS!J745)</f>
        <v/>
      </c>
      <c r="H725" s="22" t="str">
        <f t="array" ref="H725">IF(A725&lt;&gt;" ",IFERROR(INDEX(Summary!$G$3:$G$1000,SMALL((Summary!$G$3:$G$1000="")/0.1%+ROW($3:$1000),ROW()-2)-2)&amp;"",""),"")</f>
        <v/>
      </c>
      <c r="I725" s="22" t="str">
        <f t="shared" si="46"/>
        <v/>
      </c>
      <c r="J725" s="22" t="str">
        <f t="shared" si="47"/>
        <v/>
      </c>
    </row>
    <row r="726" spans="1:10">
      <c r="A726" s="56" t="str">
        <f>IF(AMS!H746="","",AMS!H746)</f>
        <v/>
      </c>
      <c r="B726" s="22" t="str">
        <f t="shared" si="44"/>
        <v/>
      </c>
      <c r="C726" s="22" t="str">
        <f t="array" ref="C726">IFERROR(INDEX(Summary!$I$3:$I$1000,SMALL((Summary!$I$3:$I$1000="")/0.1%+ROW($3:$1000),ROW()-2)-2)&amp;"","")</f>
        <v/>
      </c>
      <c r="D726" s="22" t="str">
        <v/>
      </c>
      <c r="E726" s="22" t="str">
        <f t="shared" si="45"/>
        <v/>
      </c>
      <c r="F726" s="56" t="str">
        <f>IF(AMS!I746="","",AMS!I746)</f>
        <v/>
      </c>
      <c r="G726" s="56" t="str">
        <f>IF(AMS!J746="","",AMS!J746)</f>
        <v/>
      </c>
      <c r="H726" s="22" t="str">
        <f t="array" ref="H726">IF(A726&lt;&gt;" ",IFERROR(INDEX(Summary!$G$3:$G$1000,SMALL((Summary!$G$3:$G$1000="")/0.1%+ROW($3:$1000),ROW()-2)-2)&amp;"",""),"")</f>
        <v/>
      </c>
      <c r="I726" s="22" t="str">
        <f t="shared" si="46"/>
        <v/>
      </c>
      <c r="J726" s="22" t="str">
        <f t="shared" si="47"/>
        <v/>
      </c>
    </row>
    <row r="727" spans="1:10">
      <c r="A727" s="56" t="str">
        <f>IF(AMS!H747="","",AMS!H747)</f>
        <v/>
      </c>
      <c r="B727" s="22" t="str">
        <f t="shared" si="44"/>
        <v/>
      </c>
      <c r="C727" s="22" t="str">
        <f t="array" ref="C727">IFERROR(INDEX(Summary!$I$3:$I$1000,SMALL((Summary!$I$3:$I$1000="")/0.1%+ROW($3:$1000),ROW()-2)-2)&amp;"","")</f>
        <v/>
      </c>
      <c r="D727" s="22" t="str">
        <v/>
      </c>
      <c r="E727" s="22" t="str">
        <f t="shared" si="45"/>
        <v/>
      </c>
      <c r="F727" s="56" t="str">
        <f>IF(AMS!I747="","",AMS!I747)</f>
        <v/>
      </c>
      <c r="G727" s="56" t="str">
        <f>IF(AMS!J747="","",AMS!J747)</f>
        <v/>
      </c>
      <c r="H727" s="22" t="str">
        <f t="array" ref="H727">IF(A727&lt;&gt;" ",IFERROR(INDEX(Summary!$G$3:$G$1000,SMALL((Summary!$G$3:$G$1000="")/0.1%+ROW($3:$1000),ROW()-2)-2)&amp;"",""),"")</f>
        <v/>
      </c>
      <c r="I727" s="22" t="str">
        <f t="shared" si="46"/>
        <v/>
      </c>
      <c r="J727" s="22" t="str">
        <f t="shared" si="47"/>
        <v/>
      </c>
    </row>
    <row r="728" spans="1:10">
      <c r="A728" s="56" t="str">
        <f>IF(AMS!H748="","",AMS!H748)</f>
        <v/>
      </c>
      <c r="B728" s="22" t="str">
        <f t="shared" si="44"/>
        <v/>
      </c>
      <c r="C728" s="22" t="str">
        <f t="array" ref="C728">IFERROR(INDEX(Summary!$I$3:$I$1000,SMALL((Summary!$I$3:$I$1000="")/0.1%+ROW($3:$1000),ROW()-2)-2)&amp;"","")</f>
        <v/>
      </c>
      <c r="D728" s="22" t="str">
        <v/>
      </c>
      <c r="E728" s="22" t="str">
        <f t="shared" si="45"/>
        <v/>
      </c>
      <c r="F728" s="56" t="str">
        <f>IF(AMS!I748="","",AMS!I748)</f>
        <v/>
      </c>
      <c r="G728" s="56" t="str">
        <f>IF(AMS!J748="","",AMS!J748)</f>
        <v/>
      </c>
      <c r="H728" s="22" t="str">
        <f t="array" ref="H728">IF(A728&lt;&gt;" ",IFERROR(INDEX(Summary!$G$3:$G$1000,SMALL((Summary!$G$3:$G$1000="")/0.1%+ROW($3:$1000),ROW()-2)-2)&amp;"",""),"")</f>
        <v/>
      </c>
      <c r="I728" s="22" t="str">
        <f t="shared" si="46"/>
        <v/>
      </c>
      <c r="J728" s="22" t="str">
        <f t="shared" si="47"/>
        <v/>
      </c>
    </row>
    <row r="729" spans="1:10">
      <c r="A729" s="56" t="str">
        <f>IF(AMS!H749="","",AMS!H749)</f>
        <v/>
      </c>
      <c r="B729" s="22" t="str">
        <f t="shared" si="44"/>
        <v/>
      </c>
      <c r="C729" s="22" t="str">
        <f t="array" ref="C729">IFERROR(INDEX(Summary!$I$3:$I$1000,SMALL((Summary!$I$3:$I$1000="")/0.1%+ROW($3:$1000),ROW()-2)-2)&amp;"","")</f>
        <v/>
      </c>
      <c r="D729" s="22" t="str">
        <v/>
      </c>
      <c r="E729" s="22" t="str">
        <f t="shared" si="45"/>
        <v/>
      </c>
      <c r="F729" s="56" t="str">
        <f>IF(AMS!I749="","",AMS!I749)</f>
        <v/>
      </c>
      <c r="G729" s="56" t="str">
        <f>IF(AMS!J749="","",AMS!J749)</f>
        <v/>
      </c>
      <c r="H729" s="22" t="str">
        <f t="array" ref="H729">IF(A729&lt;&gt;" ",IFERROR(INDEX(Summary!$G$3:$G$1000,SMALL((Summary!$G$3:$G$1000="")/0.1%+ROW($3:$1000),ROW()-2)-2)&amp;"",""),"")</f>
        <v/>
      </c>
      <c r="I729" s="22" t="str">
        <f t="shared" si="46"/>
        <v/>
      </c>
      <c r="J729" s="22" t="str">
        <f t="shared" si="47"/>
        <v/>
      </c>
    </row>
    <row r="730" spans="1:10">
      <c r="A730" s="56" t="str">
        <f>IF(AMS!H750="","",AMS!H750)</f>
        <v/>
      </c>
      <c r="B730" s="22" t="str">
        <f t="shared" si="44"/>
        <v/>
      </c>
      <c r="C730" s="22" t="str">
        <f t="array" ref="C730">IFERROR(INDEX(Summary!$I$3:$I$1000,SMALL((Summary!$I$3:$I$1000="")/0.1%+ROW($3:$1000),ROW()-2)-2)&amp;"","")</f>
        <v/>
      </c>
      <c r="D730" s="22" t="str">
        <v/>
      </c>
      <c r="E730" s="22" t="str">
        <f t="shared" si="45"/>
        <v/>
      </c>
      <c r="F730" s="56" t="str">
        <f>IF(AMS!I750="","",AMS!I750)</f>
        <v/>
      </c>
      <c r="G730" s="56" t="str">
        <f>IF(AMS!J750="","",AMS!J750)</f>
        <v/>
      </c>
      <c r="H730" s="22" t="str">
        <f t="array" ref="H730">IF(A730&lt;&gt;" ",IFERROR(INDEX(Summary!$G$3:$G$1000,SMALL((Summary!$G$3:$G$1000="")/0.1%+ROW($3:$1000),ROW()-2)-2)&amp;"",""),"")</f>
        <v/>
      </c>
      <c r="I730" s="22" t="str">
        <f t="shared" si="46"/>
        <v/>
      </c>
      <c r="J730" s="22" t="str">
        <f t="shared" si="47"/>
        <v/>
      </c>
    </row>
    <row r="731" spans="1:10">
      <c r="A731" s="56" t="str">
        <f>IF(AMS!H751="","",AMS!H751)</f>
        <v/>
      </c>
      <c r="B731" s="22" t="str">
        <f t="shared" si="44"/>
        <v/>
      </c>
      <c r="C731" s="22" t="str">
        <f t="array" ref="C731">IFERROR(INDEX(Summary!$I$3:$I$1000,SMALL((Summary!$I$3:$I$1000="")/0.1%+ROW($3:$1000),ROW()-2)-2)&amp;"","")</f>
        <v/>
      </c>
      <c r="D731" s="22" t="str">
        <v/>
      </c>
      <c r="E731" s="22" t="str">
        <f t="shared" si="45"/>
        <v/>
      </c>
      <c r="F731" s="56" t="str">
        <f>IF(AMS!I751="","",AMS!I751)</f>
        <v/>
      </c>
      <c r="G731" s="56" t="str">
        <f>IF(AMS!J751="","",AMS!J751)</f>
        <v/>
      </c>
      <c r="H731" s="22" t="str">
        <f t="array" ref="H731">IF(A731&lt;&gt;" ",IFERROR(INDEX(Summary!$G$3:$G$1000,SMALL((Summary!$G$3:$G$1000="")/0.1%+ROW($3:$1000),ROW()-2)-2)&amp;"",""),"")</f>
        <v/>
      </c>
      <c r="I731" s="22" t="str">
        <f t="shared" si="46"/>
        <v/>
      </c>
      <c r="J731" s="22" t="str">
        <f t="shared" si="47"/>
        <v/>
      </c>
    </row>
    <row r="732" spans="1:10">
      <c r="A732" s="56" t="str">
        <f>IF(AMS!H752="","",AMS!H752)</f>
        <v/>
      </c>
      <c r="B732" s="22" t="str">
        <f t="shared" si="44"/>
        <v/>
      </c>
      <c r="C732" s="22" t="str">
        <f t="array" ref="C732">IFERROR(INDEX(Summary!$I$3:$I$1000,SMALL((Summary!$I$3:$I$1000="")/0.1%+ROW($3:$1000),ROW()-2)-2)&amp;"","")</f>
        <v/>
      </c>
      <c r="D732" s="22" t="str">
        <v/>
      </c>
      <c r="E732" s="22" t="str">
        <f t="shared" si="45"/>
        <v/>
      </c>
      <c r="F732" s="56" t="str">
        <f>IF(AMS!I752="","",AMS!I752)</f>
        <v/>
      </c>
      <c r="G732" s="56" t="str">
        <f>IF(AMS!J752="","",AMS!J752)</f>
        <v/>
      </c>
      <c r="H732" s="22" t="str">
        <f t="array" ref="H732">IF(A732&lt;&gt;" ",IFERROR(INDEX(Summary!$G$3:$G$1000,SMALL((Summary!$G$3:$G$1000="")/0.1%+ROW($3:$1000),ROW()-2)-2)&amp;"",""),"")</f>
        <v/>
      </c>
      <c r="I732" s="22" t="str">
        <f t="shared" si="46"/>
        <v/>
      </c>
      <c r="J732" s="22" t="str">
        <f t="shared" si="47"/>
        <v/>
      </c>
    </row>
    <row r="733" spans="1:10">
      <c r="A733" s="56" t="str">
        <f>IF(AMS!H753="","",AMS!H753)</f>
        <v/>
      </c>
      <c r="B733" s="22" t="str">
        <f t="shared" si="44"/>
        <v/>
      </c>
      <c r="C733" s="22" t="str">
        <f t="array" ref="C733">IFERROR(INDEX(Summary!$I$3:$I$1000,SMALL((Summary!$I$3:$I$1000="")/0.1%+ROW($3:$1000),ROW()-2)-2)&amp;"","")</f>
        <v/>
      </c>
      <c r="D733" s="22" t="str">
        <v/>
      </c>
      <c r="E733" s="22" t="str">
        <f t="shared" si="45"/>
        <v/>
      </c>
      <c r="F733" s="56" t="str">
        <f>IF(AMS!I753="","",AMS!I753)</f>
        <v/>
      </c>
      <c r="G733" s="56" t="str">
        <f>IF(AMS!J753="","",AMS!J753)</f>
        <v/>
      </c>
      <c r="H733" s="22" t="str">
        <f t="array" ref="H733">IF(A733&lt;&gt;" ",IFERROR(INDEX(Summary!$G$3:$G$1000,SMALL((Summary!$G$3:$G$1000="")/0.1%+ROW($3:$1000),ROW()-2)-2)&amp;"",""),"")</f>
        <v/>
      </c>
      <c r="I733" s="22" t="str">
        <f t="shared" si="46"/>
        <v/>
      </c>
      <c r="J733" s="22" t="str">
        <f t="shared" si="47"/>
        <v/>
      </c>
    </row>
    <row r="734" spans="1:10">
      <c r="A734" s="56" t="str">
        <f>IF(AMS!H754="","",AMS!H754)</f>
        <v/>
      </c>
      <c r="B734" s="22" t="str">
        <f t="shared" si="44"/>
        <v/>
      </c>
      <c r="C734" s="22" t="str">
        <f t="array" ref="C734">IFERROR(INDEX(Summary!$I$3:$I$1000,SMALL((Summary!$I$3:$I$1000="")/0.1%+ROW($3:$1000),ROW()-2)-2)&amp;"","")</f>
        <v/>
      </c>
      <c r="D734" s="22" t="str">
        <v/>
      </c>
      <c r="E734" s="22" t="str">
        <f t="shared" si="45"/>
        <v/>
      </c>
      <c r="F734" s="56" t="str">
        <f>IF(AMS!I754="","",AMS!I754)</f>
        <v/>
      </c>
      <c r="G734" s="56" t="str">
        <f>IF(AMS!J754="","",AMS!J754)</f>
        <v/>
      </c>
      <c r="H734" s="22" t="str">
        <f t="array" ref="H734">IF(A734&lt;&gt;" ",IFERROR(INDEX(Summary!$G$3:$G$1000,SMALL((Summary!$G$3:$G$1000="")/0.1%+ROW($3:$1000),ROW()-2)-2)&amp;"",""),"")</f>
        <v/>
      </c>
      <c r="I734" s="22" t="str">
        <f t="shared" si="46"/>
        <v/>
      </c>
      <c r="J734" s="22" t="str">
        <f t="shared" si="47"/>
        <v/>
      </c>
    </row>
    <row r="735" spans="1:10">
      <c r="A735" s="56" t="str">
        <f>IF(AMS!H755="","",AMS!H755)</f>
        <v/>
      </c>
      <c r="B735" s="22" t="str">
        <f t="shared" si="44"/>
        <v/>
      </c>
      <c r="C735" s="22" t="str">
        <f t="array" ref="C735">IFERROR(INDEX(Summary!$I$3:$I$1000,SMALL((Summary!$I$3:$I$1000="")/0.1%+ROW($3:$1000),ROW()-2)-2)&amp;"","")</f>
        <v/>
      </c>
      <c r="D735" s="22" t="str">
        <v/>
      </c>
      <c r="E735" s="22" t="str">
        <f t="shared" si="45"/>
        <v/>
      </c>
      <c r="F735" s="56" t="str">
        <f>IF(AMS!I755="","",AMS!I755)</f>
        <v/>
      </c>
      <c r="G735" s="56" t="str">
        <f>IF(AMS!J755="","",AMS!J755)</f>
        <v/>
      </c>
      <c r="H735" s="22" t="str">
        <f t="array" ref="H735">IF(A735&lt;&gt;" ",IFERROR(INDEX(Summary!$G$3:$G$1000,SMALL((Summary!$G$3:$G$1000="")/0.1%+ROW($3:$1000),ROW()-2)-2)&amp;"",""),"")</f>
        <v/>
      </c>
      <c r="I735" s="22" t="str">
        <f t="shared" si="46"/>
        <v/>
      </c>
      <c r="J735" s="22" t="str">
        <f t="shared" si="47"/>
        <v/>
      </c>
    </row>
    <row r="736" spans="1:10">
      <c r="A736" s="56" t="str">
        <f>IF(AMS!H756="","",AMS!H756)</f>
        <v/>
      </c>
      <c r="B736" s="22" t="str">
        <f t="shared" si="44"/>
        <v/>
      </c>
      <c r="C736" s="22" t="str">
        <f t="array" ref="C736">IFERROR(INDEX(Summary!$I$3:$I$1000,SMALL((Summary!$I$3:$I$1000="")/0.1%+ROW($3:$1000),ROW()-2)-2)&amp;"","")</f>
        <v/>
      </c>
      <c r="D736" s="22" t="str">
        <v/>
      </c>
      <c r="E736" s="22" t="str">
        <f t="shared" si="45"/>
        <v/>
      </c>
      <c r="F736" s="56" t="str">
        <f>IF(AMS!I756="","",AMS!I756)</f>
        <v/>
      </c>
      <c r="G736" s="56" t="str">
        <f>IF(AMS!J756="","",AMS!J756)</f>
        <v/>
      </c>
      <c r="H736" s="22" t="str">
        <f t="array" ref="H736">IF(A736&lt;&gt;" ",IFERROR(INDEX(Summary!$G$3:$G$1000,SMALL((Summary!$G$3:$G$1000="")/0.1%+ROW($3:$1000),ROW()-2)-2)&amp;"",""),"")</f>
        <v/>
      </c>
      <c r="I736" s="22" t="str">
        <f t="shared" si="46"/>
        <v/>
      </c>
      <c r="J736" s="22" t="str">
        <f t="shared" si="47"/>
        <v/>
      </c>
    </row>
    <row r="737" spans="1:10">
      <c r="A737" s="56" t="str">
        <f>IF(AMS!H757="","",AMS!H757)</f>
        <v/>
      </c>
      <c r="B737" s="22" t="str">
        <f t="shared" si="44"/>
        <v/>
      </c>
      <c r="C737" s="22" t="str">
        <f t="array" ref="C737">IFERROR(INDEX(Summary!$I$3:$I$1000,SMALL((Summary!$I$3:$I$1000="")/0.1%+ROW($3:$1000),ROW()-2)-2)&amp;"","")</f>
        <v/>
      </c>
      <c r="D737" s="22" t="str">
        <v/>
      </c>
      <c r="E737" s="22" t="str">
        <f t="shared" si="45"/>
        <v/>
      </c>
      <c r="F737" s="56" t="str">
        <f>IF(AMS!I757="","",AMS!I757)</f>
        <v/>
      </c>
      <c r="G737" s="56" t="str">
        <f>IF(AMS!J757="","",AMS!J757)</f>
        <v/>
      </c>
      <c r="H737" s="22" t="str">
        <f t="array" ref="H737">IF(A737&lt;&gt;" ",IFERROR(INDEX(Summary!$G$3:$G$1000,SMALL((Summary!$G$3:$G$1000="")/0.1%+ROW($3:$1000),ROW()-2)-2)&amp;"",""),"")</f>
        <v/>
      </c>
      <c r="I737" s="22" t="str">
        <f t="shared" si="46"/>
        <v/>
      </c>
      <c r="J737" s="22" t="str">
        <f t="shared" si="47"/>
        <v/>
      </c>
    </row>
    <row r="738" spans="1:10">
      <c r="A738" s="56" t="str">
        <f>IF(AMS!H758="","",AMS!H758)</f>
        <v/>
      </c>
      <c r="B738" s="22" t="str">
        <f t="shared" si="44"/>
        <v/>
      </c>
      <c r="C738" s="22" t="str">
        <f t="array" ref="C738">IFERROR(INDEX(Summary!$I$3:$I$1000,SMALL((Summary!$I$3:$I$1000="")/0.1%+ROW($3:$1000),ROW()-2)-2)&amp;"","")</f>
        <v/>
      </c>
      <c r="D738" s="22" t="str">
        <v/>
      </c>
      <c r="E738" s="22" t="str">
        <f t="shared" si="45"/>
        <v/>
      </c>
      <c r="F738" s="56" t="str">
        <f>IF(AMS!I758="","",AMS!I758)</f>
        <v/>
      </c>
      <c r="G738" s="56" t="str">
        <f>IF(AMS!J758="","",AMS!J758)</f>
        <v/>
      </c>
      <c r="H738" s="22" t="str">
        <f t="array" ref="H738">IF(A738&lt;&gt;" ",IFERROR(INDEX(Summary!$G$3:$G$1000,SMALL((Summary!$G$3:$G$1000="")/0.1%+ROW($3:$1000),ROW()-2)-2)&amp;"",""),"")</f>
        <v/>
      </c>
      <c r="I738" s="22" t="str">
        <f t="shared" si="46"/>
        <v/>
      </c>
      <c r="J738" s="22" t="str">
        <f t="shared" si="47"/>
        <v/>
      </c>
    </row>
    <row r="739" spans="1:10">
      <c r="A739" s="56" t="str">
        <f>IF(AMS!H759="","",AMS!H759)</f>
        <v/>
      </c>
      <c r="B739" s="22" t="str">
        <f t="shared" si="44"/>
        <v/>
      </c>
      <c r="C739" s="22" t="str">
        <f t="array" ref="C739">IFERROR(INDEX(Summary!$I$3:$I$1000,SMALL((Summary!$I$3:$I$1000="")/0.1%+ROW($3:$1000),ROW()-2)-2)&amp;"","")</f>
        <v/>
      </c>
      <c r="D739" s="22" t="str">
        <v/>
      </c>
      <c r="E739" s="22" t="str">
        <f t="shared" si="45"/>
        <v/>
      </c>
      <c r="F739" s="56" t="str">
        <f>IF(AMS!I759="","",AMS!I759)</f>
        <v/>
      </c>
      <c r="G739" s="56" t="str">
        <f>IF(AMS!J759="","",AMS!J759)</f>
        <v/>
      </c>
      <c r="H739" s="22" t="str">
        <f t="array" ref="H739">IF(A739&lt;&gt;" ",IFERROR(INDEX(Summary!$G$3:$G$1000,SMALL((Summary!$G$3:$G$1000="")/0.1%+ROW($3:$1000),ROW()-2)-2)&amp;"",""),"")</f>
        <v/>
      </c>
      <c r="I739" s="22" t="str">
        <f t="shared" si="46"/>
        <v/>
      </c>
      <c r="J739" s="22" t="str">
        <f t="shared" si="47"/>
        <v/>
      </c>
    </row>
    <row r="740" spans="1:10">
      <c r="A740" s="56" t="str">
        <f>IF(AMS!H760="","",AMS!H760)</f>
        <v/>
      </c>
      <c r="B740" s="22" t="str">
        <f t="shared" si="44"/>
        <v/>
      </c>
      <c r="C740" s="22" t="str">
        <f t="array" ref="C740">IFERROR(INDEX(Summary!$I$3:$I$1000,SMALL((Summary!$I$3:$I$1000="")/0.1%+ROW($3:$1000),ROW()-2)-2)&amp;"","")</f>
        <v/>
      </c>
      <c r="D740" s="22" t="str">
        <v/>
      </c>
      <c r="E740" s="22" t="str">
        <f t="shared" si="45"/>
        <v/>
      </c>
      <c r="F740" s="56" t="str">
        <f>IF(AMS!I760="","",AMS!I760)</f>
        <v/>
      </c>
      <c r="G740" s="56" t="str">
        <f>IF(AMS!J760="","",AMS!J760)</f>
        <v/>
      </c>
      <c r="H740" s="22" t="str">
        <f t="array" ref="H740">IF(A740&lt;&gt;" ",IFERROR(INDEX(Summary!$G$3:$G$1000,SMALL((Summary!$G$3:$G$1000="")/0.1%+ROW($3:$1000),ROW()-2)-2)&amp;"",""),"")</f>
        <v/>
      </c>
      <c r="I740" s="22" t="str">
        <f t="shared" si="46"/>
        <v/>
      </c>
      <c r="J740" s="22" t="str">
        <f t="shared" si="47"/>
        <v/>
      </c>
    </row>
    <row r="741" spans="1:10">
      <c r="A741" s="56" t="str">
        <f>IF(AMS!H761="","",AMS!H761)</f>
        <v/>
      </c>
      <c r="B741" s="22" t="str">
        <f t="shared" si="44"/>
        <v/>
      </c>
      <c r="C741" s="22" t="str">
        <f t="array" ref="C741">IFERROR(INDEX(Summary!$I$3:$I$1000,SMALL((Summary!$I$3:$I$1000="")/0.1%+ROW($3:$1000),ROW()-2)-2)&amp;"","")</f>
        <v/>
      </c>
      <c r="D741" s="22" t="str">
        <v/>
      </c>
      <c r="E741" s="22" t="str">
        <f t="shared" si="45"/>
        <v/>
      </c>
      <c r="F741" s="56" t="str">
        <f>IF(AMS!I761="","",AMS!I761)</f>
        <v/>
      </c>
      <c r="G741" s="56" t="str">
        <f>IF(AMS!J761="","",AMS!J761)</f>
        <v/>
      </c>
      <c r="H741" s="22" t="str">
        <f t="array" ref="H741">IF(A741&lt;&gt;" ",IFERROR(INDEX(Summary!$G$3:$G$1000,SMALL((Summary!$G$3:$G$1000="")/0.1%+ROW($3:$1000),ROW()-2)-2)&amp;"",""),"")</f>
        <v/>
      </c>
      <c r="I741" s="22" t="str">
        <f t="shared" si="46"/>
        <v/>
      </c>
      <c r="J741" s="22" t="str">
        <f t="shared" si="47"/>
        <v/>
      </c>
    </row>
    <row r="742" spans="1:10">
      <c r="A742" s="56" t="str">
        <f>IF(AMS!H762="","",AMS!H762)</f>
        <v/>
      </c>
      <c r="B742" s="22" t="str">
        <f t="shared" si="44"/>
        <v/>
      </c>
      <c r="C742" s="22" t="str">
        <f t="array" ref="C742">IFERROR(INDEX(Summary!$I$3:$I$1000,SMALL((Summary!$I$3:$I$1000="")/0.1%+ROW($3:$1000),ROW()-2)-2)&amp;"","")</f>
        <v/>
      </c>
      <c r="D742" s="22" t="str">
        <v/>
      </c>
      <c r="E742" s="22" t="str">
        <f t="shared" si="45"/>
        <v/>
      </c>
      <c r="F742" s="56" t="str">
        <f>IF(AMS!I762="","",AMS!I762)</f>
        <v/>
      </c>
      <c r="G742" s="56" t="str">
        <f>IF(AMS!J762="","",AMS!J762)</f>
        <v/>
      </c>
      <c r="H742" s="22" t="str">
        <f t="array" ref="H742">IF(A742&lt;&gt;" ",IFERROR(INDEX(Summary!$G$3:$G$1000,SMALL((Summary!$G$3:$G$1000="")/0.1%+ROW($3:$1000),ROW()-2)-2)&amp;"",""),"")</f>
        <v/>
      </c>
      <c r="I742" s="22" t="str">
        <f t="shared" si="46"/>
        <v/>
      </c>
      <c r="J742" s="22" t="str">
        <f t="shared" si="47"/>
        <v/>
      </c>
    </row>
    <row r="743" spans="1:10">
      <c r="A743" s="56" t="str">
        <f>IF(AMS!H763="","",AMS!H763)</f>
        <v/>
      </c>
      <c r="B743" s="22" t="str">
        <f t="shared" si="44"/>
        <v/>
      </c>
      <c r="C743" s="22" t="str">
        <f t="array" ref="C743">IFERROR(INDEX(Summary!$I$3:$I$1000,SMALL((Summary!$I$3:$I$1000="")/0.1%+ROW($3:$1000),ROW()-2)-2)&amp;"","")</f>
        <v/>
      </c>
      <c r="D743" s="22" t="str">
        <v/>
      </c>
      <c r="E743" s="22" t="str">
        <f t="shared" si="45"/>
        <v/>
      </c>
      <c r="F743" s="56" t="str">
        <f>IF(AMS!I763="","",AMS!I763)</f>
        <v/>
      </c>
      <c r="G743" s="56" t="str">
        <f>IF(AMS!J763="","",AMS!J763)</f>
        <v/>
      </c>
      <c r="H743" s="22" t="str">
        <f t="array" ref="H743">IF(A743&lt;&gt;" ",IFERROR(INDEX(Summary!$G$3:$G$1000,SMALL((Summary!$G$3:$G$1000="")/0.1%+ROW($3:$1000),ROW()-2)-2)&amp;"",""),"")</f>
        <v/>
      </c>
      <c r="I743" s="22" t="str">
        <f t="shared" si="46"/>
        <v/>
      </c>
      <c r="J743" s="22" t="str">
        <f t="shared" si="47"/>
        <v/>
      </c>
    </row>
    <row r="744" spans="1:10">
      <c r="A744" s="56" t="str">
        <f>IF(AMS!H764="","",AMS!H764)</f>
        <v/>
      </c>
      <c r="B744" s="22" t="str">
        <f t="shared" si="44"/>
        <v/>
      </c>
      <c r="C744" s="22" t="str">
        <f t="array" ref="C744">IFERROR(INDEX(Summary!$I$3:$I$1000,SMALL((Summary!$I$3:$I$1000="")/0.1%+ROW($3:$1000),ROW()-2)-2)&amp;"","")</f>
        <v/>
      </c>
      <c r="D744" s="22" t="str">
        <v/>
      </c>
      <c r="E744" s="22" t="str">
        <f t="shared" si="45"/>
        <v/>
      </c>
      <c r="F744" s="56" t="str">
        <f>IF(AMS!I764="","",AMS!I764)</f>
        <v/>
      </c>
      <c r="G744" s="56" t="str">
        <f>IF(AMS!J764="","",AMS!J764)</f>
        <v/>
      </c>
      <c r="H744" s="22" t="str">
        <f t="array" ref="H744">IF(A744&lt;&gt;" ",IFERROR(INDEX(Summary!$G$3:$G$1000,SMALL((Summary!$G$3:$G$1000="")/0.1%+ROW($3:$1000),ROW()-2)-2)&amp;"",""),"")</f>
        <v/>
      </c>
      <c r="I744" s="22" t="str">
        <f t="shared" si="46"/>
        <v/>
      </c>
      <c r="J744" s="22" t="str">
        <f t="shared" si="47"/>
        <v/>
      </c>
    </row>
    <row r="745" spans="1:10">
      <c r="A745" s="56" t="str">
        <f>IF(AMS!H765="","",AMS!H765)</f>
        <v/>
      </c>
      <c r="B745" s="22" t="str">
        <f t="shared" si="44"/>
        <v/>
      </c>
      <c r="C745" s="22" t="str">
        <f t="array" ref="C745">IFERROR(INDEX(Summary!$I$3:$I$1000,SMALL((Summary!$I$3:$I$1000="")/0.1%+ROW($3:$1000),ROW()-2)-2)&amp;"","")</f>
        <v/>
      </c>
      <c r="D745" s="22" t="str">
        <v/>
      </c>
      <c r="E745" s="22" t="str">
        <f t="shared" si="45"/>
        <v/>
      </c>
      <c r="F745" s="56" t="str">
        <f>IF(AMS!I765="","",AMS!I765)</f>
        <v/>
      </c>
      <c r="G745" s="56" t="str">
        <f>IF(AMS!J765="","",AMS!J765)</f>
        <v/>
      </c>
      <c r="H745" s="22" t="str">
        <f t="array" ref="H745">IF(A745&lt;&gt;" ",IFERROR(INDEX(Summary!$G$3:$G$1000,SMALL((Summary!$G$3:$G$1000="")/0.1%+ROW($3:$1000),ROW()-2)-2)&amp;"",""),"")</f>
        <v/>
      </c>
      <c r="I745" s="22" t="str">
        <f t="shared" si="46"/>
        <v/>
      </c>
      <c r="J745" s="22" t="str">
        <f t="shared" si="47"/>
        <v/>
      </c>
    </row>
    <row r="746" spans="1:10">
      <c r="A746" s="56" t="str">
        <f>IF(AMS!H766="","",AMS!H766)</f>
        <v/>
      </c>
      <c r="B746" s="22" t="str">
        <f t="shared" si="44"/>
        <v/>
      </c>
      <c r="C746" s="22" t="str">
        <f t="array" ref="C746">IFERROR(INDEX(Summary!$I$3:$I$1000,SMALL((Summary!$I$3:$I$1000="")/0.1%+ROW($3:$1000),ROW()-2)-2)&amp;"","")</f>
        <v/>
      </c>
      <c r="D746" s="22" t="str">
        <v/>
      </c>
      <c r="E746" s="22" t="str">
        <f t="shared" si="45"/>
        <v/>
      </c>
      <c r="F746" s="56" t="str">
        <f>IF(AMS!I766="","",AMS!I766)</f>
        <v/>
      </c>
      <c r="G746" s="56" t="str">
        <f>IF(AMS!J766="","",AMS!J766)</f>
        <v/>
      </c>
      <c r="H746" s="22" t="str">
        <f t="array" ref="H746">IF(A746&lt;&gt;" ",IFERROR(INDEX(Summary!$G$3:$G$1000,SMALL((Summary!$G$3:$G$1000="")/0.1%+ROW($3:$1000),ROW()-2)-2)&amp;"",""),"")</f>
        <v/>
      </c>
      <c r="I746" s="22" t="str">
        <f t="shared" si="46"/>
        <v/>
      </c>
      <c r="J746" s="22" t="str">
        <f t="shared" si="47"/>
        <v/>
      </c>
    </row>
    <row r="747" spans="1:10">
      <c r="A747" s="56" t="str">
        <f>IF(AMS!H767="","",AMS!H767)</f>
        <v/>
      </c>
      <c r="B747" s="22" t="str">
        <f t="shared" si="44"/>
        <v/>
      </c>
      <c r="C747" s="22" t="str">
        <f t="array" ref="C747">IFERROR(INDEX(Summary!$I$3:$I$1000,SMALL((Summary!$I$3:$I$1000="")/0.1%+ROW($3:$1000),ROW()-2)-2)&amp;"","")</f>
        <v/>
      </c>
      <c r="D747" s="22" t="str">
        <v/>
      </c>
      <c r="E747" s="22" t="str">
        <f t="shared" si="45"/>
        <v/>
      </c>
      <c r="F747" s="56" t="str">
        <f>IF(AMS!I767="","",AMS!I767)</f>
        <v/>
      </c>
      <c r="G747" s="56" t="str">
        <f>IF(AMS!J767="","",AMS!J767)</f>
        <v/>
      </c>
      <c r="H747" s="22" t="str">
        <f t="array" ref="H747">IF(A747&lt;&gt;" ",IFERROR(INDEX(Summary!$G$3:$G$1000,SMALL((Summary!$G$3:$G$1000="")/0.1%+ROW($3:$1000),ROW()-2)-2)&amp;"",""),"")</f>
        <v/>
      </c>
      <c r="I747" s="22" t="str">
        <f t="shared" si="46"/>
        <v/>
      </c>
      <c r="J747" s="22" t="str">
        <f t="shared" si="47"/>
        <v/>
      </c>
    </row>
    <row r="748" spans="1:10">
      <c r="A748" s="56" t="str">
        <f>IF(AMS!H768="","",AMS!H768)</f>
        <v/>
      </c>
      <c r="B748" s="22" t="str">
        <f t="shared" si="44"/>
        <v/>
      </c>
      <c r="C748" s="22" t="str">
        <f t="array" ref="C748">IFERROR(INDEX(Summary!$I$3:$I$1000,SMALL((Summary!$I$3:$I$1000="")/0.1%+ROW($3:$1000),ROW()-2)-2)&amp;"","")</f>
        <v/>
      </c>
      <c r="D748" s="22" t="str">
        <v/>
      </c>
      <c r="E748" s="22" t="str">
        <f t="shared" si="45"/>
        <v/>
      </c>
      <c r="F748" s="56" t="str">
        <f>IF(AMS!I768="","",AMS!I768)</f>
        <v/>
      </c>
      <c r="G748" s="56" t="str">
        <f>IF(AMS!J768="","",AMS!J768)</f>
        <v/>
      </c>
      <c r="H748" s="22" t="str">
        <f t="array" ref="H748">IF(A748&lt;&gt;" ",IFERROR(INDEX(Summary!$G$3:$G$1000,SMALL((Summary!$G$3:$G$1000="")/0.1%+ROW($3:$1000),ROW()-2)-2)&amp;"",""),"")</f>
        <v/>
      </c>
      <c r="I748" s="22" t="str">
        <f t="shared" si="46"/>
        <v/>
      </c>
      <c r="J748" s="22" t="str">
        <f t="shared" si="47"/>
        <v/>
      </c>
    </row>
    <row r="749" spans="1:10">
      <c r="A749" s="56" t="str">
        <f>IF(AMS!H769="","",AMS!H769)</f>
        <v/>
      </c>
      <c r="B749" s="22" t="str">
        <f t="shared" si="44"/>
        <v/>
      </c>
      <c r="C749" s="22" t="str">
        <f t="array" ref="C749">IFERROR(INDEX(Summary!$I$3:$I$1000,SMALL((Summary!$I$3:$I$1000="")/0.1%+ROW($3:$1000),ROW()-2)-2)&amp;"","")</f>
        <v/>
      </c>
      <c r="D749" s="22" t="str">
        <v/>
      </c>
      <c r="E749" s="22" t="str">
        <f t="shared" si="45"/>
        <v/>
      </c>
      <c r="F749" s="56" t="str">
        <f>IF(AMS!I769="","",AMS!I769)</f>
        <v/>
      </c>
      <c r="G749" s="56" t="str">
        <f>IF(AMS!J769="","",AMS!J769)</f>
        <v/>
      </c>
      <c r="H749" s="22" t="str">
        <f t="array" ref="H749">IF(A749&lt;&gt;" ",IFERROR(INDEX(Summary!$G$3:$G$1000,SMALL((Summary!$G$3:$G$1000="")/0.1%+ROW($3:$1000),ROW()-2)-2)&amp;"",""),"")</f>
        <v/>
      </c>
      <c r="I749" s="22" t="str">
        <f t="shared" si="46"/>
        <v/>
      </c>
      <c r="J749" s="22" t="str">
        <f t="shared" si="47"/>
        <v/>
      </c>
    </row>
    <row r="750" spans="1:10">
      <c r="A750" s="56" t="str">
        <f>IF(AMS!H770="","",AMS!H770)</f>
        <v/>
      </c>
      <c r="B750" s="22" t="str">
        <f t="shared" si="44"/>
        <v/>
      </c>
      <c r="C750" s="22" t="str">
        <f t="array" ref="C750">IFERROR(INDEX(Summary!$I$3:$I$1000,SMALL((Summary!$I$3:$I$1000="")/0.1%+ROW($3:$1000),ROW()-2)-2)&amp;"","")</f>
        <v/>
      </c>
      <c r="D750" s="22" t="str">
        <v/>
      </c>
      <c r="E750" s="22" t="str">
        <f t="shared" si="45"/>
        <v/>
      </c>
      <c r="F750" s="56" t="str">
        <f>IF(AMS!I770="","",AMS!I770)</f>
        <v/>
      </c>
      <c r="G750" s="56" t="str">
        <f>IF(AMS!J770="","",AMS!J770)</f>
        <v/>
      </c>
      <c r="H750" s="22" t="str">
        <f t="array" ref="H750">IF(A750&lt;&gt;" ",IFERROR(INDEX(Summary!$G$3:$G$1000,SMALL((Summary!$G$3:$G$1000="")/0.1%+ROW($3:$1000),ROW()-2)-2)&amp;"",""),"")</f>
        <v/>
      </c>
      <c r="I750" s="22" t="str">
        <f t="shared" si="46"/>
        <v/>
      </c>
      <c r="J750" s="22" t="str">
        <f t="shared" si="47"/>
        <v/>
      </c>
    </row>
    <row r="751" spans="1:10">
      <c r="A751" s="56" t="str">
        <f>IF(AMS!H771="","",AMS!H771)</f>
        <v/>
      </c>
      <c r="B751" s="22" t="str">
        <f t="shared" si="44"/>
        <v/>
      </c>
      <c r="C751" s="22" t="str">
        <f t="array" ref="C751">IFERROR(INDEX(Summary!$I$3:$I$1000,SMALL((Summary!$I$3:$I$1000="")/0.1%+ROW($3:$1000),ROW()-2)-2)&amp;"","")</f>
        <v/>
      </c>
      <c r="D751" s="22" t="str">
        <v/>
      </c>
      <c r="E751" s="22" t="str">
        <f t="shared" si="45"/>
        <v/>
      </c>
      <c r="F751" s="56" t="str">
        <f>IF(AMS!I771="","",AMS!I771)</f>
        <v/>
      </c>
      <c r="G751" s="56" t="str">
        <f>IF(AMS!J771="","",AMS!J771)</f>
        <v/>
      </c>
      <c r="H751" s="22" t="str">
        <f t="array" ref="H751">IF(A751&lt;&gt;" ",IFERROR(INDEX(Summary!$G$3:$G$1000,SMALL((Summary!$G$3:$G$1000="")/0.1%+ROW($3:$1000),ROW()-2)-2)&amp;"",""),"")</f>
        <v/>
      </c>
      <c r="I751" s="22" t="str">
        <f t="shared" si="46"/>
        <v/>
      </c>
      <c r="J751" s="22" t="str">
        <f t="shared" si="47"/>
        <v/>
      </c>
    </row>
    <row r="752" spans="1:10">
      <c r="A752" s="56" t="str">
        <f>IF(AMS!H772="","",AMS!H772)</f>
        <v/>
      </c>
      <c r="B752" s="22" t="str">
        <f t="shared" si="44"/>
        <v/>
      </c>
      <c r="C752" s="22" t="str">
        <f t="array" ref="C752">IFERROR(INDEX(Summary!$I$3:$I$1000,SMALL((Summary!$I$3:$I$1000="")/0.1%+ROW($3:$1000),ROW()-2)-2)&amp;"","")</f>
        <v/>
      </c>
      <c r="D752" s="22" t="str">
        <v/>
      </c>
      <c r="E752" s="22" t="str">
        <f t="shared" si="45"/>
        <v/>
      </c>
      <c r="F752" s="56" t="str">
        <f>IF(AMS!I772="","",AMS!I772)</f>
        <v/>
      </c>
      <c r="G752" s="56" t="str">
        <f>IF(AMS!J772="","",AMS!J772)</f>
        <v/>
      </c>
      <c r="H752" s="22" t="str">
        <f t="array" ref="H752">IF(A752&lt;&gt;" ",IFERROR(INDEX(Summary!$G$3:$G$1000,SMALL((Summary!$G$3:$G$1000="")/0.1%+ROW($3:$1000),ROW()-2)-2)&amp;"",""),"")</f>
        <v/>
      </c>
      <c r="I752" s="22" t="str">
        <f t="shared" si="46"/>
        <v/>
      </c>
      <c r="J752" s="22" t="str">
        <f t="shared" si="47"/>
        <v/>
      </c>
    </row>
    <row r="753" spans="1:10">
      <c r="A753" s="56" t="str">
        <f>IF(AMS!H773="","",AMS!H773)</f>
        <v/>
      </c>
      <c r="B753" s="22" t="str">
        <f t="shared" si="44"/>
        <v/>
      </c>
      <c r="C753" s="22" t="str">
        <f t="array" ref="C753">IFERROR(INDEX(Summary!$I$3:$I$1000,SMALL((Summary!$I$3:$I$1000="")/0.1%+ROW($3:$1000),ROW()-2)-2)&amp;"","")</f>
        <v/>
      </c>
      <c r="D753" s="22" t="str">
        <v/>
      </c>
      <c r="E753" s="22" t="str">
        <f t="shared" si="45"/>
        <v/>
      </c>
      <c r="F753" s="56" t="str">
        <f>IF(AMS!I773="","",AMS!I773)</f>
        <v/>
      </c>
      <c r="G753" s="56" t="str">
        <f>IF(AMS!J773="","",AMS!J773)</f>
        <v/>
      </c>
      <c r="H753" s="22" t="str">
        <f t="array" ref="H753">IF(A753&lt;&gt;" ",IFERROR(INDEX(Summary!$G$3:$G$1000,SMALL((Summary!$G$3:$G$1000="")/0.1%+ROW($3:$1000),ROW()-2)-2)&amp;"",""),"")</f>
        <v/>
      </c>
      <c r="I753" s="22" t="str">
        <f t="shared" si="46"/>
        <v/>
      </c>
      <c r="J753" s="22" t="str">
        <f t="shared" si="47"/>
        <v/>
      </c>
    </row>
    <row r="754" spans="1:10">
      <c r="A754" s="56" t="str">
        <f>IF(AMS!H774="","",AMS!H774)</f>
        <v/>
      </c>
      <c r="B754" s="22" t="str">
        <f t="shared" si="44"/>
        <v/>
      </c>
      <c r="C754" s="22" t="str">
        <f t="array" ref="C754">IFERROR(INDEX(Summary!$I$3:$I$1000,SMALL((Summary!$I$3:$I$1000="")/0.1%+ROW($3:$1000),ROW()-2)-2)&amp;"","")</f>
        <v/>
      </c>
      <c r="D754" s="22" t="str">
        <v/>
      </c>
      <c r="E754" s="22" t="str">
        <f t="shared" si="45"/>
        <v/>
      </c>
      <c r="F754" s="56" t="str">
        <f>IF(AMS!I774="","",AMS!I774)</f>
        <v/>
      </c>
      <c r="G754" s="56" t="str">
        <f>IF(AMS!J774="","",AMS!J774)</f>
        <v/>
      </c>
      <c r="H754" s="22" t="str">
        <f t="array" ref="H754">IF(A754&lt;&gt;" ",IFERROR(INDEX(Summary!$G$3:$G$1000,SMALL((Summary!$G$3:$G$1000="")/0.1%+ROW($3:$1000),ROW()-2)-2)&amp;"",""),"")</f>
        <v/>
      </c>
      <c r="I754" s="22" t="str">
        <f t="shared" si="46"/>
        <v/>
      </c>
      <c r="J754" s="22" t="str">
        <f t="shared" si="47"/>
        <v/>
      </c>
    </row>
    <row r="755" spans="1:10">
      <c r="A755" s="56" t="str">
        <f>IF(AMS!H775="","",AMS!H775)</f>
        <v/>
      </c>
      <c r="B755" s="22" t="str">
        <f t="shared" si="44"/>
        <v/>
      </c>
      <c r="C755" s="22" t="str">
        <f t="array" ref="C755">IFERROR(INDEX(Summary!$I$3:$I$1000,SMALL((Summary!$I$3:$I$1000="")/0.1%+ROW($3:$1000),ROW()-2)-2)&amp;"","")</f>
        <v/>
      </c>
      <c r="D755" s="22" t="str">
        <v/>
      </c>
      <c r="E755" s="22" t="str">
        <f t="shared" si="45"/>
        <v/>
      </c>
      <c r="F755" s="56" t="str">
        <f>IF(AMS!I775="","",AMS!I775)</f>
        <v/>
      </c>
      <c r="G755" s="56" t="str">
        <f>IF(AMS!J775="","",AMS!J775)</f>
        <v/>
      </c>
      <c r="H755" s="22" t="str">
        <f t="array" ref="H755">IF(A755&lt;&gt;" ",IFERROR(INDEX(Summary!$G$3:$G$1000,SMALL((Summary!$G$3:$G$1000="")/0.1%+ROW($3:$1000),ROW()-2)-2)&amp;"",""),"")</f>
        <v/>
      </c>
      <c r="I755" s="22" t="str">
        <f t="shared" si="46"/>
        <v/>
      </c>
      <c r="J755" s="22" t="str">
        <f t="shared" si="47"/>
        <v/>
      </c>
    </row>
    <row r="756" spans="1:10">
      <c r="A756" s="56" t="str">
        <f>IF(AMS!H776="","",AMS!H776)</f>
        <v/>
      </c>
      <c r="B756" s="22" t="str">
        <f t="shared" si="44"/>
        <v/>
      </c>
      <c r="C756" s="22" t="str">
        <f t="array" ref="C756">IFERROR(INDEX(Summary!$I$3:$I$1000,SMALL((Summary!$I$3:$I$1000="")/0.1%+ROW($3:$1000),ROW()-2)-2)&amp;"","")</f>
        <v/>
      </c>
      <c r="D756" s="22" t="str">
        <v/>
      </c>
      <c r="E756" s="22" t="str">
        <f t="shared" si="45"/>
        <v/>
      </c>
      <c r="F756" s="56" t="str">
        <f>IF(AMS!I776="","",AMS!I776)</f>
        <v/>
      </c>
      <c r="G756" s="56" t="str">
        <f>IF(AMS!J776="","",AMS!J776)</f>
        <v/>
      </c>
      <c r="H756" s="22" t="str">
        <f t="array" ref="H756">IF(A756&lt;&gt;" ",IFERROR(INDEX(Summary!$G$3:$G$1000,SMALL((Summary!$G$3:$G$1000="")/0.1%+ROW($3:$1000),ROW()-2)-2)&amp;"",""),"")</f>
        <v/>
      </c>
      <c r="I756" s="22" t="str">
        <f t="shared" si="46"/>
        <v/>
      </c>
      <c r="J756" s="22" t="str">
        <f t="shared" si="47"/>
        <v/>
      </c>
    </row>
    <row r="757" spans="1:10">
      <c r="A757" s="56" t="str">
        <f>IF(AMS!H777="","",AMS!H777)</f>
        <v/>
      </c>
      <c r="B757" s="22" t="str">
        <f t="shared" si="44"/>
        <v/>
      </c>
      <c r="C757" s="22" t="str">
        <f t="array" ref="C757">IFERROR(INDEX(Summary!$I$3:$I$1000,SMALL((Summary!$I$3:$I$1000="")/0.1%+ROW($3:$1000),ROW()-2)-2)&amp;"","")</f>
        <v/>
      </c>
      <c r="D757" s="22" t="str">
        <v/>
      </c>
      <c r="E757" s="22" t="str">
        <f t="shared" si="45"/>
        <v/>
      </c>
      <c r="F757" s="56" t="str">
        <f>IF(AMS!I777="","",AMS!I777)</f>
        <v/>
      </c>
      <c r="G757" s="56" t="str">
        <f>IF(AMS!J777="","",AMS!J777)</f>
        <v/>
      </c>
      <c r="H757" s="22" t="str">
        <f t="array" ref="H757">IF(A757&lt;&gt;" ",IFERROR(INDEX(Summary!$G$3:$G$1000,SMALL((Summary!$G$3:$G$1000="")/0.1%+ROW($3:$1000),ROW()-2)-2)&amp;"",""),"")</f>
        <v/>
      </c>
      <c r="I757" s="22" t="str">
        <f t="shared" si="46"/>
        <v/>
      </c>
      <c r="J757" s="22" t="str">
        <f t="shared" si="47"/>
        <v/>
      </c>
    </row>
    <row r="758" spans="1:10">
      <c r="A758" s="56" t="str">
        <f>IF(AMS!H778="","",AMS!H778)</f>
        <v/>
      </c>
      <c r="B758" s="22" t="str">
        <f t="shared" si="44"/>
        <v/>
      </c>
      <c r="C758" s="22" t="str">
        <f t="array" ref="C758">IFERROR(INDEX(Summary!$I$3:$I$1000,SMALL((Summary!$I$3:$I$1000="")/0.1%+ROW($3:$1000),ROW()-2)-2)&amp;"","")</f>
        <v/>
      </c>
      <c r="D758" s="22" t="str">
        <v/>
      </c>
      <c r="E758" s="22" t="str">
        <f t="shared" si="45"/>
        <v/>
      </c>
      <c r="F758" s="56" t="str">
        <f>IF(AMS!I778="","",AMS!I778)</f>
        <v/>
      </c>
      <c r="G758" s="56" t="str">
        <f>IF(AMS!J778="","",AMS!J778)</f>
        <v/>
      </c>
      <c r="H758" s="22" t="str">
        <f t="array" ref="H758">IF(A758&lt;&gt;" ",IFERROR(INDEX(Summary!$G$3:$G$1000,SMALL((Summary!$G$3:$G$1000="")/0.1%+ROW($3:$1000),ROW()-2)-2)&amp;"",""),"")</f>
        <v/>
      </c>
      <c r="I758" s="22" t="str">
        <f t="shared" si="46"/>
        <v/>
      </c>
      <c r="J758" s="22" t="str">
        <f t="shared" si="47"/>
        <v/>
      </c>
    </row>
    <row r="759" spans="1:10">
      <c r="A759" s="56" t="str">
        <f>IF(AMS!H779="","",AMS!H779)</f>
        <v/>
      </c>
      <c r="B759" s="22" t="str">
        <f t="shared" si="44"/>
        <v/>
      </c>
      <c r="C759" s="22" t="str">
        <f t="array" ref="C759">IFERROR(INDEX(Summary!$I$3:$I$1000,SMALL((Summary!$I$3:$I$1000="")/0.1%+ROW($3:$1000),ROW()-2)-2)&amp;"","")</f>
        <v/>
      </c>
      <c r="D759" s="22" t="str">
        <v/>
      </c>
      <c r="E759" s="22" t="str">
        <f t="shared" si="45"/>
        <v/>
      </c>
      <c r="F759" s="56" t="str">
        <f>IF(AMS!I779="","",AMS!I779)</f>
        <v/>
      </c>
      <c r="G759" s="56" t="str">
        <f>IF(AMS!J779="","",AMS!J779)</f>
        <v/>
      </c>
      <c r="H759" s="22" t="str">
        <f t="array" ref="H759">IF(A759&lt;&gt;" ",IFERROR(INDEX(Summary!$G$3:$G$1000,SMALL((Summary!$G$3:$G$1000="")/0.1%+ROW($3:$1000),ROW()-2)-2)&amp;"",""),"")</f>
        <v/>
      </c>
      <c r="I759" s="22" t="str">
        <f t="shared" si="46"/>
        <v/>
      </c>
      <c r="J759" s="22" t="str">
        <f t="shared" si="47"/>
        <v/>
      </c>
    </row>
    <row r="760" spans="1:10">
      <c r="A760" s="56" t="str">
        <f>IF(AMS!H780="","",AMS!H780)</f>
        <v/>
      </c>
      <c r="B760" s="22" t="str">
        <f t="shared" si="44"/>
        <v/>
      </c>
      <c r="C760" s="22" t="str">
        <f t="array" ref="C760">IFERROR(INDEX(Summary!$I$3:$I$1000,SMALL((Summary!$I$3:$I$1000="")/0.1%+ROW($3:$1000),ROW()-2)-2)&amp;"","")</f>
        <v/>
      </c>
      <c r="D760" s="22" t="str">
        <v/>
      </c>
      <c r="E760" s="22" t="str">
        <f t="shared" si="45"/>
        <v/>
      </c>
      <c r="F760" s="56" t="str">
        <f>IF(AMS!I780="","",AMS!I780)</f>
        <v/>
      </c>
      <c r="G760" s="56" t="str">
        <f>IF(AMS!J780="","",AMS!J780)</f>
        <v/>
      </c>
      <c r="H760" s="22" t="str">
        <f t="array" ref="H760">IF(A760&lt;&gt;" ",IFERROR(INDEX(Summary!$G$3:$G$1000,SMALL((Summary!$G$3:$G$1000="")/0.1%+ROW($3:$1000),ROW()-2)-2)&amp;"",""),"")</f>
        <v/>
      </c>
      <c r="I760" s="22" t="str">
        <f t="shared" si="46"/>
        <v/>
      </c>
      <c r="J760" s="22" t="str">
        <f t="shared" si="47"/>
        <v/>
      </c>
    </row>
    <row r="761" spans="1:10">
      <c r="A761" s="56" t="str">
        <f>IF(AMS!H781="","",AMS!H781)</f>
        <v/>
      </c>
      <c r="B761" s="22" t="str">
        <f t="shared" si="44"/>
        <v/>
      </c>
      <c r="C761" s="22" t="str">
        <f t="array" ref="C761">IFERROR(INDEX(Summary!$I$3:$I$1000,SMALL((Summary!$I$3:$I$1000="")/0.1%+ROW($3:$1000),ROW()-2)-2)&amp;"","")</f>
        <v/>
      </c>
      <c r="D761" s="22" t="str">
        <v/>
      </c>
      <c r="E761" s="22" t="str">
        <f t="shared" si="45"/>
        <v/>
      </c>
      <c r="F761" s="56" t="str">
        <f>IF(AMS!I781="","",AMS!I781)</f>
        <v/>
      </c>
      <c r="G761" s="56" t="str">
        <f>IF(AMS!J781="","",AMS!J781)</f>
        <v/>
      </c>
      <c r="H761" s="22" t="str">
        <f t="array" ref="H761">IF(A761&lt;&gt;" ",IFERROR(INDEX(Summary!$G$3:$G$1000,SMALL((Summary!$G$3:$G$1000="")/0.1%+ROW($3:$1000),ROW()-2)-2)&amp;"",""),"")</f>
        <v/>
      </c>
      <c r="I761" s="22" t="str">
        <f t="shared" si="46"/>
        <v/>
      </c>
      <c r="J761" s="22" t="str">
        <f t="shared" si="47"/>
        <v/>
      </c>
    </row>
    <row r="762" spans="1:10">
      <c r="A762" s="56" t="str">
        <f>IF(AMS!H782="","",AMS!H782)</f>
        <v/>
      </c>
      <c r="B762" s="22" t="str">
        <f t="shared" si="44"/>
        <v/>
      </c>
      <c r="C762" s="22" t="str">
        <f t="array" ref="C762">IFERROR(INDEX(Summary!$I$3:$I$1000,SMALL((Summary!$I$3:$I$1000="")/0.1%+ROW($3:$1000),ROW()-2)-2)&amp;"","")</f>
        <v/>
      </c>
      <c r="D762" s="22" t="str">
        <v/>
      </c>
      <c r="E762" s="22" t="str">
        <f t="shared" si="45"/>
        <v/>
      </c>
      <c r="F762" s="56" t="str">
        <f>IF(AMS!I782="","",AMS!I782)</f>
        <v/>
      </c>
      <c r="G762" s="56" t="str">
        <f>IF(AMS!J782="","",AMS!J782)</f>
        <v/>
      </c>
      <c r="H762" s="22" t="str">
        <f t="array" ref="H762">IF(A762&lt;&gt;" ",IFERROR(INDEX(Summary!$G$3:$G$1000,SMALL((Summary!$G$3:$G$1000="")/0.1%+ROW($3:$1000),ROW()-2)-2)&amp;"",""),"")</f>
        <v/>
      </c>
      <c r="I762" s="22" t="str">
        <f t="shared" si="46"/>
        <v/>
      </c>
      <c r="J762" s="22" t="str">
        <f t="shared" si="47"/>
        <v/>
      </c>
    </row>
    <row r="763" spans="1:10">
      <c r="A763" s="56" t="str">
        <f>IF(AMS!H783="","",AMS!H783)</f>
        <v/>
      </c>
      <c r="B763" s="22" t="str">
        <f t="shared" si="44"/>
        <v/>
      </c>
      <c r="C763" s="22" t="str">
        <f t="array" ref="C763">IFERROR(INDEX(Summary!$I$3:$I$1000,SMALL((Summary!$I$3:$I$1000="")/0.1%+ROW($3:$1000),ROW()-2)-2)&amp;"","")</f>
        <v/>
      </c>
      <c r="D763" s="22" t="str">
        <v/>
      </c>
      <c r="E763" s="22" t="str">
        <f t="shared" si="45"/>
        <v/>
      </c>
      <c r="F763" s="56" t="str">
        <f>IF(AMS!I783="","",AMS!I783)</f>
        <v/>
      </c>
      <c r="G763" s="56" t="str">
        <f>IF(AMS!J783="","",AMS!J783)</f>
        <v/>
      </c>
      <c r="H763" s="22" t="str">
        <f t="array" ref="H763">IF(A763&lt;&gt;" ",IFERROR(INDEX(Summary!$G$3:$G$1000,SMALL((Summary!$G$3:$G$1000="")/0.1%+ROW($3:$1000),ROW()-2)-2)&amp;"",""),"")</f>
        <v/>
      </c>
      <c r="I763" s="22" t="str">
        <f t="shared" si="46"/>
        <v/>
      </c>
      <c r="J763" s="22" t="str">
        <f t="shared" si="47"/>
        <v/>
      </c>
    </row>
    <row r="764" spans="1:10">
      <c r="A764" s="56" t="str">
        <f>IF(AMS!H784="","",AMS!H784)</f>
        <v/>
      </c>
      <c r="B764" s="22" t="str">
        <f t="shared" si="44"/>
        <v/>
      </c>
      <c r="C764" s="22" t="str">
        <f t="array" ref="C764">IFERROR(INDEX(Summary!$I$3:$I$1000,SMALL((Summary!$I$3:$I$1000="")/0.1%+ROW($3:$1000),ROW()-2)-2)&amp;"","")</f>
        <v/>
      </c>
      <c r="D764" s="22" t="str">
        <v/>
      </c>
      <c r="E764" s="22" t="str">
        <f t="shared" si="45"/>
        <v/>
      </c>
      <c r="F764" s="56" t="str">
        <f>IF(AMS!I784="","",AMS!I784)</f>
        <v/>
      </c>
      <c r="G764" s="56" t="str">
        <f>IF(AMS!J784="","",AMS!J784)</f>
        <v/>
      </c>
      <c r="H764" s="22" t="str">
        <f t="array" ref="H764">IF(A764&lt;&gt;" ",IFERROR(INDEX(Summary!$G$3:$G$1000,SMALL((Summary!$G$3:$G$1000="")/0.1%+ROW($3:$1000),ROW()-2)-2)&amp;"",""),"")</f>
        <v/>
      </c>
      <c r="I764" s="22" t="str">
        <f t="shared" si="46"/>
        <v/>
      </c>
      <c r="J764" s="22" t="str">
        <f t="shared" si="47"/>
        <v/>
      </c>
    </row>
    <row r="765" spans="1:10">
      <c r="A765" s="56" t="str">
        <f>IF(AMS!H785="","",AMS!H785)</f>
        <v/>
      </c>
      <c r="B765" s="22" t="str">
        <f t="shared" si="44"/>
        <v/>
      </c>
      <c r="C765" s="22" t="str">
        <f t="array" ref="C765">IFERROR(INDEX(Summary!$I$3:$I$1000,SMALL((Summary!$I$3:$I$1000="")/0.1%+ROW($3:$1000),ROW()-2)-2)&amp;"","")</f>
        <v/>
      </c>
      <c r="D765" s="22" t="str">
        <v/>
      </c>
      <c r="E765" s="22" t="str">
        <f t="shared" si="45"/>
        <v/>
      </c>
      <c r="F765" s="56" t="str">
        <f>IF(AMS!I785="","",AMS!I785)</f>
        <v/>
      </c>
      <c r="G765" s="56" t="str">
        <f>IF(AMS!J785="","",AMS!J785)</f>
        <v/>
      </c>
      <c r="H765" s="22" t="str">
        <f t="array" ref="H765">IF(A765&lt;&gt;" ",IFERROR(INDEX(Summary!$G$3:$G$1000,SMALL((Summary!$G$3:$G$1000="")/0.1%+ROW($3:$1000),ROW()-2)-2)&amp;"",""),"")</f>
        <v/>
      </c>
      <c r="I765" s="22" t="str">
        <f t="shared" si="46"/>
        <v/>
      </c>
      <c r="J765" s="22" t="str">
        <f t="shared" si="47"/>
        <v/>
      </c>
    </row>
    <row r="766" spans="1:10">
      <c r="A766" s="56" t="str">
        <f>IF(AMS!H786="","",AMS!H786)</f>
        <v/>
      </c>
      <c r="B766" s="22" t="str">
        <f t="shared" si="44"/>
        <v/>
      </c>
      <c r="C766" s="22" t="str">
        <f t="array" ref="C766">IFERROR(INDEX(Summary!$I$3:$I$1000,SMALL((Summary!$I$3:$I$1000="")/0.1%+ROW($3:$1000),ROW()-2)-2)&amp;"","")</f>
        <v/>
      </c>
      <c r="D766" s="22" t="str">
        <v/>
      </c>
      <c r="E766" s="22" t="str">
        <f t="shared" si="45"/>
        <v/>
      </c>
      <c r="F766" s="56" t="str">
        <f>IF(AMS!I786="","",AMS!I786)</f>
        <v/>
      </c>
      <c r="G766" s="56" t="str">
        <f>IF(AMS!J786="","",AMS!J786)</f>
        <v/>
      </c>
      <c r="H766" s="22" t="str">
        <f t="array" ref="H766">IF(A766&lt;&gt;" ",IFERROR(INDEX(Summary!$G$3:$G$1000,SMALL((Summary!$G$3:$G$1000="")/0.1%+ROW($3:$1000),ROW()-2)-2)&amp;"",""),"")</f>
        <v/>
      </c>
      <c r="I766" s="22" t="str">
        <f t="shared" si="46"/>
        <v/>
      </c>
      <c r="J766" s="22" t="str">
        <f t="shared" si="47"/>
        <v/>
      </c>
    </row>
    <row r="767" spans="1:10">
      <c r="A767" s="56" t="str">
        <f>IF(AMS!H787="","",AMS!H787)</f>
        <v/>
      </c>
      <c r="B767" s="22" t="str">
        <f t="shared" si="44"/>
        <v/>
      </c>
      <c r="C767" s="22" t="str">
        <f t="array" ref="C767">IFERROR(INDEX(Summary!$I$3:$I$1000,SMALL((Summary!$I$3:$I$1000="")/0.1%+ROW($3:$1000),ROW()-2)-2)&amp;"","")</f>
        <v/>
      </c>
      <c r="D767" s="22" t="str">
        <v/>
      </c>
      <c r="E767" s="22" t="str">
        <f t="shared" si="45"/>
        <v/>
      </c>
      <c r="F767" s="56" t="str">
        <f>IF(AMS!I787="","",AMS!I787)</f>
        <v/>
      </c>
      <c r="G767" s="56" t="str">
        <f>IF(AMS!J787="","",AMS!J787)</f>
        <v/>
      </c>
      <c r="H767" s="22" t="str">
        <f t="array" ref="H767">IF(A767&lt;&gt;" ",IFERROR(INDEX(Summary!$G$3:$G$1000,SMALL((Summary!$G$3:$G$1000="")/0.1%+ROW($3:$1000),ROW()-2)-2)&amp;"",""),"")</f>
        <v/>
      </c>
      <c r="I767" s="22" t="str">
        <f t="shared" si="46"/>
        <v/>
      </c>
      <c r="J767" s="22" t="str">
        <f t="shared" si="47"/>
        <v/>
      </c>
    </row>
    <row r="768" spans="1:10">
      <c r="A768" s="56" t="str">
        <f>IF(AMS!H788="","",AMS!H788)</f>
        <v/>
      </c>
      <c r="B768" s="22" t="str">
        <f t="shared" si="44"/>
        <v/>
      </c>
      <c r="C768" s="22" t="str">
        <f t="array" ref="C768">IFERROR(INDEX(Summary!$I$3:$I$1000,SMALL((Summary!$I$3:$I$1000="")/0.1%+ROW($3:$1000),ROW()-2)-2)&amp;"","")</f>
        <v/>
      </c>
      <c r="D768" s="22" t="str">
        <v/>
      </c>
      <c r="E768" s="22" t="str">
        <f t="shared" si="45"/>
        <v/>
      </c>
      <c r="F768" s="56" t="str">
        <f>IF(AMS!I788="","",AMS!I788)</f>
        <v/>
      </c>
      <c r="G768" s="56" t="str">
        <f>IF(AMS!J788="","",AMS!J788)</f>
        <v/>
      </c>
      <c r="H768" s="22" t="str">
        <f t="array" ref="H768">IF(A768&lt;&gt;" ",IFERROR(INDEX(Summary!$G$3:$G$1000,SMALL((Summary!$G$3:$G$1000="")/0.1%+ROW($3:$1000),ROW()-2)-2)&amp;"",""),"")</f>
        <v/>
      </c>
      <c r="I768" s="22" t="str">
        <f t="shared" si="46"/>
        <v/>
      </c>
      <c r="J768" s="22" t="str">
        <f t="shared" si="47"/>
        <v/>
      </c>
    </row>
    <row r="769" spans="1:10">
      <c r="A769" s="56" t="str">
        <f>IF(AMS!H789="","",AMS!H789)</f>
        <v/>
      </c>
      <c r="B769" s="22" t="str">
        <f t="shared" si="44"/>
        <v/>
      </c>
      <c r="C769" s="22" t="str">
        <f t="array" ref="C769">IFERROR(INDEX(Summary!$I$3:$I$1000,SMALL((Summary!$I$3:$I$1000="")/0.1%+ROW($3:$1000),ROW()-2)-2)&amp;"","")</f>
        <v/>
      </c>
      <c r="D769" s="22" t="str">
        <v/>
      </c>
      <c r="E769" s="22" t="str">
        <f t="shared" si="45"/>
        <v/>
      </c>
      <c r="F769" s="56" t="str">
        <f>IF(AMS!I789="","",AMS!I789)</f>
        <v/>
      </c>
      <c r="G769" s="56" t="str">
        <f>IF(AMS!J789="","",AMS!J789)</f>
        <v/>
      </c>
      <c r="H769" s="22" t="str">
        <f t="array" ref="H769">IF(A769&lt;&gt;" ",IFERROR(INDEX(Summary!$G$3:$G$1000,SMALL((Summary!$G$3:$G$1000="")/0.1%+ROW($3:$1000),ROW()-2)-2)&amp;"",""),"")</f>
        <v/>
      </c>
      <c r="I769" s="22" t="str">
        <f t="shared" si="46"/>
        <v/>
      </c>
      <c r="J769" s="22" t="str">
        <f t="shared" si="47"/>
        <v/>
      </c>
    </row>
    <row r="770" spans="1:10">
      <c r="A770" s="56" t="str">
        <f>IF(AMS!H790="","",AMS!H790)</f>
        <v/>
      </c>
      <c r="B770" s="22" t="str">
        <f t="shared" si="44"/>
        <v/>
      </c>
      <c r="C770" s="22" t="str">
        <f t="array" ref="C770">IFERROR(INDEX(Summary!$I$3:$I$1000,SMALL((Summary!$I$3:$I$1000="")/0.1%+ROW($3:$1000),ROW()-2)-2)&amp;"","")</f>
        <v/>
      </c>
      <c r="D770" s="22" t="str">
        <v/>
      </c>
      <c r="E770" s="22" t="str">
        <f t="shared" si="45"/>
        <v/>
      </c>
      <c r="F770" s="56" t="str">
        <f>IF(AMS!I790="","",AMS!I790)</f>
        <v/>
      </c>
      <c r="G770" s="56" t="str">
        <f>IF(AMS!J790="","",AMS!J790)</f>
        <v/>
      </c>
      <c r="H770" s="22" t="str">
        <f t="array" ref="H770">IF(A770&lt;&gt;" ",IFERROR(INDEX(Summary!$G$3:$G$1000,SMALL((Summary!$G$3:$G$1000="")/0.1%+ROW($3:$1000),ROW()-2)-2)&amp;"",""),"")</f>
        <v/>
      </c>
      <c r="I770" s="22" t="str">
        <f t="shared" si="46"/>
        <v/>
      </c>
      <c r="J770" s="22" t="str">
        <f t="shared" si="47"/>
        <v/>
      </c>
    </row>
    <row r="771" spans="1:10">
      <c r="A771" s="56" t="str">
        <f>IF(AMS!H791="","",AMS!H791)</f>
        <v/>
      </c>
      <c r="B771" s="22" t="str">
        <f t="shared" ref="B771:B834" si="48">IF(A771&lt;&gt;"",IFERROR(IF(SEARCH(".",A771),LEFT(SUBSTITUTE(A771,".",""),6)),LEFT(SUBSTITUTE(SUBSTITUTE(TRIM(A771)," ","")," ",""),6)),"")</f>
        <v/>
      </c>
      <c r="C771" s="22" t="str">
        <f t="array" ref="C771">IFERROR(INDEX(Summary!$I$3:$I$1000,SMALL((Summary!$I$3:$I$1000="")/0.1%+ROW($3:$1000),ROW()-2)-2)&amp;"","")</f>
        <v/>
      </c>
      <c r="D771" s="22" t="str">
        <v/>
      </c>
      <c r="E771" s="22" t="str">
        <f t="shared" ref="E771:E834" si="49">LEFT(D771,6)</f>
        <v/>
      </c>
      <c r="F771" s="56" t="str">
        <f>IF(AMS!I791="","",AMS!I791)</f>
        <v/>
      </c>
      <c r="G771" s="56" t="str">
        <f>IF(AMS!J791="","",AMS!J791)</f>
        <v/>
      </c>
      <c r="H771" s="22" t="str">
        <f t="array" ref="H771">IF(A771&lt;&gt;" ",IFERROR(INDEX(Summary!$G$3:$G$1000,SMALL((Summary!$G$3:$G$1000="")/0.1%+ROW($3:$1000),ROW()-2)-2)&amp;"",""),"")</f>
        <v/>
      </c>
      <c r="I771" s="22" t="str">
        <f t="shared" ref="I771:I834" si="50">B771&amp;F771</f>
        <v/>
      </c>
      <c r="J771" s="22" t="str">
        <f t="shared" ref="J771:J834" si="51">IF(D771="","",RIGHT(D771,LEN(D771)-6))</f>
        <v/>
      </c>
    </row>
    <row r="772" spans="1:10">
      <c r="A772" s="56" t="str">
        <f>IF(AMS!H792="","",AMS!H792)</f>
        <v/>
      </c>
      <c r="B772" s="22" t="str">
        <f t="shared" si="48"/>
        <v/>
      </c>
      <c r="C772" s="22" t="str">
        <f t="array" ref="C772">IFERROR(INDEX(Summary!$I$3:$I$1000,SMALL((Summary!$I$3:$I$1000="")/0.1%+ROW($3:$1000),ROW()-2)-2)&amp;"","")</f>
        <v/>
      </c>
      <c r="D772" s="22" t="str">
        <v/>
      </c>
      <c r="E772" s="22" t="str">
        <f t="shared" si="49"/>
        <v/>
      </c>
      <c r="F772" s="56" t="str">
        <f>IF(AMS!I792="","",AMS!I792)</f>
        <v/>
      </c>
      <c r="G772" s="56" t="str">
        <f>IF(AMS!J792="","",AMS!J792)</f>
        <v/>
      </c>
      <c r="H772" s="22" t="str">
        <f t="array" ref="H772">IF(A772&lt;&gt;" ",IFERROR(INDEX(Summary!$G$3:$G$1000,SMALL((Summary!$G$3:$G$1000="")/0.1%+ROW($3:$1000),ROW()-2)-2)&amp;"",""),"")</f>
        <v/>
      </c>
      <c r="I772" s="22" t="str">
        <f t="shared" si="50"/>
        <v/>
      </c>
      <c r="J772" s="22" t="str">
        <f t="shared" si="51"/>
        <v/>
      </c>
    </row>
    <row r="773" spans="1:10">
      <c r="A773" s="56" t="str">
        <f>IF(AMS!H793="","",AMS!H793)</f>
        <v/>
      </c>
      <c r="B773" s="22" t="str">
        <f t="shared" si="48"/>
        <v/>
      </c>
      <c r="C773" s="22" t="str">
        <f t="array" ref="C773">IFERROR(INDEX(Summary!$I$3:$I$1000,SMALL((Summary!$I$3:$I$1000="")/0.1%+ROW($3:$1000),ROW()-2)-2)&amp;"","")</f>
        <v/>
      </c>
      <c r="D773" s="22" t="str">
        <v/>
      </c>
      <c r="E773" s="22" t="str">
        <f t="shared" si="49"/>
        <v/>
      </c>
      <c r="F773" s="56" t="str">
        <f>IF(AMS!I793="","",AMS!I793)</f>
        <v/>
      </c>
      <c r="G773" s="56" t="str">
        <f>IF(AMS!J793="","",AMS!J793)</f>
        <v/>
      </c>
      <c r="H773" s="22" t="str">
        <f t="array" ref="H773">IF(A773&lt;&gt;" ",IFERROR(INDEX(Summary!$G$3:$G$1000,SMALL((Summary!$G$3:$G$1000="")/0.1%+ROW($3:$1000),ROW()-2)-2)&amp;"",""),"")</f>
        <v/>
      </c>
      <c r="I773" s="22" t="str">
        <f t="shared" si="50"/>
        <v/>
      </c>
      <c r="J773" s="22" t="str">
        <f t="shared" si="51"/>
        <v/>
      </c>
    </row>
    <row r="774" spans="1:10">
      <c r="A774" s="56" t="str">
        <f>IF(AMS!H794="","",AMS!H794)</f>
        <v/>
      </c>
      <c r="B774" s="22" t="str">
        <f t="shared" si="48"/>
        <v/>
      </c>
      <c r="C774" s="22" t="str">
        <f t="array" ref="C774">IFERROR(INDEX(Summary!$I$3:$I$1000,SMALL((Summary!$I$3:$I$1000="")/0.1%+ROW($3:$1000),ROW()-2)-2)&amp;"","")</f>
        <v/>
      </c>
      <c r="D774" s="22" t="str">
        <v/>
      </c>
      <c r="E774" s="22" t="str">
        <f t="shared" si="49"/>
        <v/>
      </c>
      <c r="F774" s="56" t="str">
        <f>IF(AMS!I794="","",AMS!I794)</f>
        <v/>
      </c>
      <c r="G774" s="56" t="str">
        <f>IF(AMS!J794="","",AMS!J794)</f>
        <v/>
      </c>
      <c r="H774" s="22" t="str">
        <f t="array" ref="H774">IF(A774&lt;&gt;" ",IFERROR(INDEX(Summary!$G$3:$G$1000,SMALL((Summary!$G$3:$G$1000="")/0.1%+ROW($3:$1000),ROW()-2)-2)&amp;"",""),"")</f>
        <v/>
      </c>
      <c r="I774" s="22" t="str">
        <f t="shared" si="50"/>
        <v/>
      </c>
      <c r="J774" s="22" t="str">
        <f t="shared" si="51"/>
        <v/>
      </c>
    </row>
    <row r="775" spans="1:10">
      <c r="A775" s="56" t="str">
        <f>IF(AMS!H795="","",AMS!H795)</f>
        <v/>
      </c>
      <c r="B775" s="22" t="str">
        <f t="shared" si="48"/>
        <v/>
      </c>
      <c r="C775" s="22" t="str">
        <f t="array" ref="C775">IFERROR(INDEX(Summary!$I$3:$I$1000,SMALL((Summary!$I$3:$I$1000="")/0.1%+ROW($3:$1000),ROW()-2)-2)&amp;"","")</f>
        <v/>
      </c>
      <c r="D775" s="22" t="str">
        <v/>
      </c>
      <c r="E775" s="22" t="str">
        <f t="shared" si="49"/>
        <v/>
      </c>
      <c r="F775" s="56" t="str">
        <f>IF(AMS!I795="","",AMS!I795)</f>
        <v/>
      </c>
      <c r="G775" s="56" t="str">
        <f>IF(AMS!J795="","",AMS!J795)</f>
        <v/>
      </c>
      <c r="H775" s="22" t="str">
        <f t="array" ref="H775">IF(A775&lt;&gt;" ",IFERROR(INDEX(Summary!$G$3:$G$1000,SMALL((Summary!$G$3:$G$1000="")/0.1%+ROW($3:$1000),ROW()-2)-2)&amp;"",""),"")</f>
        <v/>
      </c>
      <c r="I775" s="22" t="str">
        <f t="shared" si="50"/>
        <v/>
      </c>
      <c r="J775" s="22" t="str">
        <f t="shared" si="51"/>
        <v/>
      </c>
    </row>
    <row r="776" spans="1:10">
      <c r="A776" s="56" t="str">
        <f>IF(AMS!H796="","",AMS!H796)</f>
        <v/>
      </c>
      <c r="B776" s="22" t="str">
        <f t="shared" si="48"/>
        <v/>
      </c>
      <c r="C776" s="22" t="str">
        <f t="array" ref="C776">IFERROR(INDEX(Summary!$I$3:$I$1000,SMALL((Summary!$I$3:$I$1000="")/0.1%+ROW($3:$1000),ROW()-2)-2)&amp;"","")</f>
        <v/>
      </c>
      <c r="D776" s="22" t="str">
        <v/>
      </c>
      <c r="E776" s="22" t="str">
        <f t="shared" si="49"/>
        <v/>
      </c>
      <c r="F776" s="56" t="str">
        <f>IF(AMS!I796="","",AMS!I796)</f>
        <v/>
      </c>
      <c r="G776" s="56" t="str">
        <f>IF(AMS!J796="","",AMS!J796)</f>
        <v/>
      </c>
      <c r="H776" s="22" t="str">
        <f t="array" ref="H776">IF(A776&lt;&gt;" ",IFERROR(INDEX(Summary!$G$3:$G$1000,SMALL((Summary!$G$3:$G$1000="")/0.1%+ROW($3:$1000),ROW()-2)-2)&amp;"",""),"")</f>
        <v/>
      </c>
      <c r="I776" s="22" t="str">
        <f t="shared" si="50"/>
        <v/>
      </c>
      <c r="J776" s="22" t="str">
        <f t="shared" si="51"/>
        <v/>
      </c>
    </row>
    <row r="777" spans="1:10">
      <c r="A777" s="56" t="str">
        <f>IF(AMS!H797="","",AMS!H797)</f>
        <v/>
      </c>
      <c r="B777" s="22" t="str">
        <f t="shared" si="48"/>
        <v/>
      </c>
      <c r="C777" s="22" t="str">
        <f t="array" ref="C777">IFERROR(INDEX(Summary!$I$3:$I$1000,SMALL((Summary!$I$3:$I$1000="")/0.1%+ROW($3:$1000),ROW()-2)-2)&amp;"","")</f>
        <v/>
      </c>
      <c r="D777" s="22" t="str">
        <v/>
      </c>
      <c r="E777" s="22" t="str">
        <f t="shared" si="49"/>
        <v/>
      </c>
      <c r="F777" s="56" t="str">
        <f>IF(AMS!I797="","",AMS!I797)</f>
        <v/>
      </c>
      <c r="G777" s="56" t="str">
        <f>IF(AMS!J797="","",AMS!J797)</f>
        <v/>
      </c>
      <c r="H777" s="22" t="str">
        <f t="array" ref="H777">IF(A777&lt;&gt;" ",IFERROR(INDEX(Summary!$G$3:$G$1000,SMALL((Summary!$G$3:$G$1000="")/0.1%+ROW($3:$1000),ROW()-2)-2)&amp;"",""),"")</f>
        <v/>
      </c>
      <c r="I777" s="22" t="str">
        <f t="shared" si="50"/>
        <v/>
      </c>
      <c r="J777" s="22" t="str">
        <f t="shared" si="51"/>
        <v/>
      </c>
    </row>
    <row r="778" spans="1:10">
      <c r="A778" s="56" t="str">
        <f>IF(AMS!H798="","",AMS!H798)</f>
        <v/>
      </c>
      <c r="B778" s="22" t="str">
        <f t="shared" si="48"/>
        <v/>
      </c>
      <c r="C778" s="22" t="str">
        <f t="array" ref="C778">IFERROR(INDEX(Summary!$I$3:$I$1000,SMALL((Summary!$I$3:$I$1000="")/0.1%+ROW($3:$1000),ROW()-2)-2)&amp;"","")</f>
        <v/>
      </c>
      <c r="D778" s="22" t="str">
        <v/>
      </c>
      <c r="E778" s="22" t="str">
        <f t="shared" si="49"/>
        <v/>
      </c>
      <c r="F778" s="56" t="str">
        <f>IF(AMS!I798="","",AMS!I798)</f>
        <v/>
      </c>
      <c r="G778" s="56" t="str">
        <f>IF(AMS!J798="","",AMS!J798)</f>
        <v/>
      </c>
      <c r="H778" s="22" t="str">
        <f t="array" ref="H778">IF(A778&lt;&gt;" ",IFERROR(INDEX(Summary!$G$3:$G$1000,SMALL((Summary!$G$3:$G$1000="")/0.1%+ROW($3:$1000),ROW()-2)-2)&amp;"",""),"")</f>
        <v/>
      </c>
      <c r="I778" s="22" t="str">
        <f t="shared" si="50"/>
        <v/>
      </c>
      <c r="J778" s="22" t="str">
        <f t="shared" si="51"/>
        <v/>
      </c>
    </row>
    <row r="779" spans="1:10">
      <c r="A779" s="56" t="str">
        <f>IF(AMS!H799="","",AMS!H799)</f>
        <v/>
      </c>
      <c r="B779" s="22" t="str">
        <f t="shared" si="48"/>
        <v/>
      </c>
      <c r="C779" s="22" t="str">
        <f t="array" ref="C779">IFERROR(INDEX(Summary!$I$3:$I$1000,SMALL((Summary!$I$3:$I$1000="")/0.1%+ROW($3:$1000),ROW()-2)-2)&amp;"","")</f>
        <v/>
      </c>
      <c r="D779" s="22" t="str">
        <v/>
      </c>
      <c r="E779" s="22" t="str">
        <f t="shared" si="49"/>
        <v/>
      </c>
      <c r="F779" s="56" t="str">
        <f>IF(AMS!I799="","",AMS!I799)</f>
        <v/>
      </c>
      <c r="G779" s="56" t="str">
        <f>IF(AMS!J799="","",AMS!J799)</f>
        <v/>
      </c>
      <c r="H779" s="22" t="str">
        <f t="array" ref="H779">IF(A779&lt;&gt;" ",IFERROR(INDEX(Summary!$G$3:$G$1000,SMALL((Summary!$G$3:$G$1000="")/0.1%+ROW($3:$1000),ROW()-2)-2)&amp;"",""),"")</f>
        <v/>
      </c>
      <c r="I779" s="22" t="str">
        <f t="shared" si="50"/>
        <v/>
      </c>
      <c r="J779" s="22" t="str">
        <f t="shared" si="51"/>
        <v/>
      </c>
    </row>
    <row r="780" spans="1:10">
      <c r="A780" s="56" t="str">
        <f>IF(AMS!H800="","",AMS!H800)</f>
        <v/>
      </c>
      <c r="B780" s="22" t="str">
        <f t="shared" si="48"/>
        <v/>
      </c>
      <c r="C780" s="22" t="str">
        <f t="array" ref="C780">IFERROR(INDEX(Summary!$I$3:$I$1000,SMALL((Summary!$I$3:$I$1000="")/0.1%+ROW($3:$1000),ROW()-2)-2)&amp;"","")</f>
        <v/>
      </c>
      <c r="D780" s="22" t="str">
        <v/>
      </c>
      <c r="E780" s="22" t="str">
        <f t="shared" si="49"/>
        <v/>
      </c>
      <c r="F780" s="56" t="str">
        <f>IF(AMS!I800="","",AMS!I800)</f>
        <v/>
      </c>
      <c r="G780" s="56" t="str">
        <f>IF(AMS!J800="","",AMS!J800)</f>
        <v/>
      </c>
      <c r="H780" s="22" t="str">
        <f t="array" ref="H780">IF(A780&lt;&gt;" ",IFERROR(INDEX(Summary!$G$3:$G$1000,SMALL((Summary!$G$3:$G$1000="")/0.1%+ROW($3:$1000),ROW()-2)-2)&amp;"",""),"")</f>
        <v/>
      </c>
      <c r="I780" s="22" t="str">
        <f t="shared" si="50"/>
        <v/>
      </c>
      <c r="J780" s="22" t="str">
        <f t="shared" si="51"/>
        <v/>
      </c>
    </row>
    <row r="781" spans="1:10">
      <c r="A781" s="56" t="str">
        <f>IF(AMS!H801="","",AMS!H801)</f>
        <v/>
      </c>
      <c r="B781" s="22" t="str">
        <f t="shared" si="48"/>
        <v/>
      </c>
      <c r="C781" s="22" t="str">
        <f t="array" ref="C781">IFERROR(INDEX(Summary!$I$3:$I$1000,SMALL((Summary!$I$3:$I$1000="")/0.1%+ROW($3:$1000),ROW()-2)-2)&amp;"","")</f>
        <v/>
      </c>
      <c r="D781" s="22" t="str">
        <v/>
      </c>
      <c r="E781" s="22" t="str">
        <f t="shared" si="49"/>
        <v/>
      </c>
      <c r="F781" s="56" t="str">
        <f>IF(AMS!I801="","",AMS!I801)</f>
        <v/>
      </c>
      <c r="G781" s="56" t="str">
        <f>IF(AMS!J801="","",AMS!J801)</f>
        <v/>
      </c>
      <c r="H781" s="22" t="str">
        <f t="array" ref="H781">IF(A781&lt;&gt;" ",IFERROR(INDEX(Summary!$G$3:$G$1000,SMALL((Summary!$G$3:$G$1000="")/0.1%+ROW($3:$1000),ROW()-2)-2)&amp;"",""),"")</f>
        <v/>
      </c>
      <c r="I781" s="22" t="str">
        <f t="shared" si="50"/>
        <v/>
      </c>
      <c r="J781" s="22" t="str">
        <f t="shared" si="51"/>
        <v/>
      </c>
    </row>
    <row r="782" spans="1:10">
      <c r="A782" s="56" t="str">
        <f>IF(AMS!H802="","",AMS!H802)</f>
        <v/>
      </c>
      <c r="B782" s="22" t="str">
        <f t="shared" si="48"/>
        <v/>
      </c>
      <c r="C782" s="22" t="str">
        <f t="array" ref="C782">IFERROR(INDEX(Summary!$I$3:$I$1000,SMALL((Summary!$I$3:$I$1000="")/0.1%+ROW($3:$1000),ROW()-2)-2)&amp;"","")</f>
        <v/>
      </c>
      <c r="D782" s="22" t="str">
        <v/>
      </c>
      <c r="E782" s="22" t="str">
        <f t="shared" si="49"/>
        <v/>
      </c>
      <c r="F782" s="56" t="str">
        <f>IF(AMS!I802="","",AMS!I802)</f>
        <v/>
      </c>
      <c r="G782" s="56" t="str">
        <f>IF(AMS!J802="","",AMS!J802)</f>
        <v/>
      </c>
      <c r="H782" s="22" t="str">
        <f t="array" ref="H782">IF(A782&lt;&gt;" ",IFERROR(INDEX(Summary!$G$3:$G$1000,SMALL((Summary!$G$3:$G$1000="")/0.1%+ROW($3:$1000),ROW()-2)-2)&amp;"",""),"")</f>
        <v/>
      </c>
      <c r="I782" s="22" t="str">
        <f t="shared" si="50"/>
        <v/>
      </c>
      <c r="J782" s="22" t="str">
        <f t="shared" si="51"/>
        <v/>
      </c>
    </row>
    <row r="783" spans="1:10">
      <c r="A783" s="56" t="str">
        <f>IF(AMS!H803="","",AMS!H803)</f>
        <v/>
      </c>
      <c r="B783" s="22" t="str">
        <f t="shared" si="48"/>
        <v/>
      </c>
      <c r="C783" s="22" t="str">
        <f t="array" ref="C783">IFERROR(INDEX(Summary!$I$3:$I$1000,SMALL((Summary!$I$3:$I$1000="")/0.1%+ROW($3:$1000),ROW()-2)-2)&amp;"","")</f>
        <v/>
      </c>
      <c r="D783" s="22" t="str">
        <v/>
      </c>
      <c r="E783" s="22" t="str">
        <f t="shared" si="49"/>
        <v/>
      </c>
      <c r="F783" s="56" t="str">
        <f>IF(AMS!I803="","",AMS!I803)</f>
        <v/>
      </c>
      <c r="G783" s="56" t="str">
        <f>IF(AMS!J803="","",AMS!J803)</f>
        <v/>
      </c>
      <c r="H783" s="22" t="str">
        <f t="array" ref="H783">IF(A783&lt;&gt;" ",IFERROR(INDEX(Summary!$G$3:$G$1000,SMALL((Summary!$G$3:$G$1000="")/0.1%+ROW($3:$1000),ROW()-2)-2)&amp;"",""),"")</f>
        <v/>
      </c>
      <c r="I783" s="22" t="str">
        <f t="shared" si="50"/>
        <v/>
      </c>
      <c r="J783" s="22" t="str">
        <f t="shared" si="51"/>
        <v/>
      </c>
    </row>
    <row r="784" spans="1:10">
      <c r="A784" s="56" t="str">
        <f>IF(AMS!H804="","",AMS!H804)</f>
        <v/>
      </c>
      <c r="B784" s="22" t="str">
        <f t="shared" si="48"/>
        <v/>
      </c>
      <c r="C784" s="22" t="str">
        <f t="array" ref="C784">IFERROR(INDEX(Summary!$I$3:$I$1000,SMALL((Summary!$I$3:$I$1000="")/0.1%+ROW($3:$1000),ROW()-2)-2)&amp;"","")</f>
        <v/>
      </c>
      <c r="D784" s="22" t="str">
        <v/>
      </c>
      <c r="E784" s="22" t="str">
        <f t="shared" si="49"/>
        <v/>
      </c>
      <c r="F784" s="56" t="str">
        <f>IF(AMS!I804="","",AMS!I804)</f>
        <v/>
      </c>
      <c r="G784" s="56" t="str">
        <f>IF(AMS!J804="","",AMS!J804)</f>
        <v/>
      </c>
      <c r="H784" s="22" t="str">
        <f t="array" ref="H784">IF(A784&lt;&gt;" ",IFERROR(INDEX(Summary!$G$3:$G$1000,SMALL((Summary!$G$3:$G$1000="")/0.1%+ROW($3:$1000),ROW()-2)-2)&amp;"",""),"")</f>
        <v/>
      </c>
      <c r="I784" s="22" t="str">
        <f t="shared" si="50"/>
        <v/>
      </c>
      <c r="J784" s="22" t="str">
        <f t="shared" si="51"/>
        <v/>
      </c>
    </row>
    <row r="785" spans="1:10">
      <c r="A785" s="56" t="str">
        <f>IF(AMS!H805="","",AMS!H805)</f>
        <v/>
      </c>
      <c r="B785" s="22" t="str">
        <f t="shared" si="48"/>
        <v/>
      </c>
      <c r="C785" s="22" t="str">
        <f t="array" ref="C785">IFERROR(INDEX(Summary!$I$3:$I$1000,SMALL((Summary!$I$3:$I$1000="")/0.1%+ROW($3:$1000),ROW()-2)-2)&amp;"","")</f>
        <v/>
      </c>
      <c r="D785" s="22" t="str">
        <v/>
      </c>
      <c r="E785" s="22" t="str">
        <f t="shared" si="49"/>
        <v/>
      </c>
      <c r="F785" s="56" t="str">
        <f>IF(AMS!I805="","",AMS!I805)</f>
        <v/>
      </c>
      <c r="G785" s="56" t="str">
        <f>IF(AMS!J805="","",AMS!J805)</f>
        <v/>
      </c>
      <c r="H785" s="22" t="str">
        <f t="array" ref="H785">IF(A785&lt;&gt;" ",IFERROR(INDEX(Summary!$G$3:$G$1000,SMALL((Summary!$G$3:$G$1000="")/0.1%+ROW($3:$1000),ROW()-2)-2)&amp;"",""),"")</f>
        <v/>
      </c>
      <c r="I785" s="22" t="str">
        <f t="shared" si="50"/>
        <v/>
      </c>
      <c r="J785" s="22" t="str">
        <f t="shared" si="51"/>
        <v/>
      </c>
    </row>
    <row r="786" spans="1:10">
      <c r="A786" s="56" t="str">
        <f>IF(AMS!H806="","",AMS!H806)</f>
        <v/>
      </c>
      <c r="B786" s="22" t="str">
        <f t="shared" si="48"/>
        <v/>
      </c>
      <c r="C786" s="22" t="str">
        <f t="array" ref="C786">IFERROR(INDEX(Summary!$I$3:$I$1000,SMALL((Summary!$I$3:$I$1000="")/0.1%+ROW($3:$1000),ROW()-2)-2)&amp;"","")</f>
        <v/>
      </c>
      <c r="D786" s="22" t="str">
        <v/>
      </c>
      <c r="E786" s="22" t="str">
        <f t="shared" si="49"/>
        <v/>
      </c>
      <c r="F786" s="56" t="str">
        <f>IF(AMS!I806="","",AMS!I806)</f>
        <v/>
      </c>
      <c r="G786" s="56" t="str">
        <f>IF(AMS!J806="","",AMS!J806)</f>
        <v/>
      </c>
      <c r="H786" s="22" t="str">
        <f t="array" ref="H786">IF(A786&lt;&gt;" ",IFERROR(INDEX(Summary!$G$3:$G$1000,SMALL((Summary!$G$3:$G$1000="")/0.1%+ROW($3:$1000),ROW()-2)-2)&amp;"",""),"")</f>
        <v/>
      </c>
      <c r="I786" s="22" t="str">
        <f t="shared" si="50"/>
        <v/>
      </c>
      <c r="J786" s="22" t="str">
        <f t="shared" si="51"/>
        <v/>
      </c>
    </row>
    <row r="787" spans="1:10">
      <c r="A787" s="56" t="str">
        <f>IF(AMS!H807="","",AMS!H807)</f>
        <v/>
      </c>
      <c r="B787" s="22" t="str">
        <f t="shared" si="48"/>
        <v/>
      </c>
      <c r="C787" s="22" t="str">
        <f t="array" ref="C787">IFERROR(INDEX(Summary!$I$3:$I$1000,SMALL((Summary!$I$3:$I$1000="")/0.1%+ROW($3:$1000),ROW()-2)-2)&amp;"","")</f>
        <v/>
      </c>
      <c r="D787" s="22" t="str">
        <v/>
      </c>
      <c r="E787" s="22" t="str">
        <f t="shared" si="49"/>
        <v/>
      </c>
      <c r="F787" s="56" t="str">
        <f>IF(AMS!I807="","",AMS!I807)</f>
        <v/>
      </c>
      <c r="G787" s="56" t="str">
        <f>IF(AMS!J807="","",AMS!J807)</f>
        <v/>
      </c>
      <c r="H787" s="22" t="str">
        <f t="array" ref="H787">IF(A787&lt;&gt;" ",IFERROR(INDEX(Summary!$G$3:$G$1000,SMALL((Summary!$G$3:$G$1000="")/0.1%+ROW($3:$1000),ROW()-2)-2)&amp;"",""),"")</f>
        <v/>
      </c>
      <c r="I787" s="22" t="str">
        <f t="shared" si="50"/>
        <v/>
      </c>
      <c r="J787" s="22" t="str">
        <f t="shared" si="51"/>
        <v/>
      </c>
    </row>
    <row r="788" spans="1:10">
      <c r="A788" s="56" t="str">
        <f>IF(AMS!H808="","",AMS!H808)</f>
        <v/>
      </c>
      <c r="B788" s="22" t="str">
        <f t="shared" si="48"/>
        <v/>
      </c>
      <c r="C788" s="22" t="str">
        <f t="array" ref="C788">IFERROR(INDEX(Summary!$I$3:$I$1000,SMALL((Summary!$I$3:$I$1000="")/0.1%+ROW($3:$1000),ROW()-2)-2)&amp;"","")</f>
        <v/>
      </c>
      <c r="D788" s="22" t="str">
        <v/>
      </c>
      <c r="E788" s="22" t="str">
        <f t="shared" si="49"/>
        <v/>
      </c>
      <c r="F788" s="56" t="str">
        <f>IF(AMS!I808="","",AMS!I808)</f>
        <v/>
      </c>
      <c r="G788" s="56" t="str">
        <f>IF(AMS!J808="","",AMS!J808)</f>
        <v/>
      </c>
      <c r="H788" s="22" t="str">
        <f t="array" ref="H788">IF(A788&lt;&gt;" ",IFERROR(INDEX(Summary!$G$3:$G$1000,SMALL((Summary!$G$3:$G$1000="")/0.1%+ROW($3:$1000),ROW()-2)-2)&amp;"",""),"")</f>
        <v/>
      </c>
      <c r="I788" s="22" t="str">
        <f t="shared" si="50"/>
        <v/>
      </c>
      <c r="J788" s="22" t="str">
        <f t="shared" si="51"/>
        <v/>
      </c>
    </row>
    <row r="789" spans="1:10">
      <c r="A789" s="56" t="str">
        <f>IF(AMS!H809="","",AMS!H809)</f>
        <v/>
      </c>
      <c r="B789" s="22" t="str">
        <f t="shared" si="48"/>
        <v/>
      </c>
      <c r="C789" s="22" t="str">
        <f t="array" ref="C789">IFERROR(INDEX(Summary!$I$3:$I$1000,SMALL((Summary!$I$3:$I$1000="")/0.1%+ROW($3:$1000),ROW()-2)-2)&amp;"","")</f>
        <v/>
      </c>
      <c r="D789" s="22" t="str">
        <v/>
      </c>
      <c r="E789" s="22" t="str">
        <f t="shared" si="49"/>
        <v/>
      </c>
      <c r="F789" s="56" t="str">
        <f>IF(AMS!I809="","",AMS!I809)</f>
        <v/>
      </c>
      <c r="G789" s="56" t="str">
        <f>IF(AMS!J809="","",AMS!J809)</f>
        <v/>
      </c>
      <c r="H789" s="22" t="str">
        <f t="array" ref="H789">IF(A789&lt;&gt;" ",IFERROR(INDEX(Summary!$G$3:$G$1000,SMALL((Summary!$G$3:$G$1000="")/0.1%+ROW($3:$1000),ROW()-2)-2)&amp;"",""),"")</f>
        <v/>
      </c>
      <c r="I789" s="22" t="str">
        <f t="shared" si="50"/>
        <v/>
      </c>
      <c r="J789" s="22" t="str">
        <f t="shared" si="51"/>
        <v/>
      </c>
    </row>
    <row r="790" spans="1:10">
      <c r="A790" s="56" t="str">
        <f>IF(AMS!H810="","",AMS!H810)</f>
        <v/>
      </c>
      <c r="B790" s="22" t="str">
        <f t="shared" si="48"/>
        <v/>
      </c>
      <c r="C790" s="22" t="str">
        <f t="array" ref="C790">IFERROR(INDEX(Summary!$I$3:$I$1000,SMALL((Summary!$I$3:$I$1000="")/0.1%+ROW($3:$1000),ROW()-2)-2)&amp;"","")</f>
        <v/>
      </c>
      <c r="D790" s="22" t="str">
        <v/>
      </c>
      <c r="E790" s="22" t="str">
        <f t="shared" si="49"/>
        <v/>
      </c>
      <c r="F790" s="56" t="str">
        <f>IF(AMS!I810="","",AMS!I810)</f>
        <v/>
      </c>
      <c r="G790" s="56" t="str">
        <f>IF(AMS!J810="","",AMS!J810)</f>
        <v/>
      </c>
      <c r="H790" s="22" t="str">
        <f t="array" ref="H790">IF(A790&lt;&gt;" ",IFERROR(INDEX(Summary!$G$3:$G$1000,SMALL((Summary!$G$3:$G$1000="")/0.1%+ROW($3:$1000),ROW()-2)-2)&amp;"",""),"")</f>
        <v/>
      </c>
      <c r="I790" s="22" t="str">
        <f t="shared" si="50"/>
        <v/>
      </c>
      <c r="J790" s="22" t="str">
        <f t="shared" si="51"/>
        <v/>
      </c>
    </row>
    <row r="791" spans="1:10">
      <c r="A791" s="56" t="str">
        <f>IF(AMS!H811="","",AMS!H811)</f>
        <v/>
      </c>
      <c r="B791" s="22" t="str">
        <f t="shared" si="48"/>
        <v/>
      </c>
      <c r="C791" s="22" t="str">
        <f t="array" ref="C791">IFERROR(INDEX(Summary!$I$3:$I$1000,SMALL((Summary!$I$3:$I$1000="")/0.1%+ROW($3:$1000),ROW()-2)-2)&amp;"","")</f>
        <v/>
      </c>
      <c r="D791" s="22" t="str">
        <v/>
      </c>
      <c r="E791" s="22" t="str">
        <f t="shared" si="49"/>
        <v/>
      </c>
      <c r="F791" s="56" t="str">
        <f>IF(AMS!I811="","",AMS!I811)</f>
        <v/>
      </c>
      <c r="G791" s="56" t="str">
        <f>IF(AMS!J811="","",AMS!J811)</f>
        <v/>
      </c>
      <c r="H791" s="22" t="str">
        <f t="array" ref="H791">IF(A791&lt;&gt;" ",IFERROR(INDEX(Summary!$G$3:$G$1000,SMALL((Summary!$G$3:$G$1000="")/0.1%+ROW($3:$1000),ROW()-2)-2)&amp;"",""),"")</f>
        <v/>
      </c>
      <c r="I791" s="22" t="str">
        <f t="shared" si="50"/>
        <v/>
      </c>
      <c r="J791" s="22" t="str">
        <f t="shared" si="51"/>
        <v/>
      </c>
    </row>
    <row r="792" spans="1:10">
      <c r="A792" s="56" t="str">
        <f>IF(AMS!H812="","",AMS!H812)</f>
        <v/>
      </c>
      <c r="B792" s="22" t="str">
        <f t="shared" si="48"/>
        <v/>
      </c>
      <c r="C792" s="22" t="str">
        <f t="array" ref="C792">IFERROR(INDEX(Summary!$I$3:$I$1000,SMALL((Summary!$I$3:$I$1000="")/0.1%+ROW($3:$1000),ROW()-2)-2)&amp;"","")</f>
        <v/>
      </c>
      <c r="D792" s="22" t="str">
        <v/>
      </c>
      <c r="E792" s="22" t="str">
        <f t="shared" si="49"/>
        <v/>
      </c>
      <c r="F792" s="56" t="str">
        <f>IF(AMS!I812="","",AMS!I812)</f>
        <v/>
      </c>
      <c r="G792" s="56" t="str">
        <f>IF(AMS!J812="","",AMS!J812)</f>
        <v/>
      </c>
      <c r="H792" s="22" t="str">
        <f t="array" ref="H792">IF(A792&lt;&gt;" ",IFERROR(INDEX(Summary!$G$3:$G$1000,SMALL((Summary!$G$3:$G$1000="")/0.1%+ROW($3:$1000),ROW()-2)-2)&amp;"",""),"")</f>
        <v/>
      </c>
      <c r="I792" s="22" t="str">
        <f t="shared" si="50"/>
        <v/>
      </c>
      <c r="J792" s="22" t="str">
        <f t="shared" si="51"/>
        <v/>
      </c>
    </row>
    <row r="793" spans="1:10">
      <c r="A793" s="56" t="str">
        <f>IF(AMS!H813="","",AMS!H813)</f>
        <v/>
      </c>
      <c r="B793" s="22" t="str">
        <f t="shared" si="48"/>
        <v/>
      </c>
      <c r="C793" s="22" t="str">
        <f t="array" ref="C793">IFERROR(INDEX(Summary!$I$3:$I$1000,SMALL((Summary!$I$3:$I$1000="")/0.1%+ROW($3:$1000),ROW()-2)-2)&amp;"","")</f>
        <v/>
      </c>
      <c r="D793" s="22" t="str">
        <v/>
      </c>
      <c r="E793" s="22" t="str">
        <f t="shared" si="49"/>
        <v/>
      </c>
      <c r="F793" s="56" t="str">
        <f>IF(AMS!I813="","",AMS!I813)</f>
        <v/>
      </c>
      <c r="G793" s="56" t="str">
        <f>IF(AMS!J813="","",AMS!J813)</f>
        <v/>
      </c>
      <c r="H793" s="22" t="str">
        <f t="array" ref="H793">IF(A793&lt;&gt;" ",IFERROR(INDEX(Summary!$G$3:$G$1000,SMALL((Summary!$G$3:$G$1000="")/0.1%+ROW($3:$1000),ROW()-2)-2)&amp;"",""),"")</f>
        <v/>
      </c>
      <c r="I793" s="22" t="str">
        <f t="shared" si="50"/>
        <v/>
      </c>
      <c r="J793" s="22" t="str">
        <f t="shared" si="51"/>
        <v/>
      </c>
    </row>
    <row r="794" spans="1:10">
      <c r="A794" s="56" t="str">
        <f>IF(AMS!H814="","",AMS!H814)</f>
        <v/>
      </c>
      <c r="B794" s="22" t="str">
        <f t="shared" si="48"/>
        <v/>
      </c>
      <c r="C794" s="22" t="str">
        <f t="array" ref="C794">IFERROR(INDEX(Summary!$I$3:$I$1000,SMALL((Summary!$I$3:$I$1000="")/0.1%+ROW($3:$1000),ROW()-2)-2)&amp;"","")</f>
        <v/>
      </c>
      <c r="D794" s="22" t="str">
        <v/>
      </c>
      <c r="E794" s="22" t="str">
        <f t="shared" si="49"/>
        <v/>
      </c>
      <c r="F794" s="56" t="str">
        <f>IF(AMS!I814="","",AMS!I814)</f>
        <v/>
      </c>
      <c r="G794" s="56" t="str">
        <f>IF(AMS!J814="","",AMS!J814)</f>
        <v/>
      </c>
      <c r="H794" s="22" t="str">
        <f t="array" ref="H794">IF(A794&lt;&gt;" ",IFERROR(INDEX(Summary!$G$3:$G$1000,SMALL((Summary!$G$3:$G$1000="")/0.1%+ROW($3:$1000),ROW()-2)-2)&amp;"",""),"")</f>
        <v/>
      </c>
      <c r="I794" s="22" t="str">
        <f t="shared" si="50"/>
        <v/>
      </c>
      <c r="J794" s="22" t="str">
        <f t="shared" si="51"/>
        <v/>
      </c>
    </row>
    <row r="795" spans="1:10">
      <c r="A795" s="56" t="str">
        <f>IF(AMS!H815="","",AMS!H815)</f>
        <v/>
      </c>
      <c r="B795" s="22" t="str">
        <f t="shared" si="48"/>
        <v/>
      </c>
      <c r="C795" s="22" t="str">
        <f t="array" ref="C795">IFERROR(INDEX(Summary!$I$3:$I$1000,SMALL((Summary!$I$3:$I$1000="")/0.1%+ROW($3:$1000),ROW()-2)-2)&amp;"","")</f>
        <v/>
      </c>
      <c r="D795" s="22" t="str">
        <v/>
      </c>
      <c r="E795" s="22" t="str">
        <f t="shared" si="49"/>
        <v/>
      </c>
      <c r="F795" s="56" t="str">
        <f>IF(AMS!I815="","",AMS!I815)</f>
        <v/>
      </c>
      <c r="G795" s="56" t="str">
        <f>IF(AMS!J815="","",AMS!J815)</f>
        <v/>
      </c>
      <c r="H795" s="22" t="str">
        <f t="array" ref="H795">IF(A795&lt;&gt;" ",IFERROR(INDEX(Summary!$G$3:$G$1000,SMALL((Summary!$G$3:$G$1000="")/0.1%+ROW($3:$1000),ROW()-2)-2)&amp;"",""),"")</f>
        <v/>
      </c>
      <c r="I795" s="22" t="str">
        <f t="shared" si="50"/>
        <v/>
      </c>
      <c r="J795" s="22" t="str">
        <f t="shared" si="51"/>
        <v/>
      </c>
    </row>
    <row r="796" spans="1:10">
      <c r="A796" s="56" t="str">
        <f>IF(AMS!H816="","",AMS!H816)</f>
        <v/>
      </c>
      <c r="B796" s="22" t="str">
        <f t="shared" si="48"/>
        <v/>
      </c>
      <c r="C796" s="22" t="str">
        <f t="array" ref="C796">IFERROR(INDEX(Summary!$I$3:$I$1000,SMALL((Summary!$I$3:$I$1000="")/0.1%+ROW($3:$1000),ROW()-2)-2)&amp;"","")</f>
        <v/>
      </c>
      <c r="D796" s="22" t="str">
        <v/>
      </c>
      <c r="E796" s="22" t="str">
        <f t="shared" si="49"/>
        <v/>
      </c>
      <c r="F796" s="56" t="str">
        <f>IF(AMS!I816="","",AMS!I816)</f>
        <v/>
      </c>
      <c r="G796" s="56" t="str">
        <f>IF(AMS!J816="","",AMS!J816)</f>
        <v/>
      </c>
      <c r="H796" s="22" t="str">
        <f t="array" ref="H796">IF(A796&lt;&gt;" ",IFERROR(INDEX(Summary!$G$3:$G$1000,SMALL((Summary!$G$3:$G$1000="")/0.1%+ROW($3:$1000),ROW()-2)-2)&amp;"",""),"")</f>
        <v/>
      </c>
      <c r="I796" s="22" t="str">
        <f t="shared" si="50"/>
        <v/>
      </c>
      <c r="J796" s="22" t="str">
        <f t="shared" si="51"/>
        <v/>
      </c>
    </row>
    <row r="797" spans="1:10">
      <c r="A797" s="56" t="str">
        <f>IF(AMS!H817="","",AMS!H817)</f>
        <v/>
      </c>
      <c r="B797" s="22" t="str">
        <f t="shared" si="48"/>
        <v/>
      </c>
      <c r="C797" s="22" t="str">
        <f t="array" ref="C797">IFERROR(INDEX(Summary!$I$3:$I$1000,SMALL((Summary!$I$3:$I$1000="")/0.1%+ROW($3:$1000),ROW()-2)-2)&amp;"","")</f>
        <v/>
      </c>
      <c r="D797" s="22" t="str">
        <v/>
      </c>
      <c r="E797" s="22" t="str">
        <f t="shared" si="49"/>
        <v/>
      </c>
      <c r="F797" s="56" t="str">
        <f>IF(AMS!I817="","",AMS!I817)</f>
        <v/>
      </c>
      <c r="G797" s="56" t="str">
        <f>IF(AMS!J817="","",AMS!J817)</f>
        <v/>
      </c>
      <c r="H797" s="22" t="str">
        <f t="array" ref="H797">IF(A797&lt;&gt;" ",IFERROR(INDEX(Summary!$G$3:$G$1000,SMALL((Summary!$G$3:$G$1000="")/0.1%+ROW($3:$1000),ROW()-2)-2)&amp;"",""),"")</f>
        <v/>
      </c>
      <c r="I797" s="22" t="str">
        <f t="shared" si="50"/>
        <v/>
      </c>
      <c r="J797" s="22" t="str">
        <f t="shared" si="51"/>
        <v/>
      </c>
    </row>
    <row r="798" spans="1:10">
      <c r="A798" s="56" t="str">
        <f>IF(AMS!H818="","",AMS!H818)</f>
        <v/>
      </c>
      <c r="B798" s="22" t="str">
        <f t="shared" si="48"/>
        <v/>
      </c>
      <c r="C798" s="22" t="str">
        <f t="array" ref="C798">IFERROR(INDEX(Summary!$I$3:$I$1000,SMALL((Summary!$I$3:$I$1000="")/0.1%+ROW($3:$1000),ROW()-2)-2)&amp;"","")</f>
        <v/>
      </c>
      <c r="D798" s="22" t="str">
        <v/>
      </c>
      <c r="E798" s="22" t="str">
        <f t="shared" si="49"/>
        <v/>
      </c>
      <c r="F798" s="56" t="str">
        <f>IF(AMS!I818="","",AMS!I818)</f>
        <v/>
      </c>
      <c r="G798" s="56" t="str">
        <f>IF(AMS!J818="","",AMS!J818)</f>
        <v/>
      </c>
      <c r="H798" s="22" t="str">
        <f t="array" ref="H798">IF(A798&lt;&gt;" ",IFERROR(INDEX(Summary!$G$3:$G$1000,SMALL((Summary!$G$3:$G$1000="")/0.1%+ROW($3:$1000),ROW()-2)-2)&amp;"",""),"")</f>
        <v/>
      </c>
      <c r="I798" s="22" t="str">
        <f t="shared" si="50"/>
        <v/>
      </c>
      <c r="J798" s="22" t="str">
        <f t="shared" si="51"/>
        <v/>
      </c>
    </row>
    <row r="799" spans="1:10">
      <c r="A799" s="56" t="str">
        <f>IF(AMS!H819="","",AMS!H819)</f>
        <v/>
      </c>
      <c r="B799" s="22" t="str">
        <f t="shared" si="48"/>
        <v/>
      </c>
      <c r="C799" s="22" t="str">
        <f t="array" ref="C799">IFERROR(INDEX(Summary!$I$3:$I$1000,SMALL((Summary!$I$3:$I$1000="")/0.1%+ROW($3:$1000),ROW()-2)-2)&amp;"","")</f>
        <v/>
      </c>
      <c r="D799" s="22" t="str">
        <v/>
      </c>
      <c r="E799" s="22" t="str">
        <f t="shared" si="49"/>
        <v/>
      </c>
      <c r="F799" s="56" t="str">
        <f>IF(AMS!I819="","",AMS!I819)</f>
        <v/>
      </c>
      <c r="G799" s="56" t="str">
        <f>IF(AMS!J819="","",AMS!J819)</f>
        <v/>
      </c>
      <c r="H799" s="22" t="str">
        <f t="array" ref="H799">IF(A799&lt;&gt;" ",IFERROR(INDEX(Summary!$G$3:$G$1000,SMALL((Summary!$G$3:$G$1000="")/0.1%+ROW($3:$1000),ROW()-2)-2)&amp;"",""),"")</f>
        <v/>
      </c>
      <c r="I799" s="22" t="str">
        <f t="shared" si="50"/>
        <v/>
      </c>
      <c r="J799" s="22" t="str">
        <f t="shared" si="51"/>
        <v/>
      </c>
    </row>
    <row r="800" spans="1:10">
      <c r="A800" s="56" t="str">
        <f>IF(AMS!H820="","",AMS!H820)</f>
        <v/>
      </c>
      <c r="B800" s="22" t="str">
        <f t="shared" si="48"/>
        <v/>
      </c>
      <c r="C800" s="22" t="str">
        <f t="array" ref="C800">IFERROR(INDEX(Summary!$I$3:$I$1000,SMALL((Summary!$I$3:$I$1000="")/0.1%+ROW($3:$1000),ROW()-2)-2)&amp;"","")</f>
        <v/>
      </c>
      <c r="D800" s="22" t="str">
        <v/>
      </c>
      <c r="E800" s="22" t="str">
        <f t="shared" si="49"/>
        <v/>
      </c>
      <c r="F800" s="56" t="str">
        <f>IF(AMS!I820="","",AMS!I820)</f>
        <v/>
      </c>
      <c r="G800" s="56" t="str">
        <f>IF(AMS!J820="","",AMS!J820)</f>
        <v/>
      </c>
      <c r="H800" s="22" t="str">
        <f t="array" ref="H800">IF(A800&lt;&gt;" ",IFERROR(INDEX(Summary!$G$3:$G$1000,SMALL((Summary!$G$3:$G$1000="")/0.1%+ROW($3:$1000),ROW()-2)-2)&amp;"",""),"")</f>
        <v/>
      </c>
      <c r="I800" s="22" t="str">
        <f t="shared" si="50"/>
        <v/>
      </c>
      <c r="J800" s="22" t="str">
        <f t="shared" si="51"/>
        <v/>
      </c>
    </row>
    <row r="801" spans="1:10">
      <c r="A801" s="56" t="str">
        <f>IF(AMS!H821="","",AMS!H821)</f>
        <v/>
      </c>
      <c r="B801" s="22" t="str">
        <f t="shared" si="48"/>
        <v/>
      </c>
      <c r="C801" s="22" t="str">
        <f t="array" ref="C801">IFERROR(INDEX(Summary!$I$3:$I$1000,SMALL((Summary!$I$3:$I$1000="")/0.1%+ROW($3:$1000),ROW()-2)-2)&amp;"","")</f>
        <v/>
      </c>
      <c r="D801" s="22" t="str">
        <v/>
      </c>
      <c r="E801" s="22" t="str">
        <f t="shared" si="49"/>
        <v/>
      </c>
      <c r="F801" s="56" t="str">
        <f>IF(AMS!I821="","",AMS!I821)</f>
        <v/>
      </c>
      <c r="G801" s="56" t="str">
        <f>IF(AMS!J821="","",AMS!J821)</f>
        <v/>
      </c>
      <c r="H801" s="22" t="str">
        <f t="array" ref="H801">IF(A801&lt;&gt;" ",IFERROR(INDEX(Summary!$G$3:$G$1000,SMALL((Summary!$G$3:$G$1000="")/0.1%+ROW($3:$1000),ROW()-2)-2)&amp;"",""),"")</f>
        <v/>
      </c>
      <c r="I801" s="22" t="str">
        <f t="shared" si="50"/>
        <v/>
      </c>
      <c r="J801" s="22" t="str">
        <f t="shared" si="51"/>
        <v/>
      </c>
    </row>
    <row r="802" spans="1:10">
      <c r="A802" s="56" t="str">
        <f>IF(AMS!H822="","",AMS!H822)</f>
        <v/>
      </c>
      <c r="B802" s="22" t="str">
        <f t="shared" si="48"/>
        <v/>
      </c>
      <c r="C802" s="22" t="str">
        <f t="array" ref="C802">IFERROR(INDEX(Summary!$I$3:$I$1000,SMALL((Summary!$I$3:$I$1000="")/0.1%+ROW($3:$1000),ROW()-2)-2)&amp;"","")</f>
        <v/>
      </c>
      <c r="D802" s="22" t="str">
        <v/>
      </c>
      <c r="E802" s="22" t="str">
        <f t="shared" si="49"/>
        <v/>
      </c>
      <c r="F802" s="56" t="str">
        <f>IF(AMS!I822="","",AMS!I822)</f>
        <v/>
      </c>
      <c r="G802" s="56" t="str">
        <f>IF(AMS!J822="","",AMS!J822)</f>
        <v/>
      </c>
      <c r="H802" s="22" t="str">
        <f t="array" ref="H802">IF(A802&lt;&gt;" ",IFERROR(INDEX(Summary!$G$3:$G$1000,SMALL((Summary!$G$3:$G$1000="")/0.1%+ROW($3:$1000),ROW()-2)-2)&amp;"",""),"")</f>
        <v/>
      </c>
      <c r="I802" s="22" t="str">
        <f t="shared" si="50"/>
        <v/>
      </c>
      <c r="J802" s="22" t="str">
        <f t="shared" si="51"/>
        <v/>
      </c>
    </row>
    <row r="803" spans="1:10">
      <c r="A803" s="56" t="str">
        <f>IF(AMS!H823="","",AMS!H823)</f>
        <v/>
      </c>
      <c r="B803" s="22" t="str">
        <f t="shared" si="48"/>
        <v/>
      </c>
      <c r="C803" s="22" t="str">
        <f t="array" ref="C803">IFERROR(INDEX(Summary!$I$3:$I$1000,SMALL((Summary!$I$3:$I$1000="")/0.1%+ROW($3:$1000),ROW()-2)-2)&amp;"","")</f>
        <v/>
      </c>
      <c r="D803" s="22" t="str">
        <v/>
      </c>
      <c r="E803" s="22" t="str">
        <f t="shared" si="49"/>
        <v/>
      </c>
      <c r="F803" s="56" t="str">
        <f>IF(AMS!I823="","",AMS!I823)</f>
        <v/>
      </c>
      <c r="G803" s="56" t="str">
        <f>IF(AMS!J823="","",AMS!J823)</f>
        <v/>
      </c>
      <c r="H803" s="22" t="str">
        <f t="array" ref="H803">IF(A803&lt;&gt;" ",IFERROR(INDEX(Summary!$G$3:$G$1000,SMALL((Summary!$G$3:$G$1000="")/0.1%+ROW($3:$1000),ROW()-2)-2)&amp;"",""),"")</f>
        <v/>
      </c>
      <c r="I803" s="22" t="str">
        <f t="shared" si="50"/>
        <v/>
      </c>
      <c r="J803" s="22" t="str">
        <f t="shared" si="51"/>
        <v/>
      </c>
    </row>
    <row r="804" spans="1:10">
      <c r="A804" s="56" t="str">
        <f>IF(AMS!H824="","",AMS!H824)</f>
        <v/>
      </c>
      <c r="B804" s="22" t="str">
        <f t="shared" si="48"/>
        <v/>
      </c>
      <c r="C804" s="22" t="str">
        <f t="array" ref="C804">IFERROR(INDEX(Summary!$I$3:$I$1000,SMALL((Summary!$I$3:$I$1000="")/0.1%+ROW($3:$1000),ROW()-2)-2)&amp;"","")</f>
        <v/>
      </c>
      <c r="D804" s="22" t="str">
        <v/>
      </c>
      <c r="E804" s="22" t="str">
        <f t="shared" si="49"/>
        <v/>
      </c>
      <c r="F804" s="56" t="str">
        <f>IF(AMS!I824="","",AMS!I824)</f>
        <v/>
      </c>
      <c r="G804" s="56" t="str">
        <f>IF(AMS!J824="","",AMS!J824)</f>
        <v/>
      </c>
      <c r="H804" s="22" t="str">
        <f t="array" ref="H804">IF(A804&lt;&gt;" ",IFERROR(INDEX(Summary!$G$3:$G$1000,SMALL((Summary!$G$3:$G$1000="")/0.1%+ROW($3:$1000),ROW()-2)-2)&amp;"",""),"")</f>
        <v/>
      </c>
      <c r="I804" s="22" t="str">
        <f t="shared" si="50"/>
        <v/>
      </c>
      <c r="J804" s="22" t="str">
        <f t="shared" si="51"/>
        <v/>
      </c>
    </row>
    <row r="805" spans="1:10">
      <c r="A805" s="56" t="str">
        <f>IF(AMS!H825="","",AMS!H825)</f>
        <v/>
      </c>
      <c r="B805" s="22" t="str">
        <f t="shared" si="48"/>
        <v/>
      </c>
      <c r="C805" s="22" t="str">
        <f t="array" ref="C805">IFERROR(INDEX(Summary!$I$3:$I$1000,SMALL((Summary!$I$3:$I$1000="")/0.1%+ROW($3:$1000),ROW()-2)-2)&amp;"","")</f>
        <v/>
      </c>
      <c r="D805" s="22" t="str">
        <v/>
      </c>
      <c r="E805" s="22" t="str">
        <f t="shared" si="49"/>
        <v/>
      </c>
      <c r="F805" s="56" t="str">
        <f>IF(AMS!I825="","",AMS!I825)</f>
        <v/>
      </c>
      <c r="G805" s="56" t="str">
        <f>IF(AMS!J825="","",AMS!J825)</f>
        <v/>
      </c>
      <c r="H805" s="22" t="str">
        <f t="array" ref="H805">IF(A805&lt;&gt;" ",IFERROR(INDEX(Summary!$G$3:$G$1000,SMALL((Summary!$G$3:$G$1000="")/0.1%+ROW($3:$1000),ROW()-2)-2)&amp;"",""),"")</f>
        <v/>
      </c>
      <c r="I805" s="22" t="str">
        <f t="shared" si="50"/>
        <v/>
      </c>
      <c r="J805" s="22" t="str">
        <f t="shared" si="51"/>
        <v/>
      </c>
    </row>
    <row r="806" spans="1:10">
      <c r="A806" s="56" t="str">
        <f>IF(AMS!H826="","",AMS!H826)</f>
        <v/>
      </c>
      <c r="B806" s="22" t="str">
        <f t="shared" si="48"/>
        <v/>
      </c>
      <c r="C806" s="22" t="str">
        <f t="array" ref="C806">IFERROR(INDEX(Summary!$I$3:$I$1000,SMALL((Summary!$I$3:$I$1000="")/0.1%+ROW($3:$1000),ROW()-2)-2)&amp;"","")</f>
        <v/>
      </c>
      <c r="D806" s="22" t="str">
        <v/>
      </c>
      <c r="E806" s="22" t="str">
        <f t="shared" si="49"/>
        <v/>
      </c>
      <c r="F806" s="56" t="str">
        <f>IF(AMS!I826="","",AMS!I826)</f>
        <v/>
      </c>
      <c r="G806" s="56" t="str">
        <f>IF(AMS!J826="","",AMS!J826)</f>
        <v/>
      </c>
      <c r="H806" s="22" t="str">
        <f t="array" ref="H806">IF(A806&lt;&gt;" ",IFERROR(INDEX(Summary!$G$3:$G$1000,SMALL((Summary!$G$3:$G$1000="")/0.1%+ROW($3:$1000),ROW()-2)-2)&amp;"",""),"")</f>
        <v/>
      </c>
      <c r="I806" s="22" t="str">
        <f t="shared" si="50"/>
        <v/>
      </c>
      <c r="J806" s="22" t="str">
        <f t="shared" si="51"/>
        <v/>
      </c>
    </row>
    <row r="807" spans="1:10">
      <c r="A807" s="56" t="str">
        <f>IF(AMS!H827="","",AMS!H827)</f>
        <v/>
      </c>
      <c r="B807" s="22" t="str">
        <f t="shared" si="48"/>
        <v/>
      </c>
      <c r="C807" s="22" t="str">
        <f t="array" ref="C807">IFERROR(INDEX(Summary!$I$3:$I$1000,SMALL((Summary!$I$3:$I$1000="")/0.1%+ROW($3:$1000),ROW()-2)-2)&amp;"","")</f>
        <v/>
      </c>
      <c r="D807" s="22" t="str">
        <v/>
      </c>
      <c r="E807" s="22" t="str">
        <f t="shared" si="49"/>
        <v/>
      </c>
      <c r="F807" s="56" t="str">
        <f>IF(AMS!I827="","",AMS!I827)</f>
        <v/>
      </c>
      <c r="G807" s="56" t="str">
        <f>IF(AMS!J827="","",AMS!J827)</f>
        <v/>
      </c>
      <c r="H807" s="22" t="str">
        <f t="array" ref="H807">IF(A807&lt;&gt;" ",IFERROR(INDEX(Summary!$G$3:$G$1000,SMALL((Summary!$G$3:$G$1000="")/0.1%+ROW($3:$1000),ROW()-2)-2)&amp;"",""),"")</f>
        <v/>
      </c>
      <c r="I807" s="22" t="str">
        <f t="shared" si="50"/>
        <v/>
      </c>
      <c r="J807" s="22" t="str">
        <f t="shared" si="51"/>
        <v/>
      </c>
    </row>
    <row r="808" spans="1:10">
      <c r="A808" s="56" t="str">
        <f>IF(AMS!H828="","",AMS!H828)</f>
        <v/>
      </c>
      <c r="B808" s="22" t="str">
        <f t="shared" si="48"/>
        <v/>
      </c>
      <c r="C808" s="22" t="str">
        <f t="array" ref="C808">IFERROR(INDEX(Summary!$I$3:$I$1000,SMALL((Summary!$I$3:$I$1000="")/0.1%+ROW($3:$1000),ROW()-2)-2)&amp;"","")</f>
        <v/>
      </c>
      <c r="D808" s="22" t="str">
        <v/>
      </c>
      <c r="E808" s="22" t="str">
        <f t="shared" si="49"/>
        <v/>
      </c>
      <c r="F808" s="56" t="str">
        <f>IF(AMS!I828="","",AMS!I828)</f>
        <v/>
      </c>
      <c r="G808" s="56" t="str">
        <f>IF(AMS!J828="","",AMS!J828)</f>
        <v/>
      </c>
      <c r="H808" s="22" t="str">
        <f t="array" ref="H808">IF(A808&lt;&gt;" ",IFERROR(INDEX(Summary!$G$3:$G$1000,SMALL((Summary!$G$3:$G$1000="")/0.1%+ROW($3:$1000),ROW()-2)-2)&amp;"",""),"")</f>
        <v/>
      </c>
      <c r="I808" s="22" t="str">
        <f t="shared" si="50"/>
        <v/>
      </c>
      <c r="J808" s="22" t="str">
        <f t="shared" si="51"/>
        <v/>
      </c>
    </row>
    <row r="809" spans="1:10">
      <c r="A809" s="56" t="str">
        <f>IF(AMS!H829="","",AMS!H829)</f>
        <v/>
      </c>
      <c r="B809" s="22" t="str">
        <f t="shared" si="48"/>
        <v/>
      </c>
      <c r="C809" s="22" t="str">
        <f t="array" ref="C809">IFERROR(INDEX(Summary!$I$3:$I$1000,SMALL((Summary!$I$3:$I$1000="")/0.1%+ROW($3:$1000),ROW()-2)-2)&amp;"","")</f>
        <v/>
      </c>
      <c r="D809" s="22" t="str">
        <v/>
      </c>
      <c r="E809" s="22" t="str">
        <f t="shared" si="49"/>
        <v/>
      </c>
      <c r="F809" s="56" t="str">
        <f>IF(AMS!I829="","",AMS!I829)</f>
        <v/>
      </c>
      <c r="G809" s="56" t="str">
        <f>IF(AMS!J829="","",AMS!J829)</f>
        <v/>
      </c>
      <c r="H809" s="22" t="str">
        <f t="array" ref="H809">IF(A809&lt;&gt;" ",IFERROR(INDEX(Summary!$G$3:$G$1000,SMALL((Summary!$G$3:$G$1000="")/0.1%+ROW($3:$1000),ROW()-2)-2)&amp;"",""),"")</f>
        <v/>
      </c>
      <c r="I809" s="22" t="str">
        <f t="shared" si="50"/>
        <v/>
      </c>
      <c r="J809" s="22" t="str">
        <f t="shared" si="51"/>
        <v/>
      </c>
    </row>
    <row r="810" spans="1:10">
      <c r="A810" s="56" t="str">
        <f>IF(AMS!H830="","",AMS!H830)</f>
        <v/>
      </c>
      <c r="B810" s="22" t="str">
        <f t="shared" si="48"/>
        <v/>
      </c>
      <c r="C810" s="22" t="str">
        <f t="array" ref="C810">IFERROR(INDEX(Summary!$I$3:$I$1000,SMALL((Summary!$I$3:$I$1000="")/0.1%+ROW($3:$1000),ROW()-2)-2)&amp;"","")</f>
        <v/>
      </c>
      <c r="D810" s="22" t="str">
        <v/>
      </c>
      <c r="E810" s="22" t="str">
        <f t="shared" si="49"/>
        <v/>
      </c>
      <c r="F810" s="56" t="str">
        <f>IF(AMS!I830="","",AMS!I830)</f>
        <v/>
      </c>
      <c r="G810" s="56" t="str">
        <f>IF(AMS!J830="","",AMS!J830)</f>
        <v/>
      </c>
      <c r="H810" s="22" t="str">
        <f t="array" ref="H810">IF(A810&lt;&gt;" ",IFERROR(INDEX(Summary!$G$3:$G$1000,SMALL((Summary!$G$3:$G$1000="")/0.1%+ROW($3:$1000),ROW()-2)-2)&amp;"",""),"")</f>
        <v/>
      </c>
      <c r="I810" s="22" t="str">
        <f t="shared" si="50"/>
        <v/>
      </c>
      <c r="J810" s="22" t="str">
        <f t="shared" si="51"/>
        <v/>
      </c>
    </row>
    <row r="811" spans="1:10">
      <c r="A811" s="56" t="str">
        <f>IF(AMS!H831="","",AMS!H831)</f>
        <v/>
      </c>
      <c r="B811" s="22" t="str">
        <f t="shared" si="48"/>
        <v/>
      </c>
      <c r="C811" s="22" t="str">
        <f t="array" ref="C811">IFERROR(INDEX(Summary!$I$3:$I$1000,SMALL((Summary!$I$3:$I$1000="")/0.1%+ROW($3:$1000),ROW()-2)-2)&amp;"","")</f>
        <v/>
      </c>
      <c r="D811" s="22" t="str">
        <v/>
      </c>
      <c r="E811" s="22" t="str">
        <f t="shared" si="49"/>
        <v/>
      </c>
      <c r="F811" s="56" t="str">
        <f>IF(AMS!I831="","",AMS!I831)</f>
        <v/>
      </c>
      <c r="G811" s="56" t="str">
        <f>IF(AMS!J831="","",AMS!J831)</f>
        <v/>
      </c>
      <c r="H811" s="22" t="str">
        <f t="array" ref="H811">IF(A811&lt;&gt;" ",IFERROR(INDEX(Summary!$G$3:$G$1000,SMALL((Summary!$G$3:$G$1000="")/0.1%+ROW($3:$1000),ROW()-2)-2)&amp;"",""),"")</f>
        <v/>
      </c>
      <c r="I811" s="22" t="str">
        <f t="shared" si="50"/>
        <v/>
      </c>
      <c r="J811" s="22" t="str">
        <f t="shared" si="51"/>
        <v/>
      </c>
    </row>
    <row r="812" spans="1:10">
      <c r="A812" s="56" t="str">
        <f>IF(AMS!H832="","",AMS!H832)</f>
        <v/>
      </c>
      <c r="B812" s="22" t="str">
        <f t="shared" si="48"/>
        <v/>
      </c>
      <c r="C812" s="22" t="str">
        <f t="array" ref="C812">IFERROR(INDEX(Summary!$I$3:$I$1000,SMALL((Summary!$I$3:$I$1000="")/0.1%+ROW($3:$1000),ROW()-2)-2)&amp;"","")</f>
        <v/>
      </c>
      <c r="D812" s="22" t="str">
        <v/>
      </c>
      <c r="E812" s="22" t="str">
        <f t="shared" si="49"/>
        <v/>
      </c>
      <c r="F812" s="56" t="str">
        <f>IF(AMS!I832="","",AMS!I832)</f>
        <v/>
      </c>
      <c r="G812" s="56" t="str">
        <f>IF(AMS!J832="","",AMS!J832)</f>
        <v/>
      </c>
      <c r="H812" s="22" t="str">
        <f t="array" ref="H812">IF(A812&lt;&gt;" ",IFERROR(INDEX(Summary!$G$3:$G$1000,SMALL((Summary!$G$3:$G$1000="")/0.1%+ROW($3:$1000),ROW()-2)-2)&amp;"",""),"")</f>
        <v/>
      </c>
      <c r="I812" s="22" t="str">
        <f t="shared" si="50"/>
        <v/>
      </c>
      <c r="J812" s="22" t="str">
        <f t="shared" si="51"/>
        <v/>
      </c>
    </row>
    <row r="813" spans="1:10">
      <c r="A813" s="56" t="str">
        <f>IF(AMS!H833="","",AMS!H833)</f>
        <v/>
      </c>
      <c r="B813" s="22" t="str">
        <f t="shared" si="48"/>
        <v/>
      </c>
      <c r="C813" s="22" t="str">
        <f t="array" ref="C813">IFERROR(INDEX(Summary!$I$3:$I$1000,SMALL((Summary!$I$3:$I$1000="")/0.1%+ROW($3:$1000),ROW()-2)-2)&amp;"","")</f>
        <v/>
      </c>
      <c r="D813" s="22" t="str">
        <v/>
      </c>
      <c r="E813" s="22" t="str">
        <f t="shared" si="49"/>
        <v/>
      </c>
      <c r="F813" s="56" t="str">
        <f>IF(AMS!I833="","",AMS!I833)</f>
        <v/>
      </c>
      <c r="G813" s="56" t="str">
        <f>IF(AMS!J833="","",AMS!J833)</f>
        <v/>
      </c>
      <c r="H813" s="22" t="str">
        <f t="array" ref="H813">IF(A813&lt;&gt;" ",IFERROR(INDEX(Summary!$G$3:$G$1000,SMALL((Summary!$G$3:$G$1000="")/0.1%+ROW($3:$1000),ROW()-2)-2)&amp;"",""),"")</f>
        <v/>
      </c>
      <c r="I813" s="22" t="str">
        <f t="shared" si="50"/>
        <v/>
      </c>
      <c r="J813" s="22" t="str">
        <f t="shared" si="51"/>
        <v/>
      </c>
    </row>
    <row r="814" spans="1:10">
      <c r="A814" s="56" t="str">
        <f>IF(AMS!H834="","",AMS!H834)</f>
        <v/>
      </c>
      <c r="B814" s="22" t="str">
        <f t="shared" si="48"/>
        <v/>
      </c>
      <c r="C814" s="22" t="str">
        <f t="array" ref="C814">IFERROR(INDEX(Summary!$I$3:$I$1000,SMALL((Summary!$I$3:$I$1000="")/0.1%+ROW($3:$1000),ROW()-2)-2)&amp;"","")</f>
        <v/>
      </c>
      <c r="D814" s="22" t="str">
        <v/>
      </c>
      <c r="E814" s="22" t="str">
        <f t="shared" si="49"/>
        <v/>
      </c>
      <c r="F814" s="56" t="str">
        <f>IF(AMS!I834="","",AMS!I834)</f>
        <v/>
      </c>
      <c r="G814" s="56" t="str">
        <f>IF(AMS!J834="","",AMS!J834)</f>
        <v/>
      </c>
      <c r="H814" s="22" t="str">
        <f t="array" ref="H814">IF(A814&lt;&gt;" ",IFERROR(INDEX(Summary!$G$3:$G$1000,SMALL((Summary!$G$3:$G$1000="")/0.1%+ROW($3:$1000),ROW()-2)-2)&amp;"",""),"")</f>
        <v/>
      </c>
      <c r="I814" s="22" t="str">
        <f t="shared" si="50"/>
        <v/>
      </c>
      <c r="J814" s="22" t="str">
        <f t="shared" si="51"/>
        <v/>
      </c>
    </row>
    <row r="815" spans="1:10">
      <c r="A815" s="56" t="str">
        <f>IF(AMS!H835="","",AMS!H835)</f>
        <v/>
      </c>
      <c r="B815" s="22" t="str">
        <f t="shared" si="48"/>
        <v/>
      </c>
      <c r="C815" s="22" t="str">
        <f t="array" ref="C815">IFERROR(INDEX(Summary!$I$3:$I$1000,SMALL((Summary!$I$3:$I$1000="")/0.1%+ROW($3:$1000),ROW()-2)-2)&amp;"","")</f>
        <v/>
      </c>
      <c r="D815" s="22" t="str">
        <v/>
      </c>
      <c r="E815" s="22" t="str">
        <f t="shared" si="49"/>
        <v/>
      </c>
      <c r="F815" s="56" t="str">
        <f>IF(AMS!I835="","",AMS!I835)</f>
        <v/>
      </c>
      <c r="G815" s="56" t="str">
        <f>IF(AMS!J835="","",AMS!J835)</f>
        <v/>
      </c>
      <c r="H815" s="22" t="str">
        <f t="array" ref="H815">IF(A815&lt;&gt;" ",IFERROR(INDEX(Summary!$G$3:$G$1000,SMALL((Summary!$G$3:$G$1000="")/0.1%+ROW($3:$1000),ROW()-2)-2)&amp;"",""),"")</f>
        <v/>
      </c>
      <c r="I815" s="22" t="str">
        <f t="shared" si="50"/>
        <v/>
      </c>
      <c r="J815" s="22" t="str">
        <f t="shared" si="51"/>
        <v/>
      </c>
    </row>
    <row r="816" spans="1:10">
      <c r="A816" s="56" t="str">
        <f>IF(AMS!H836="","",AMS!H836)</f>
        <v/>
      </c>
      <c r="B816" s="22" t="str">
        <f t="shared" si="48"/>
        <v/>
      </c>
      <c r="C816" s="22" t="str">
        <f t="array" ref="C816">IFERROR(INDEX(Summary!$I$3:$I$1000,SMALL((Summary!$I$3:$I$1000="")/0.1%+ROW($3:$1000),ROW()-2)-2)&amp;"","")</f>
        <v/>
      </c>
      <c r="D816" s="22" t="str">
        <v/>
      </c>
      <c r="E816" s="22" t="str">
        <f t="shared" si="49"/>
        <v/>
      </c>
      <c r="F816" s="56" t="str">
        <f>IF(AMS!I836="","",AMS!I836)</f>
        <v/>
      </c>
      <c r="G816" s="56" t="str">
        <f>IF(AMS!J836="","",AMS!J836)</f>
        <v/>
      </c>
      <c r="H816" s="22" t="str">
        <f t="array" ref="H816">IF(A816&lt;&gt;" ",IFERROR(INDEX(Summary!$G$3:$G$1000,SMALL((Summary!$G$3:$G$1000="")/0.1%+ROW($3:$1000),ROW()-2)-2)&amp;"",""),"")</f>
        <v/>
      </c>
      <c r="I816" s="22" t="str">
        <f t="shared" si="50"/>
        <v/>
      </c>
      <c r="J816" s="22" t="str">
        <f t="shared" si="51"/>
        <v/>
      </c>
    </row>
    <row r="817" spans="1:10">
      <c r="A817" s="56" t="str">
        <f>IF(AMS!H837="","",AMS!H837)</f>
        <v/>
      </c>
      <c r="B817" s="22" t="str">
        <f t="shared" si="48"/>
        <v/>
      </c>
      <c r="C817" s="22" t="str">
        <f t="array" ref="C817">IFERROR(INDEX(Summary!$I$3:$I$1000,SMALL((Summary!$I$3:$I$1000="")/0.1%+ROW($3:$1000),ROW()-2)-2)&amp;"","")</f>
        <v/>
      </c>
      <c r="D817" s="22" t="str">
        <v/>
      </c>
      <c r="E817" s="22" t="str">
        <f t="shared" si="49"/>
        <v/>
      </c>
      <c r="F817" s="56" t="str">
        <f>IF(AMS!I837="","",AMS!I837)</f>
        <v/>
      </c>
      <c r="G817" s="56" t="str">
        <f>IF(AMS!J837="","",AMS!J837)</f>
        <v/>
      </c>
      <c r="H817" s="22" t="str">
        <f t="array" ref="H817">IF(A817&lt;&gt;" ",IFERROR(INDEX(Summary!$G$3:$G$1000,SMALL((Summary!$G$3:$G$1000="")/0.1%+ROW($3:$1000),ROW()-2)-2)&amp;"",""),"")</f>
        <v/>
      </c>
      <c r="I817" s="22" t="str">
        <f t="shared" si="50"/>
        <v/>
      </c>
      <c r="J817" s="22" t="str">
        <f t="shared" si="51"/>
        <v/>
      </c>
    </row>
    <row r="818" spans="1:10">
      <c r="A818" s="56" t="str">
        <f>IF(AMS!H838="","",AMS!H838)</f>
        <v/>
      </c>
      <c r="B818" s="22" t="str">
        <f t="shared" si="48"/>
        <v/>
      </c>
      <c r="C818" s="22" t="str">
        <f t="array" ref="C818">IFERROR(INDEX(Summary!$I$3:$I$1000,SMALL((Summary!$I$3:$I$1000="")/0.1%+ROW($3:$1000),ROW()-2)-2)&amp;"","")</f>
        <v/>
      </c>
      <c r="D818" s="22" t="str">
        <v/>
      </c>
      <c r="E818" s="22" t="str">
        <f t="shared" si="49"/>
        <v/>
      </c>
      <c r="F818" s="56" t="str">
        <f>IF(AMS!I838="","",AMS!I838)</f>
        <v/>
      </c>
      <c r="G818" s="56" t="str">
        <f>IF(AMS!J838="","",AMS!J838)</f>
        <v/>
      </c>
      <c r="H818" s="22" t="str">
        <f t="array" ref="H818">IF(A818&lt;&gt;" ",IFERROR(INDEX(Summary!$G$3:$G$1000,SMALL((Summary!$G$3:$G$1000="")/0.1%+ROW($3:$1000),ROW()-2)-2)&amp;"",""),"")</f>
        <v/>
      </c>
      <c r="I818" s="22" t="str">
        <f t="shared" si="50"/>
        <v/>
      </c>
      <c r="J818" s="22" t="str">
        <f t="shared" si="51"/>
        <v/>
      </c>
    </row>
    <row r="819" spans="1:10">
      <c r="A819" s="56" t="str">
        <f>IF(AMS!H839="","",AMS!H839)</f>
        <v/>
      </c>
      <c r="B819" s="22" t="str">
        <f t="shared" si="48"/>
        <v/>
      </c>
      <c r="C819" s="22" t="str">
        <f t="array" ref="C819">IFERROR(INDEX(Summary!$I$3:$I$1000,SMALL((Summary!$I$3:$I$1000="")/0.1%+ROW($3:$1000),ROW()-2)-2)&amp;"","")</f>
        <v/>
      </c>
      <c r="D819" s="22" t="str">
        <v/>
      </c>
      <c r="E819" s="22" t="str">
        <f t="shared" si="49"/>
        <v/>
      </c>
      <c r="F819" s="56" t="str">
        <f>IF(AMS!I839="","",AMS!I839)</f>
        <v/>
      </c>
      <c r="G819" s="56" t="str">
        <f>IF(AMS!J839="","",AMS!J839)</f>
        <v/>
      </c>
      <c r="H819" s="22" t="str">
        <f t="array" ref="H819">IF(A819&lt;&gt;" ",IFERROR(INDEX(Summary!$G$3:$G$1000,SMALL((Summary!$G$3:$G$1000="")/0.1%+ROW($3:$1000),ROW()-2)-2)&amp;"",""),"")</f>
        <v/>
      </c>
      <c r="I819" s="22" t="str">
        <f t="shared" si="50"/>
        <v/>
      </c>
      <c r="J819" s="22" t="str">
        <f t="shared" si="51"/>
        <v/>
      </c>
    </row>
    <row r="820" spans="1:10">
      <c r="A820" s="56" t="str">
        <f>IF(AMS!H840="","",AMS!H840)</f>
        <v/>
      </c>
      <c r="B820" s="22" t="str">
        <f t="shared" si="48"/>
        <v/>
      </c>
      <c r="C820" s="22" t="str">
        <f t="array" ref="C820">IFERROR(INDEX(Summary!$I$3:$I$1000,SMALL((Summary!$I$3:$I$1000="")/0.1%+ROW($3:$1000),ROW()-2)-2)&amp;"","")</f>
        <v/>
      </c>
      <c r="D820" s="22" t="str">
        <v/>
      </c>
      <c r="E820" s="22" t="str">
        <f t="shared" si="49"/>
        <v/>
      </c>
      <c r="F820" s="56" t="str">
        <f>IF(AMS!I840="","",AMS!I840)</f>
        <v/>
      </c>
      <c r="G820" s="56" t="str">
        <f>IF(AMS!J840="","",AMS!J840)</f>
        <v/>
      </c>
      <c r="H820" s="22" t="str">
        <f t="array" ref="H820">IF(A820&lt;&gt;" ",IFERROR(INDEX(Summary!$G$3:$G$1000,SMALL((Summary!$G$3:$G$1000="")/0.1%+ROW($3:$1000),ROW()-2)-2)&amp;"",""),"")</f>
        <v/>
      </c>
      <c r="I820" s="22" t="str">
        <f t="shared" si="50"/>
        <v/>
      </c>
      <c r="J820" s="22" t="str">
        <f t="shared" si="51"/>
        <v/>
      </c>
    </row>
    <row r="821" spans="1:10">
      <c r="A821" s="56" t="str">
        <f>IF(AMS!H841="","",AMS!H841)</f>
        <v/>
      </c>
      <c r="B821" s="22" t="str">
        <f t="shared" si="48"/>
        <v/>
      </c>
      <c r="C821" s="22" t="str">
        <f t="array" ref="C821">IFERROR(INDEX(Summary!$I$3:$I$1000,SMALL((Summary!$I$3:$I$1000="")/0.1%+ROW($3:$1000),ROW()-2)-2)&amp;"","")</f>
        <v/>
      </c>
      <c r="D821" s="22" t="str">
        <v/>
      </c>
      <c r="E821" s="22" t="str">
        <f t="shared" si="49"/>
        <v/>
      </c>
      <c r="F821" s="56" t="str">
        <f>IF(AMS!I841="","",AMS!I841)</f>
        <v/>
      </c>
      <c r="G821" s="56" t="str">
        <f>IF(AMS!J841="","",AMS!J841)</f>
        <v/>
      </c>
      <c r="H821" s="22" t="str">
        <f t="array" ref="H821">IF(A821&lt;&gt;" ",IFERROR(INDEX(Summary!$G$3:$G$1000,SMALL((Summary!$G$3:$G$1000="")/0.1%+ROW($3:$1000),ROW()-2)-2)&amp;"",""),"")</f>
        <v/>
      </c>
      <c r="I821" s="22" t="str">
        <f t="shared" si="50"/>
        <v/>
      </c>
      <c r="J821" s="22" t="str">
        <f t="shared" si="51"/>
        <v/>
      </c>
    </row>
    <row r="822" spans="1:10">
      <c r="A822" s="56" t="str">
        <f>IF(AMS!H842="","",AMS!H842)</f>
        <v/>
      </c>
      <c r="B822" s="22" t="str">
        <f t="shared" si="48"/>
        <v/>
      </c>
      <c r="C822" s="22" t="str">
        <f t="array" ref="C822">IFERROR(INDEX(Summary!$I$3:$I$1000,SMALL((Summary!$I$3:$I$1000="")/0.1%+ROW($3:$1000),ROW()-2)-2)&amp;"","")</f>
        <v/>
      </c>
      <c r="D822" s="22" t="str">
        <v/>
      </c>
      <c r="E822" s="22" t="str">
        <f t="shared" si="49"/>
        <v/>
      </c>
      <c r="F822" s="56" t="str">
        <f>IF(AMS!I842="","",AMS!I842)</f>
        <v/>
      </c>
      <c r="G822" s="56" t="str">
        <f>IF(AMS!J842="","",AMS!J842)</f>
        <v/>
      </c>
      <c r="H822" s="22" t="str">
        <f t="array" ref="H822">IF(A822&lt;&gt;" ",IFERROR(INDEX(Summary!$G$3:$G$1000,SMALL((Summary!$G$3:$G$1000="")/0.1%+ROW($3:$1000),ROW()-2)-2)&amp;"",""),"")</f>
        <v/>
      </c>
      <c r="I822" s="22" t="str">
        <f t="shared" si="50"/>
        <v/>
      </c>
      <c r="J822" s="22" t="str">
        <f t="shared" si="51"/>
        <v/>
      </c>
    </row>
    <row r="823" spans="1:10">
      <c r="A823" s="56" t="str">
        <f>IF(AMS!H843="","",AMS!H843)</f>
        <v/>
      </c>
      <c r="B823" s="22" t="str">
        <f t="shared" si="48"/>
        <v/>
      </c>
      <c r="C823" s="22" t="str">
        <f t="array" ref="C823">IFERROR(INDEX(Summary!$I$3:$I$1000,SMALL((Summary!$I$3:$I$1000="")/0.1%+ROW($3:$1000),ROW()-2)-2)&amp;"","")</f>
        <v/>
      </c>
      <c r="D823" s="22" t="str">
        <v/>
      </c>
      <c r="E823" s="22" t="str">
        <f t="shared" si="49"/>
        <v/>
      </c>
      <c r="F823" s="56" t="str">
        <f>IF(AMS!I843="","",AMS!I843)</f>
        <v/>
      </c>
      <c r="G823" s="56" t="str">
        <f>IF(AMS!J843="","",AMS!J843)</f>
        <v/>
      </c>
      <c r="H823" s="22" t="str">
        <f t="array" ref="H823">IF(A823&lt;&gt;" ",IFERROR(INDEX(Summary!$G$3:$G$1000,SMALL((Summary!$G$3:$G$1000="")/0.1%+ROW($3:$1000),ROW()-2)-2)&amp;"",""),"")</f>
        <v/>
      </c>
      <c r="I823" s="22" t="str">
        <f t="shared" si="50"/>
        <v/>
      </c>
      <c r="J823" s="22" t="str">
        <f t="shared" si="51"/>
        <v/>
      </c>
    </row>
    <row r="824" spans="1:10">
      <c r="A824" s="56" t="str">
        <f>IF(AMS!H844="","",AMS!H844)</f>
        <v/>
      </c>
      <c r="B824" s="22" t="str">
        <f t="shared" si="48"/>
        <v/>
      </c>
      <c r="C824" s="22" t="str">
        <f t="array" ref="C824">IFERROR(INDEX(Summary!$I$3:$I$1000,SMALL((Summary!$I$3:$I$1000="")/0.1%+ROW($3:$1000),ROW()-2)-2)&amp;"","")</f>
        <v/>
      </c>
      <c r="D824" s="22" t="str">
        <v/>
      </c>
      <c r="E824" s="22" t="str">
        <f t="shared" si="49"/>
        <v/>
      </c>
      <c r="F824" s="56" t="str">
        <f>IF(AMS!I844="","",AMS!I844)</f>
        <v/>
      </c>
      <c r="G824" s="56" t="str">
        <f>IF(AMS!J844="","",AMS!J844)</f>
        <v/>
      </c>
      <c r="H824" s="22" t="str">
        <f t="array" ref="H824">IF(A824&lt;&gt;" ",IFERROR(INDEX(Summary!$G$3:$G$1000,SMALL((Summary!$G$3:$G$1000="")/0.1%+ROW($3:$1000),ROW()-2)-2)&amp;"",""),"")</f>
        <v/>
      </c>
      <c r="I824" s="22" t="str">
        <f t="shared" si="50"/>
        <v/>
      </c>
      <c r="J824" s="22" t="str">
        <f t="shared" si="51"/>
        <v/>
      </c>
    </row>
    <row r="825" spans="1:10">
      <c r="A825" s="56" t="str">
        <f>IF(AMS!H845="","",AMS!H845)</f>
        <v/>
      </c>
      <c r="B825" s="22" t="str">
        <f t="shared" si="48"/>
        <v/>
      </c>
      <c r="C825" s="22" t="str">
        <f t="array" ref="C825">IFERROR(INDEX(Summary!$I$3:$I$1000,SMALL((Summary!$I$3:$I$1000="")/0.1%+ROW($3:$1000),ROW()-2)-2)&amp;"","")</f>
        <v/>
      </c>
      <c r="D825" s="22" t="str">
        <v/>
      </c>
      <c r="E825" s="22" t="str">
        <f t="shared" si="49"/>
        <v/>
      </c>
      <c r="F825" s="56" t="str">
        <f>IF(AMS!I845="","",AMS!I845)</f>
        <v/>
      </c>
      <c r="G825" s="56" t="str">
        <f>IF(AMS!J845="","",AMS!J845)</f>
        <v/>
      </c>
      <c r="H825" s="22" t="str">
        <f t="array" ref="H825">IF(A825&lt;&gt;" ",IFERROR(INDEX(Summary!$G$3:$G$1000,SMALL((Summary!$G$3:$G$1000="")/0.1%+ROW($3:$1000),ROW()-2)-2)&amp;"",""),"")</f>
        <v/>
      </c>
      <c r="I825" s="22" t="str">
        <f t="shared" si="50"/>
        <v/>
      </c>
      <c r="J825" s="22" t="str">
        <f t="shared" si="51"/>
        <v/>
      </c>
    </row>
    <row r="826" spans="1:10">
      <c r="A826" s="56" t="str">
        <f>IF(AMS!H846="","",AMS!H846)</f>
        <v/>
      </c>
      <c r="B826" s="22" t="str">
        <f t="shared" si="48"/>
        <v/>
      </c>
      <c r="C826" s="22" t="str">
        <f t="array" ref="C826">IFERROR(INDEX(Summary!$I$3:$I$1000,SMALL((Summary!$I$3:$I$1000="")/0.1%+ROW($3:$1000),ROW()-2)-2)&amp;"","")</f>
        <v/>
      </c>
      <c r="D826" s="22" t="str">
        <v/>
      </c>
      <c r="E826" s="22" t="str">
        <f t="shared" si="49"/>
        <v/>
      </c>
      <c r="F826" s="56" t="str">
        <f>IF(AMS!I846="","",AMS!I846)</f>
        <v/>
      </c>
      <c r="G826" s="56" t="str">
        <f>IF(AMS!J846="","",AMS!J846)</f>
        <v/>
      </c>
      <c r="H826" s="22" t="str">
        <f t="array" ref="H826">IF(A826&lt;&gt;" ",IFERROR(INDEX(Summary!$G$3:$G$1000,SMALL((Summary!$G$3:$G$1000="")/0.1%+ROW($3:$1000),ROW()-2)-2)&amp;"",""),"")</f>
        <v/>
      </c>
      <c r="I826" s="22" t="str">
        <f t="shared" si="50"/>
        <v/>
      </c>
      <c r="J826" s="22" t="str">
        <f t="shared" si="51"/>
        <v/>
      </c>
    </row>
    <row r="827" spans="1:10">
      <c r="A827" s="56" t="str">
        <f>IF(AMS!H847="","",AMS!H847)</f>
        <v/>
      </c>
      <c r="B827" s="22" t="str">
        <f t="shared" si="48"/>
        <v/>
      </c>
      <c r="C827" s="22" t="str">
        <f t="array" ref="C827">IFERROR(INDEX(Summary!$I$3:$I$1000,SMALL((Summary!$I$3:$I$1000="")/0.1%+ROW($3:$1000),ROW()-2)-2)&amp;"","")</f>
        <v/>
      </c>
      <c r="D827" s="22" t="str">
        <v/>
      </c>
      <c r="E827" s="22" t="str">
        <f t="shared" si="49"/>
        <v/>
      </c>
      <c r="F827" s="56" t="str">
        <f>IF(AMS!I847="","",AMS!I847)</f>
        <v/>
      </c>
      <c r="G827" s="56" t="str">
        <f>IF(AMS!J847="","",AMS!J847)</f>
        <v/>
      </c>
      <c r="H827" s="22" t="str">
        <f t="array" ref="H827">IF(A827&lt;&gt;" ",IFERROR(INDEX(Summary!$G$3:$G$1000,SMALL((Summary!$G$3:$G$1000="")/0.1%+ROW($3:$1000),ROW()-2)-2)&amp;"",""),"")</f>
        <v/>
      </c>
      <c r="I827" s="22" t="str">
        <f t="shared" si="50"/>
        <v/>
      </c>
      <c r="J827" s="22" t="str">
        <f t="shared" si="51"/>
        <v/>
      </c>
    </row>
    <row r="828" spans="1:10">
      <c r="A828" s="56" t="str">
        <f>IF(AMS!H848="","",AMS!H848)</f>
        <v/>
      </c>
      <c r="B828" s="22" t="str">
        <f t="shared" si="48"/>
        <v/>
      </c>
      <c r="C828" s="22" t="str">
        <f t="array" ref="C828">IFERROR(INDEX(Summary!$I$3:$I$1000,SMALL((Summary!$I$3:$I$1000="")/0.1%+ROW($3:$1000),ROW()-2)-2)&amp;"","")</f>
        <v/>
      </c>
      <c r="D828" s="22" t="str">
        <v/>
      </c>
      <c r="E828" s="22" t="str">
        <f t="shared" si="49"/>
        <v/>
      </c>
      <c r="F828" s="56" t="str">
        <f>IF(AMS!I848="","",AMS!I848)</f>
        <v/>
      </c>
      <c r="G828" s="56" t="str">
        <f>IF(AMS!J848="","",AMS!J848)</f>
        <v/>
      </c>
      <c r="H828" s="22" t="str">
        <f t="array" ref="H828">IF(A828&lt;&gt;" ",IFERROR(INDEX(Summary!$G$3:$G$1000,SMALL((Summary!$G$3:$G$1000="")/0.1%+ROW($3:$1000),ROW()-2)-2)&amp;"",""),"")</f>
        <v/>
      </c>
      <c r="I828" s="22" t="str">
        <f t="shared" si="50"/>
        <v/>
      </c>
      <c r="J828" s="22" t="str">
        <f t="shared" si="51"/>
        <v/>
      </c>
    </row>
    <row r="829" spans="1:10">
      <c r="A829" s="56" t="str">
        <f>IF(AMS!H849="","",AMS!H849)</f>
        <v/>
      </c>
      <c r="B829" s="22" t="str">
        <f t="shared" si="48"/>
        <v/>
      </c>
      <c r="C829" s="22" t="str">
        <f t="array" ref="C829">IFERROR(INDEX(Summary!$I$3:$I$1000,SMALL((Summary!$I$3:$I$1000="")/0.1%+ROW($3:$1000),ROW()-2)-2)&amp;"","")</f>
        <v/>
      </c>
      <c r="D829" s="22" t="str">
        <v/>
      </c>
      <c r="E829" s="22" t="str">
        <f t="shared" si="49"/>
        <v/>
      </c>
      <c r="F829" s="56" t="str">
        <f>IF(AMS!I849="","",AMS!I849)</f>
        <v/>
      </c>
      <c r="G829" s="56" t="str">
        <f>IF(AMS!J849="","",AMS!J849)</f>
        <v/>
      </c>
      <c r="H829" s="22" t="str">
        <f t="array" ref="H829">IF(A829&lt;&gt;" ",IFERROR(INDEX(Summary!$G$3:$G$1000,SMALL((Summary!$G$3:$G$1000="")/0.1%+ROW($3:$1000),ROW()-2)-2)&amp;"",""),"")</f>
        <v/>
      </c>
      <c r="I829" s="22" t="str">
        <f t="shared" si="50"/>
        <v/>
      </c>
      <c r="J829" s="22" t="str">
        <f t="shared" si="51"/>
        <v/>
      </c>
    </row>
    <row r="830" spans="1:10">
      <c r="A830" s="56" t="str">
        <f>IF(AMS!H850="","",AMS!H850)</f>
        <v/>
      </c>
      <c r="B830" s="22" t="str">
        <f t="shared" si="48"/>
        <v/>
      </c>
      <c r="C830" s="22" t="str">
        <f t="array" ref="C830">IFERROR(INDEX(Summary!$I$3:$I$1000,SMALL((Summary!$I$3:$I$1000="")/0.1%+ROW($3:$1000),ROW()-2)-2)&amp;"","")</f>
        <v/>
      </c>
      <c r="D830" s="22" t="str">
        <v/>
      </c>
      <c r="E830" s="22" t="str">
        <f t="shared" si="49"/>
        <v/>
      </c>
      <c r="F830" s="56" t="str">
        <f>IF(AMS!I850="","",AMS!I850)</f>
        <v/>
      </c>
      <c r="G830" s="56" t="str">
        <f>IF(AMS!J850="","",AMS!J850)</f>
        <v/>
      </c>
      <c r="H830" s="22" t="str">
        <f t="array" ref="H830">IF(A830&lt;&gt;" ",IFERROR(INDEX(Summary!$G$3:$G$1000,SMALL((Summary!$G$3:$G$1000="")/0.1%+ROW($3:$1000),ROW()-2)-2)&amp;"",""),"")</f>
        <v/>
      </c>
      <c r="I830" s="22" t="str">
        <f t="shared" si="50"/>
        <v/>
      </c>
      <c r="J830" s="22" t="str">
        <f t="shared" si="51"/>
        <v/>
      </c>
    </row>
    <row r="831" spans="1:10">
      <c r="A831" s="56" t="str">
        <f>IF(AMS!H851="","",AMS!H851)</f>
        <v/>
      </c>
      <c r="B831" s="22" t="str">
        <f t="shared" si="48"/>
        <v/>
      </c>
      <c r="C831" s="22" t="str">
        <f t="array" ref="C831">IFERROR(INDEX(Summary!$I$3:$I$1000,SMALL((Summary!$I$3:$I$1000="")/0.1%+ROW($3:$1000),ROW()-2)-2)&amp;"","")</f>
        <v/>
      </c>
      <c r="D831" s="22" t="str">
        <v/>
      </c>
      <c r="E831" s="22" t="str">
        <f t="shared" si="49"/>
        <v/>
      </c>
      <c r="F831" s="56" t="str">
        <f>IF(AMS!I851="","",AMS!I851)</f>
        <v/>
      </c>
      <c r="G831" s="56" t="str">
        <f>IF(AMS!J851="","",AMS!J851)</f>
        <v/>
      </c>
      <c r="H831" s="22" t="str">
        <f t="array" ref="H831">IF(A831&lt;&gt;" ",IFERROR(INDEX(Summary!$G$3:$G$1000,SMALL((Summary!$G$3:$G$1000="")/0.1%+ROW($3:$1000),ROW()-2)-2)&amp;"",""),"")</f>
        <v/>
      </c>
      <c r="I831" s="22" t="str">
        <f t="shared" si="50"/>
        <v/>
      </c>
      <c r="J831" s="22" t="str">
        <f t="shared" si="51"/>
        <v/>
      </c>
    </row>
    <row r="832" spans="1:10">
      <c r="A832" s="56" t="str">
        <f>IF(AMS!H852="","",AMS!H852)</f>
        <v/>
      </c>
      <c r="B832" s="22" t="str">
        <f t="shared" si="48"/>
        <v/>
      </c>
      <c r="C832" s="22" t="str">
        <f t="array" ref="C832">IFERROR(INDEX(Summary!$I$3:$I$1000,SMALL((Summary!$I$3:$I$1000="")/0.1%+ROW($3:$1000),ROW()-2)-2)&amp;"","")</f>
        <v/>
      </c>
      <c r="D832" s="22" t="str">
        <v/>
      </c>
      <c r="E832" s="22" t="str">
        <f t="shared" si="49"/>
        <v/>
      </c>
      <c r="F832" s="56" t="str">
        <f>IF(AMS!I852="","",AMS!I852)</f>
        <v/>
      </c>
      <c r="G832" s="56" t="str">
        <f>IF(AMS!J852="","",AMS!J852)</f>
        <v/>
      </c>
      <c r="H832" s="22" t="str">
        <f t="array" ref="H832">IF(A832&lt;&gt;" ",IFERROR(INDEX(Summary!$G$3:$G$1000,SMALL((Summary!$G$3:$G$1000="")/0.1%+ROW($3:$1000),ROW()-2)-2)&amp;"",""),"")</f>
        <v/>
      </c>
      <c r="I832" s="22" t="str">
        <f t="shared" si="50"/>
        <v/>
      </c>
      <c r="J832" s="22" t="str">
        <f t="shared" si="51"/>
        <v/>
      </c>
    </row>
    <row r="833" spans="1:10">
      <c r="A833" s="56" t="str">
        <f>IF(AMS!H853="","",AMS!H853)</f>
        <v/>
      </c>
      <c r="B833" s="22" t="str">
        <f t="shared" si="48"/>
        <v/>
      </c>
      <c r="C833" s="22" t="str">
        <f t="array" ref="C833">IFERROR(INDEX(Summary!$I$3:$I$1000,SMALL((Summary!$I$3:$I$1000="")/0.1%+ROW($3:$1000),ROW()-2)-2)&amp;"","")</f>
        <v/>
      </c>
      <c r="D833" s="22" t="str">
        <v/>
      </c>
      <c r="E833" s="22" t="str">
        <f t="shared" si="49"/>
        <v/>
      </c>
      <c r="F833" s="56" t="str">
        <f>IF(AMS!I853="","",AMS!I853)</f>
        <v/>
      </c>
      <c r="G833" s="56" t="str">
        <f>IF(AMS!J853="","",AMS!J853)</f>
        <v/>
      </c>
      <c r="H833" s="22" t="str">
        <f t="array" ref="H833">IF(A833&lt;&gt;" ",IFERROR(INDEX(Summary!$G$3:$G$1000,SMALL((Summary!$G$3:$G$1000="")/0.1%+ROW($3:$1000),ROW()-2)-2)&amp;"",""),"")</f>
        <v/>
      </c>
      <c r="I833" s="22" t="str">
        <f t="shared" si="50"/>
        <v/>
      </c>
      <c r="J833" s="22" t="str">
        <f t="shared" si="51"/>
        <v/>
      </c>
    </row>
    <row r="834" spans="1:10">
      <c r="A834" s="56" t="str">
        <f>IF(AMS!H854="","",AMS!H854)</f>
        <v/>
      </c>
      <c r="B834" s="22" t="str">
        <f t="shared" si="48"/>
        <v/>
      </c>
      <c r="C834" s="22" t="str">
        <f t="array" ref="C834">IFERROR(INDEX(Summary!$I$3:$I$1000,SMALL((Summary!$I$3:$I$1000="")/0.1%+ROW($3:$1000),ROW()-2)-2)&amp;"","")</f>
        <v/>
      </c>
      <c r="D834" s="22" t="str">
        <v/>
      </c>
      <c r="E834" s="22" t="str">
        <f t="shared" si="49"/>
        <v/>
      </c>
      <c r="F834" s="56" t="str">
        <f>IF(AMS!I854="","",AMS!I854)</f>
        <v/>
      </c>
      <c r="G834" s="56" t="str">
        <f>IF(AMS!J854="","",AMS!J854)</f>
        <v/>
      </c>
      <c r="H834" s="22" t="str">
        <f t="array" ref="H834">IF(A834&lt;&gt;" ",IFERROR(INDEX(Summary!$G$3:$G$1000,SMALL((Summary!$G$3:$G$1000="")/0.1%+ROW($3:$1000),ROW()-2)-2)&amp;"",""),"")</f>
        <v/>
      </c>
      <c r="I834" s="22" t="str">
        <f t="shared" si="50"/>
        <v/>
      </c>
      <c r="J834" s="22" t="str">
        <f t="shared" si="51"/>
        <v/>
      </c>
    </row>
    <row r="835" spans="1:10">
      <c r="A835" s="56" t="str">
        <f>IF(AMS!H855="","",AMS!H855)</f>
        <v/>
      </c>
      <c r="B835" s="22" t="str">
        <f t="shared" ref="B835:B898" si="52">IF(A835&lt;&gt;"",IFERROR(IF(SEARCH(".",A835),LEFT(SUBSTITUTE(A835,".",""),6)),LEFT(SUBSTITUTE(SUBSTITUTE(TRIM(A835)," ","")," ",""),6)),"")</f>
        <v/>
      </c>
      <c r="C835" s="22" t="str">
        <f t="array" ref="C835">IFERROR(INDEX(Summary!$I$3:$I$1000,SMALL((Summary!$I$3:$I$1000="")/0.1%+ROW($3:$1000),ROW()-2)-2)&amp;"","")</f>
        <v/>
      </c>
      <c r="D835" s="22" t="str">
        <v/>
      </c>
      <c r="E835" s="22" t="str">
        <f t="shared" ref="E835:E898" si="53">LEFT(D835,6)</f>
        <v/>
      </c>
      <c r="F835" s="56" t="str">
        <f>IF(AMS!I855="","",AMS!I855)</f>
        <v/>
      </c>
      <c r="G835" s="56" t="str">
        <f>IF(AMS!J855="","",AMS!J855)</f>
        <v/>
      </c>
      <c r="H835" s="22" t="str">
        <f t="array" ref="H835">IF(A835&lt;&gt;" ",IFERROR(INDEX(Summary!$G$3:$G$1000,SMALL((Summary!$G$3:$G$1000="")/0.1%+ROW($3:$1000),ROW()-2)-2)&amp;"",""),"")</f>
        <v/>
      </c>
      <c r="I835" s="22" t="str">
        <f t="shared" ref="I835:I898" si="54">B835&amp;F835</f>
        <v/>
      </c>
      <c r="J835" s="22" t="str">
        <f t="shared" ref="J835:J898" si="55">IF(D835="","",RIGHT(D835,LEN(D835)-6))</f>
        <v/>
      </c>
    </row>
    <row r="836" spans="1:10">
      <c r="A836" s="56" t="str">
        <f>IF(AMS!H856="","",AMS!H856)</f>
        <v/>
      </c>
      <c r="B836" s="22" t="str">
        <f t="shared" si="52"/>
        <v/>
      </c>
      <c r="C836" s="22" t="str">
        <f t="array" ref="C836">IFERROR(INDEX(Summary!$I$3:$I$1000,SMALL((Summary!$I$3:$I$1000="")/0.1%+ROW($3:$1000),ROW()-2)-2)&amp;"","")</f>
        <v/>
      </c>
      <c r="D836" s="22" t="str">
        <v/>
      </c>
      <c r="E836" s="22" t="str">
        <f t="shared" si="53"/>
        <v/>
      </c>
      <c r="F836" s="56" t="str">
        <f>IF(AMS!I856="","",AMS!I856)</f>
        <v/>
      </c>
      <c r="G836" s="56" t="str">
        <f>IF(AMS!J856="","",AMS!J856)</f>
        <v/>
      </c>
      <c r="H836" s="22" t="str">
        <f t="array" ref="H836">IF(A836&lt;&gt;" ",IFERROR(INDEX(Summary!$G$3:$G$1000,SMALL((Summary!$G$3:$G$1000="")/0.1%+ROW($3:$1000),ROW()-2)-2)&amp;"",""),"")</f>
        <v/>
      </c>
      <c r="I836" s="22" t="str">
        <f t="shared" si="54"/>
        <v/>
      </c>
      <c r="J836" s="22" t="str">
        <f t="shared" si="55"/>
        <v/>
      </c>
    </row>
    <row r="837" spans="1:10">
      <c r="A837" s="56" t="str">
        <f>IF(AMS!H857="","",AMS!H857)</f>
        <v/>
      </c>
      <c r="B837" s="22" t="str">
        <f t="shared" si="52"/>
        <v/>
      </c>
      <c r="C837" s="22" t="str">
        <f t="array" ref="C837">IFERROR(INDEX(Summary!$I$3:$I$1000,SMALL((Summary!$I$3:$I$1000="")/0.1%+ROW($3:$1000),ROW()-2)-2)&amp;"","")</f>
        <v/>
      </c>
      <c r="D837" s="22" t="str">
        <v/>
      </c>
      <c r="E837" s="22" t="str">
        <f t="shared" si="53"/>
        <v/>
      </c>
      <c r="F837" s="56" t="str">
        <f>IF(AMS!I857="","",AMS!I857)</f>
        <v/>
      </c>
      <c r="G837" s="56" t="str">
        <f>IF(AMS!J857="","",AMS!J857)</f>
        <v/>
      </c>
      <c r="H837" s="22" t="str">
        <f t="array" ref="H837">IF(A837&lt;&gt;" ",IFERROR(INDEX(Summary!$G$3:$G$1000,SMALL((Summary!$G$3:$G$1000="")/0.1%+ROW($3:$1000),ROW()-2)-2)&amp;"",""),"")</f>
        <v/>
      </c>
      <c r="I837" s="22" t="str">
        <f t="shared" si="54"/>
        <v/>
      </c>
      <c r="J837" s="22" t="str">
        <f t="shared" si="55"/>
        <v/>
      </c>
    </row>
    <row r="838" spans="1:10">
      <c r="A838" s="56" t="str">
        <f>IF(AMS!H858="","",AMS!H858)</f>
        <v/>
      </c>
      <c r="B838" s="22" t="str">
        <f t="shared" si="52"/>
        <v/>
      </c>
      <c r="C838" s="22" t="str">
        <f t="array" ref="C838">IFERROR(INDEX(Summary!$I$3:$I$1000,SMALL((Summary!$I$3:$I$1000="")/0.1%+ROW($3:$1000),ROW()-2)-2)&amp;"","")</f>
        <v/>
      </c>
      <c r="D838" s="22" t="str">
        <v/>
      </c>
      <c r="E838" s="22" t="str">
        <f t="shared" si="53"/>
        <v/>
      </c>
      <c r="F838" s="56" t="str">
        <f>IF(AMS!I858="","",AMS!I858)</f>
        <v/>
      </c>
      <c r="G838" s="56" t="str">
        <f>IF(AMS!J858="","",AMS!J858)</f>
        <v/>
      </c>
      <c r="H838" s="22" t="str">
        <f t="array" ref="H838">IF(A838&lt;&gt;" ",IFERROR(INDEX(Summary!$G$3:$G$1000,SMALL((Summary!$G$3:$G$1000="")/0.1%+ROW($3:$1000),ROW()-2)-2)&amp;"",""),"")</f>
        <v/>
      </c>
      <c r="I838" s="22" t="str">
        <f t="shared" si="54"/>
        <v/>
      </c>
      <c r="J838" s="22" t="str">
        <f t="shared" si="55"/>
        <v/>
      </c>
    </row>
    <row r="839" spans="1:10">
      <c r="A839" s="56" t="str">
        <f>IF(AMS!H859="","",AMS!H859)</f>
        <v/>
      </c>
      <c r="B839" s="22" t="str">
        <f t="shared" si="52"/>
        <v/>
      </c>
      <c r="C839" s="22" t="str">
        <f t="array" ref="C839">IFERROR(INDEX(Summary!$I$3:$I$1000,SMALL((Summary!$I$3:$I$1000="")/0.1%+ROW($3:$1000),ROW()-2)-2)&amp;"","")</f>
        <v/>
      </c>
      <c r="D839" s="22" t="str">
        <v/>
      </c>
      <c r="E839" s="22" t="str">
        <f t="shared" si="53"/>
        <v/>
      </c>
      <c r="F839" s="56" t="str">
        <f>IF(AMS!I859="","",AMS!I859)</f>
        <v/>
      </c>
      <c r="G839" s="56" t="str">
        <f>IF(AMS!J859="","",AMS!J859)</f>
        <v/>
      </c>
      <c r="H839" s="22" t="str">
        <f t="array" ref="H839">IF(A839&lt;&gt;" ",IFERROR(INDEX(Summary!$G$3:$G$1000,SMALL((Summary!$G$3:$G$1000="")/0.1%+ROW($3:$1000),ROW()-2)-2)&amp;"",""),"")</f>
        <v/>
      </c>
      <c r="I839" s="22" t="str">
        <f t="shared" si="54"/>
        <v/>
      </c>
      <c r="J839" s="22" t="str">
        <f t="shared" si="55"/>
        <v/>
      </c>
    </row>
    <row r="840" spans="1:10">
      <c r="A840" s="56" t="str">
        <f>IF(AMS!H860="","",AMS!H860)</f>
        <v/>
      </c>
      <c r="B840" s="22" t="str">
        <f t="shared" si="52"/>
        <v/>
      </c>
      <c r="C840" s="22" t="str">
        <f t="array" ref="C840">IFERROR(INDEX(Summary!$I$3:$I$1000,SMALL((Summary!$I$3:$I$1000="")/0.1%+ROW($3:$1000),ROW()-2)-2)&amp;"","")</f>
        <v/>
      </c>
      <c r="D840" s="22" t="str">
        <v/>
      </c>
      <c r="E840" s="22" t="str">
        <f t="shared" si="53"/>
        <v/>
      </c>
      <c r="F840" s="56" t="str">
        <f>IF(AMS!I860="","",AMS!I860)</f>
        <v/>
      </c>
      <c r="G840" s="56" t="str">
        <f>IF(AMS!J860="","",AMS!J860)</f>
        <v/>
      </c>
      <c r="H840" s="22" t="str">
        <f t="array" ref="H840">IF(A840&lt;&gt;" ",IFERROR(INDEX(Summary!$G$3:$G$1000,SMALL((Summary!$G$3:$G$1000="")/0.1%+ROW($3:$1000),ROW()-2)-2)&amp;"",""),"")</f>
        <v/>
      </c>
      <c r="I840" s="22" t="str">
        <f t="shared" si="54"/>
        <v/>
      </c>
      <c r="J840" s="22" t="str">
        <f t="shared" si="55"/>
        <v/>
      </c>
    </row>
    <row r="841" spans="1:10">
      <c r="A841" s="56" t="str">
        <f>IF(AMS!H861="","",AMS!H861)</f>
        <v/>
      </c>
      <c r="B841" s="22" t="str">
        <f t="shared" si="52"/>
        <v/>
      </c>
      <c r="C841" s="22" t="str">
        <f t="array" ref="C841">IFERROR(INDEX(Summary!$I$3:$I$1000,SMALL((Summary!$I$3:$I$1000="")/0.1%+ROW($3:$1000),ROW()-2)-2)&amp;"","")</f>
        <v/>
      </c>
      <c r="D841" s="22" t="str">
        <v/>
      </c>
      <c r="E841" s="22" t="str">
        <f t="shared" si="53"/>
        <v/>
      </c>
      <c r="F841" s="56" t="str">
        <f>IF(AMS!I861="","",AMS!I861)</f>
        <v/>
      </c>
      <c r="G841" s="56" t="str">
        <f>IF(AMS!J861="","",AMS!J861)</f>
        <v/>
      </c>
      <c r="H841" s="22" t="str">
        <f t="array" ref="H841">IF(A841&lt;&gt;" ",IFERROR(INDEX(Summary!$G$3:$G$1000,SMALL((Summary!$G$3:$G$1000="")/0.1%+ROW($3:$1000),ROW()-2)-2)&amp;"",""),"")</f>
        <v/>
      </c>
      <c r="I841" s="22" t="str">
        <f t="shared" si="54"/>
        <v/>
      </c>
      <c r="J841" s="22" t="str">
        <f t="shared" si="55"/>
        <v/>
      </c>
    </row>
    <row r="842" spans="1:10">
      <c r="A842" s="56" t="str">
        <f>IF(AMS!H862="","",AMS!H862)</f>
        <v/>
      </c>
      <c r="B842" s="22" t="str">
        <f t="shared" si="52"/>
        <v/>
      </c>
      <c r="C842" s="22" t="str">
        <f t="array" ref="C842">IFERROR(INDEX(Summary!$I$3:$I$1000,SMALL((Summary!$I$3:$I$1000="")/0.1%+ROW($3:$1000),ROW()-2)-2)&amp;"","")</f>
        <v/>
      </c>
      <c r="D842" s="22" t="str">
        <v/>
      </c>
      <c r="E842" s="22" t="str">
        <f t="shared" si="53"/>
        <v/>
      </c>
      <c r="F842" s="56" t="str">
        <f>IF(AMS!I862="","",AMS!I862)</f>
        <v/>
      </c>
      <c r="G842" s="56" t="str">
        <f>IF(AMS!J862="","",AMS!J862)</f>
        <v/>
      </c>
      <c r="H842" s="22" t="str">
        <f t="array" ref="H842">IF(A842&lt;&gt;" ",IFERROR(INDEX(Summary!$G$3:$G$1000,SMALL((Summary!$G$3:$G$1000="")/0.1%+ROW($3:$1000),ROW()-2)-2)&amp;"",""),"")</f>
        <v/>
      </c>
      <c r="I842" s="22" t="str">
        <f t="shared" si="54"/>
        <v/>
      </c>
      <c r="J842" s="22" t="str">
        <f t="shared" si="55"/>
        <v/>
      </c>
    </row>
    <row r="843" spans="1:10">
      <c r="A843" s="56" t="str">
        <f>IF(AMS!H863="","",AMS!H863)</f>
        <v/>
      </c>
      <c r="B843" s="22" t="str">
        <f t="shared" si="52"/>
        <v/>
      </c>
      <c r="C843" s="22" t="str">
        <f t="array" ref="C843">IFERROR(INDEX(Summary!$I$3:$I$1000,SMALL((Summary!$I$3:$I$1000="")/0.1%+ROW($3:$1000),ROW()-2)-2)&amp;"","")</f>
        <v/>
      </c>
      <c r="D843" s="22" t="str">
        <v/>
      </c>
      <c r="E843" s="22" t="str">
        <f t="shared" si="53"/>
        <v/>
      </c>
      <c r="F843" s="56" t="str">
        <f>IF(AMS!I863="","",AMS!I863)</f>
        <v/>
      </c>
      <c r="G843" s="56" t="str">
        <f>IF(AMS!J863="","",AMS!J863)</f>
        <v/>
      </c>
      <c r="H843" s="22" t="str">
        <f t="array" ref="H843">IF(A843&lt;&gt;" ",IFERROR(INDEX(Summary!$G$3:$G$1000,SMALL((Summary!$G$3:$G$1000="")/0.1%+ROW($3:$1000),ROW()-2)-2)&amp;"",""),"")</f>
        <v/>
      </c>
      <c r="I843" s="22" t="str">
        <f t="shared" si="54"/>
        <v/>
      </c>
      <c r="J843" s="22" t="str">
        <f t="shared" si="55"/>
        <v/>
      </c>
    </row>
    <row r="844" spans="1:10">
      <c r="A844" s="56" t="str">
        <f>IF(AMS!H864="","",AMS!H864)</f>
        <v/>
      </c>
      <c r="B844" s="22" t="str">
        <f t="shared" si="52"/>
        <v/>
      </c>
      <c r="C844" s="22" t="str">
        <f t="array" ref="C844">IFERROR(INDEX(Summary!$I$3:$I$1000,SMALL((Summary!$I$3:$I$1000="")/0.1%+ROW($3:$1000),ROW()-2)-2)&amp;"","")</f>
        <v/>
      </c>
      <c r="D844" s="22" t="str">
        <v/>
      </c>
      <c r="E844" s="22" t="str">
        <f t="shared" si="53"/>
        <v/>
      </c>
      <c r="F844" s="56" t="str">
        <f>IF(AMS!I864="","",AMS!I864)</f>
        <v/>
      </c>
      <c r="G844" s="56" t="str">
        <f>IF(AMS!J864="","",AMS!J864)</f>
        <v/>
      </c>
      <c r="H844" s="22" t="str">
        <f t="array" ref="H844">IF(A844&lt;&gt;" ",IFERROR(INDEX(Summary!$G$3:$G$1000,SMALL((Summary!$G$3:$G$1000="")/0.1%+ROW($3:$1000),ROW()-2)-2)&amp;"",""),"")</f>
        <v/>
      </c>
      <c r="I844" s="22" t="str">
        <f t="shared" si="54"/>
        <v/>
      </c>
      <c r="J844" s="22" t="str">
        <f t="shared" si="55"/>
        <v/>
      </c>
    </row>
    <row r="845" spans="1:10">
      <c r="A845" s="56" t="str">
        <f>IF(AMS!H865="","",AMS!H865)</f>
        <v/>
      </c>
      <c r="B845" s="22" t="str">
        <f t="shared" si="52"/>
        <v/>
      </c>
      <c r="C845" s="22" t="str">
        <f t="array" ref="C845">IFERROR(INDEX(Summary!$I$3:$I$1000,SMALL((Summary!$I$3:$I$1000="")/0.1%+ROW($3:$1000),ROW()-2)-2)&amp;"","")</f>
        <v/>
      </c>
      <c r="D845" s="22" t="str">
        <v/>
      </c>
      <c r="E845" s="22" t="str">
        <f t="shared" si="53"/>
        <v/>
      </c>
      <c r="F845" s="56" t="str">
        <f>IF(AMS!I865="","",AMS!I865)</f>
        <v/>
      </c>
      <c r="G845" s="56" t="str">
        <f>IF(AMS!J865="","",AMS!J865)</f>
        <v/>
      </c>
      <c r="H845" s="22" t="str">
        <f t="array" ref="H845">IF(A845&lt;&gt;" ",IFERROR(INDEX(Summary!$G$3:$G$1000,SMALL((Summary!$G$3:$G$1000="")/0.1%+ROW($3:$1000),ROW()-2)-2)&amp;"",""),"")</f>
        <v/>
      </c>
      <c r="I845" s="22" t="str">
        <f t="shared" si="54"/>
        <v/>
      </c>
      <c r="J845" s="22" t="str">
        <f t="shared" si="55"/>
        <v/>
      </c>
    </row>
    <row r="846" spans="1:10">
      <c r="A846" s="56" t="str">
        <f>IF(AMS!H866="","",AMS!H866)</f>
        <v/>
      </c>
      <c r="B846" s="22" t="str">
        <f t="shared" si="52"/>
        <v/>
      </c>
      <c r="C846" s="22" t="str">
        <f t="array" ref="C846">IFERROR(INDEX(Summary!$I$3:$I$1000,SMALL((Summary!$I$3:$I$1000="")/0.1%+ROW($3:$1000),ROW()-2)-2)&amp;"","")</f>
        <v/>
      </c>
      <c r="D846" s="22" t="str">
        <v/>
      </c>
      <c r="E846" s="22" t="str">
        <f t="shared" si="53"/>
        <v/>
      </c>
      <c r="F846" s="56" t="str">
        <f>IF(AMS!I866="","",AMS!I866)</f>
        <v/>
      </c>
      <c r="G846" s="56" t="str">
        <f>IF(AMS!J866="","",AMS!J866)</f>
        <v/>
      </c>
      <c r="H846" s="22" t="str">
        <f t="array" ref="H846">IF(A846&lt;&gt;" ",IFERROR(INDEX(Summary!$G$3:$G$1000,SMALL((Summary!$G$3:$G$1000="")/0.1%+ROW($3:$1000),ROW()-2)-2)&amp;"",""),"")</f>
        <v/>
      </c>
      <c r="I846" s="22" t="str">
        <f t="shared" si="54"/>
        <v/>
      </c>
      <c r="J846" s="22" t="str">
        <f t="shared" si="55"/>
        <v/>
      </c>
    </row>
    <row r="847" spans="1:10">
      <c r="A847" s="56" t="str">
        <f>IF(AMS!H867="","",AMS!H867)</f>
        <v/>
      </c>
      <c r="B847" s="22" t="str">
        <f t="shared" si="52"/>
        <v/>
      </c>
      <c r="C847" s="22" t="str">
        <f t="array" ref="C847">IFERROR(INDEX(Summary!$I$3:$I$1000,SMALL((Summary!$I$3:$I$1000="")/0.1%+ROW($3:$1000),ROW()-2)-2)&amp;"","")</f>
        <v/>
      </c>
      <c r="D847" s="22" t="str">
        <v/>
      </c>
      <c r="E847" s="22" t="str">
        <f t="shared" si="53"/>
        <v/>
      </c>
      <c r="F847" s="56" t="str">
        <f>IF(AMS!I867="","",AMS!I867)</f>
        <v/>
      </c>
      <c r="G847" s="56" t="str">
        <f>IF(AMS!J867="","",AMS!J867)</f>
        <v/>
      </c>
      <c r="H847" s="22" t="str">
        <f t="array" ref="H847">IF(A847&lt;&gt;" ",IFERROR(INDEX(Summary!$G$3:$G$1000,SMALL((Summary!$G$3:$G$1000="")/0.1%+ROW($3:$1000),ROW()-2)-2)&amp;"",""),"")</f>
        <v/>
      </c>
      <c r="I847" s="22" t="str">
        <f t="shared" si="54"/>
        <v/>
      </c>
      <c r="J847" s="22" t="str">
        <f t="shared" si="55"/>
        <v/>
      </c>
    </row>
    <row r="848" spans="1:10">
      <c r="A848" s="56" t="str">
        <f>IF(AMS!H868="","",AMS!H868)</f>
        <v/>
      </c>
      <c r="B848" s="22" t="str">
        <f t="shared" si="52"/>
        <v/>
      </c>
      <c r="C848" s="22" t="str">
        <f t="array" ref="C848">IFERROR(INDEX(Summary!$I$3:$I$1000,SMALL((Summary!$I$3:$I$1000="")/0.1%+ROW($3:$1000),ROW()-2)-2)&amp;"","")</f>
        <v/>
      </c>
      <c r="D848" s="22" t="str">
        <v/>
      </c>
      <c r="E848" s="22" t="str">
        <f t="shared" si="53"/>
        <v/>
      </c>
      <c r="F848" s="56" t="str">
        <f>IF(AMS!I868="","",AMS!I868)</f>
        <v/>
      </c>
      <c r="G848" s="56" t="str">
        <f>IF(AMS!J868="","",AMS!J868)</f>
        <v/>
      </c>
      <c r="H848" s="22" t="str">
        <f t="array" ref="H848">IF(A848&lt;&gt;" ",IFERROR(INDEX(Summary!$G$3:$G$1000,SMALL((Summary!$G$3:$G$1000="")/0.1%+ROW($3:$1000),ROW()-2)-2)&amp;"",""),"")</f>
        <v/>
      </c>
      <c r="I848" s="22" t="str">
        <f t="shared" si="54"/>
        <v/>
      </c>
      <c r="J848" s="22" t="str">
        <f t="shared" si="55"/>
        <v/>
      </c>
    </row>
    <row r="849" spans="1:10">
      <c r="A849" s="56" t="str">
        <f>IF(AMS!H869="","",AMS!H869)</f>
        <v/>
      </c>
      <c r="B849" s="22" t="str">
        <f t="shared" si="52"/>
        <v/>
      </c>
      <c r="C849" s="22" t="str">
        <f t="array" ref="C849">IFERROR(INDEX(Summary!$I$3:$I$1000,SMALL((Summary!$I$3:$I$1000="")/0.1%+ROW($3:$1000),ROW()-2)-2)&amp;"","")</f>
        <v/>
      </c>
      <c r="D849" s="22" t="str">
        <v/>
      </c>
      <c r="E849" s="22" t="str">
        <f t="shared" si="53"/>
        <v/>
      </c>
      <c r="F849" s="56" t="str">
        <f>IF(AMS!I869="","",AMS!I869)</f>
        <v/>
      </c>
      <c r="G849" s="56" t="str">
        <f>IF(AMS!J869="","",AMS!J869)</f>
        <v/>
      </c>
      <c r="H849" s="22" t="str">
        <f t="array" ref="H849">IF(A849&lt;&gt;" ",IFERROR(INDEX(Summary!$G$3:$G$1000,SMALL((Summary!$G$3:$G$1000="")/0.1%+ROW($3:$1000),ROW()-2)-2)&amp;"",""),"")</f>
        <v/>
      </c>
      <c r="I849" s="22" t="str">
        <f t="shared" si="54"/>
        <v/>
      </c>
      <c r="J849" s="22" t="str">
        <f t="shared" si="55"/>
        <v/>
      </c>
    </row>
    <row r="850" spans="1:10">
      <c r="A850" s="56" t="str">
        <f>IF(AMS!H870="","",AMS!H870)</f>
        <v/>
      </c>
      <c r="B850" s="22" t="str">
        <f t="shared" si="52"/>
        <v/>
      </c>
      <c r="C850" s="22" t="str">
        <f t="array" ref="C850">IFERROR(INDEX(Summary!$I$3:$I$1000,SMALL((Summary!$I$3:$I$1000="")/0.1%+ROW($3:$1000),ROW()-2)-2)&amp;"","")</f>
        <v/>
      </c>
      <c r="D850" s="22" t="str">
        <v/>
      </c>
      <c r="E850" s="22" t="str">
        <f t="shared" si="53"/>
        <v/>
      </c>
      <c r="F850" s="56" t="str">
        <f>IF(AMS!I870="","",AMS!I870)</f>
        <v/>
      </c>
      <c r="G850" s="56" t="str">
        <f>IF(AMS!J870="","",AMS!J870)</f>
        <v/>
      </c>
      <c r="H850" s="22" t="str">
        <f t="array" ref="H850">IF(A850&lt;&gt;" ",IFERROR(INDEX(Summary!$G$3:$G$1000,SMALL((Summary!$G$3:$G$1000="")/0.1%+ROW($3:$1000),ROW()-2)-2)&amp;"",""),"")</f>
        <v/>
      </c>
      <c r="I850" s="22" t="str">
        <f t="shared" si="54"/>
        <v/>
      </c>
      <c r="J850" s="22" t="str">
        <f t="shared" si="55"/>
        <v/>
      </c>
    </row>
    <row r="851" spans="1:10">
      <c r="A851" s="56" t="str">
        <f>IF(AMS!H871="","",AMS!H871)</f>
        <v/>
      </c>
      <c r="B851" s="22" t="str">
        <f t="shared" si="52"/>
        <v/>
      </c>
      <c r="C851" s="22" t="str">
        <f t="array" ref="C851">IFERROR(INDEX(Summary!$I$3:$I$1000,SMALL((Summary!$I$3:$I$1000="")/0.1%+ROW($3:$1000),ROW()-2)-2)&amp;"","")</f>
        <v/>
      </c>
      <c r="D851" s="22" t="str">
        <v/>
      </c>
      <c r="E851" s="22" t="str">
        <f t="shared" si="53"/>
        <v/>
      </c>
      <c r="F851" s="56" t="str">
        <f>IF(AMS!I871="","",AMS!I871)</f>
        <v/>
      </c>
      <c r="G851" s="56" t="str">
        <f>IF(AMS!J871="","",AMS!J871)</f>
        <v/>
      </c>
      <c r="H851" s="22" t="str">
        <f t="array" ref="H851">IF(A851&lt;&gt;" ",IFERROR(INDEX(Summary!$G$3:$G$1000,SMALL((Summary!$G$3:$G$1000="")/0.1%+ROW($3:$1000),ROW()-2)-2)&amp;"",""),"")</f>
        <v/>
      </c>
      <c r="I851" s="22" t="str">
        <f t="shared" si="54"/>
        <v/>
      </c>
      <c r="J851" s="22" t="str">
        <f t="shared" si="55"/>
        <v/>
      </c>
    </row>
    <row r="852" spans="1:10">
      <c r="A852" s="56" t="str">
        <f>IF(AMS!H872="","",AMS!H872)</f>
        <v/>
      </c>
      <c r="B852" s="22" t="str">
        <f t="shared" si="52"/>
        <v/>
      </c>
      <c r="C852" s="22" t="str">
        <f t="array" ref="C852">IFERROR(INDEX(Summary!$I$3:$I$1000,SMALL((Summary!$I$3:$I$1000="")/0.1%+ROW($3:$1000),ROW()-2)-2)&amp;"","")</f>
        <v/>
      </c>
      <c r="D852" s="22" t="str">
        <v/>
      </c>
      <c r="E852" s="22" t="str">
        <f t="shared" si="53"/>
        <v/>
      </c>
      <c r="F852" s="56" t="str">
        <f>IF(AMS!I872="","",AMS!I872)</f>
        <v/>
      </c>
      <c r="G852" s="56" t="str">
        <f>IF(AMS!J872="","",AMS!J872)</f>
        <v/>
      </c>
      <c r="H852" s="22" t="str">
        <f t="array" ref="H852">IF(A852&lt;&gt;" ",IFERROR(INDEX(Summary!$G$3:$G$1000,SMALL((Summary!$G$3:$G$1000="")/0.1%+ROW($3:$1000),ROW()-2)-2)&amp;"",""),"")</f>
        <v/>
      </c>
      <c r="I852" s="22" t="str">
        <f t="shared" si="54"/>
        <v/>
      </c>
      <c r="J852" s="22" t="str">
        <f t="shared" si="55"/>
        <v/>
      </c>
    </row>
    <row r="853" spans="1:10">
      <c r="A853" s="56" t="str">
        <f>IF(AMS!H873="","",AMS!H873)</f>
        <v/>
      </c>
      <c r="B853" s="22" t="str">
        <f t="shared" si="52"/>
        <v/>
      </c>
      <c r="C853" s="22" t="str">
        <f t="array" ref="C853">IFERROR(INDEX(Summary!$I$3:$I$1000,SMALL((Summary!$I$3:$I$1000="")/0.1%+ROW($3:$1000),ROW()-2)-2)&amp;"","")</f>
        <v/>
      </c>
      <c r="D853" s="22" t="str">
        <v/>
      </c>
      <c r="E853" s="22" t="str">
        <f t="shared" si="53"/>
        <v/>
      </c>
      <c r="F853" s="56" t="str">
        <f>IF(AMS!I873="","",AMS!I873)</f>
        <v/>
      </c>
      <c r="G853" s="56" t="str">
        <f>IF(AMS!J873="","",AMS!J873)</f>
        <v/>
      </c>
      <c r="H853" s="22" t="str">
        <f t="array" ref="H853">IF(A853&lt;&gt;" ",IFERROR(INDEX(Summary!$G$3:$G$1000,SMALL((Summary!$G$3:$G$1000="")/0.1%+ROW($3:$1000),ROW()-2)-2)&amp;"",""),"")</f>
        <v/>
      </c>
      <c r="I853" s="22" t="str">
        <f t="shared" si="54"/>
        <v/>
      </c>
      <c r="J853" s="22" t="str">
        <f t="shared" si="55"/>
        <v/>
      </c>
    </row>
    <row r="854" spans="1:10">
      <c r="A854" s="56" t="str">
        <f>IF(AMS!H874="","",AMS!H874)</f>
        <v/>
      </c>
      <c r="B854" s="22" t="str">
        <f t="shared" si="52"/>
        <v/>
      </c>
      <c r="C854" s="22" t="str">
        <f t="array" ref="C854">IFERROR(INDEX(Summary!$I$3:$I$1000,SMALL((Summary!$I$3:$I$1000="")/0.1%+ROW($3:$1000),ROW()-2)-2)&amp;"","")</f>
        <v/>
      </c>
      <c r="D854" s="22" t="str">
        <v/>
      </c>
      <c r="E854" s="22" t="str">
        <f t="shared" si="53"/>
        <v/>
      </c>
      <c r="F854" s="56" t="str">
        <f>IF(AMS!I874="","",AMS!I874)</f>
        <v/>
      </c>
      <c r="G854" s="56" t="str">
        <f>IF(AMS!J874="","",AMS!J874)</f>
        <v/>
      </c>
      <c r="H854" s="22" t="str">
        <f t="array" ref="H854">IF(A854&lt;&gt;" ",IFERROR(INDEX(Summary!$G$3:$G$1000,SMALL((Summary!$G$3:$G$1000="")/0.1%+ROW($3:$1000),ROW()-2)-2)&amp;"",""),"")</f>
        <v/>
      </c>
      <c r="I854" s="22" t="str">
        <f t="shared" si="54"/>
        <v/>
      </c>
      <c r="J854" s="22" t="str">
        <f t="shared" si="55"/>
        <v/>
      </c>
    </row>
    <row r="855" spans="1:10">
      <c r="A855" s="56" t="str">
        <f>IF(AMS!H875="","",AMS!H875)</f>
        <v/>
      </c>
      <c r="B855" s="22" t="str">
        <f t="shared" si="52"/>
        <v/>
      </c>
      <c r="C855" s="22" t="str">
        <f t="array" ref="C855">IFERROR(INDEX(Summary!$I$3:$I$1000,SMALL((Summary!$I$3:$I$1000="")/0.1%+ROW($3:$1000),ROW()-2)-2)&amp;"","")</f>
        <v/>
      </c>
      <c r="D855" s="22" t="str">
        <v/>
      </c>
      <c r="E855" s="22" t="str">
        <f t="shared" si="53"/>
        <v/>
      </c>
      <c r="F855" s="56" t="str">
        <f>IF(AMS!I875="","",AMS!I875)</f>
        <v/>
      </c>
      <c r="G855" s="56" t="str">
        <f>IF(AMS!J875="","",AMS!J875)</f>
        <v/>
      </c>
      <c r="H855" s="22" t="str">
        <f t="array" ref="H855">IF(A855&lt;&gt;" ",IFERROR(INDEX(Summary!$G$3:$G$1000,SMALL((Summary!$G$3:$G$1000="")/0.1%+ROW($3:$1000),ROW()-2)-2)&amp;"",""),"")</f>
        <v/>
      </c>
      <c r="I855" s="22" t="str">
        <f t="shared" si="54"/>
        <v/>
      </c>
      <c r="J855" s="22" t="str">
        <f t="shared" si="55"/>
        <v/>
      </c>
    </row>
    <row r="856" spans="1:10">
      <c r="A856" s="56" t="str">
        <f>IF(AMS!H876="","",AMS!H876)</f>
        <v/>
      </c>
      <c r="B856" s="22" t="str">
        <f t="shared" si="52"/>
        <v/>
      </c>
      <c r="C856" s="22" t="str">
        <f t="array" ref="C856">IFERROR(INDEX(Summary!$I$3:$I$1000,SMALL((Summary!$I$3:$I$1000="")/0.1%+ROW($3:$1000),ROW()-2)-2)&amp;"","")</f>
        <v/>
      </c>
      <c r="D856" s="22" t="str">
        <v/>
      </c>
      <c r="E856" s="22" t="str">
        <f t="shared" si="53"/>
        <v/>
      </c>
      <c r="F856" s="56" t="str">
        <f>IF(AMS!I876="","",AMS!I876)</f>
        <v/>
      </c>
      <c r="G856" s="56" t="str">
        <f>IF(AMS!J876="","",AMS!J876)</f>
        <v/>
      </c>
      <c r="H856" s="22" t="str">
        <f t="array" ref="H856">IF(A856&lt;&gt;" ",IFERROR(INDEX(Summary!$G$3:$G$1000,SMALL((Summary!$G$3:$G$1000="")/0.1%+ROW($3:$1000),ROW()-2)-2)&amp;"",""),"")</f>
        <v/>
      </c>
      <c r="I856" s="22" t="str">
        <f t="shared" si="54"/>
        <v/>
      </c>
      <c r="J856" s="22" t="str">
        <f t="shared" si="55"/>
        <v/>
      </c>
    </row>
    <row r="857" spans="1:10">
      <c r="A857" s="56" t="str">
        <f>IF(AMS!H877="","",AMS!H877)</f>
        <v/>
      </c>
      <c r="B857" s="22" t="str">
        <f t="shared" si="52"/>
        <v/>
      </c>
      <c r="C857" s="22" t="str">
        <f t="array" ref="C857">IFERROR(INDEX(Summary!$I$3:$I$1000,SMALL((Summary!$I$3:$I$1000="")/0.1%+ROW($3:$1000),ROW()-2)-2)&amp;"","")</f>
        <v/>
      </c>
      <c r="D857" s="22" t="str">
        <v/>
      </c>
      <c r="E857" s="22" t="str">
        <f t="shared" si="53"/>
        <v/>
      </c>
      <c r="F857" s="56" t="str">
        <f>IF(AMS!I877="","",AMS!I877)</f>
        <v/>
      </c>
      <c r="G857" s="56" t="str">
        <f>IF(AMS!J877="","",AMS!J877)</f>
        <v/>
      </c>
      <c r="H857" s="22" t="str">
        <f t="array" ref="H857">IF(A857&lt;&gt;" ",IFERROR(INDEX(Summary!$G$3:$G$1000,SMALL((Summary!$G$3:$G$1000="")/0.1%+ROW($3:$1000),ROW()-2)-2)&amp;"",""),"")</f>
        <v/>
      </c>
      <c r="I857" s="22" t="str">
        <f t="shared" si="54"/>
        <v/>
      </c>
      <c r="J857" s="22" t="str">
        <f t="shared" si="55"/>
        <v/>
      </c>
    </row>
    <row r="858" spans="1:10">
      <c r="A858" s="56" t="str">
        <f>IF(AMS!H878="","",AMS!H878)</f>
        <v/>
      </c>
      <c r="B858" s="22" t="str">
        <f t="shared" si="52"/>
        <v/>
      </c>
      <c r="C858" s="22" t="str">
        <f t="array" ref="C858">IFERROR(INDEX(Summary!$I$3:$I$1000,SMALL((Summary!$I$3:$I$1000="")/0.1%+ROW($3:$1000),ROW()-2)-2)&amp;"","")</f>
        <v/>
      </c>
      <c r="D858" s="22" t="str">
        <v/>
      </c>
      <c r="E858" s="22" t="str">
        <f t="shared" si="53"/>
        <v/>
      </c>
      <c r="F858" s="56" t="str">
        <f>IF(AMS!I878="","",AMS!I878)</f>
        <v/>
      </c>
      <c r="G858" s="56" t="str">
        <f>IF(AMS!J878="","",AMS!J878)</f>
        <v/>
      </c>
      <c r="H858" s="22" t="str">
        <f t="array" ref="H858">IF(A858&lt;&gt;" ",IFERROR(INDEX(Summary!$G$3:$G$1000,SMALL((Summary!$G$3:$G$1000="")/0.1%+ROW($3:$1000),ROW()-2)-2)&amp;"",""),"")</f>
        <v/>
      </c>
      <c r="I858" s="22" t="str">
        <f t="shared" si="54"/>
        <v/>
      </c>
      <c r="J858" s="22" t="str">
        <f t="shared" si="55"/>
        <v/>
      </c>
    </row>
    <row r="859" spans="1:10">
      <c r="A859" s="56" t="str">
        <f>IF(AMS!H879="","",AMS!H879)</f>
        <v/>
      </c>
      <c r="B859" s="22" t="str">
        <f t="shared" si="52"/>
        <v/>
      </c>
      <c r="C859" s="22" t="str">
        <f t="array" ref="C859">IFERROR(INDEX(Summary!$I$3:$I$1000,SMALL((Summary!$I$3:$I$1000="")/0.1%+ROW($3:$1000),ROW()-2)-2)&amp;"","")</f>
        <v/>
      </c>
      <c r="D859" s="22" t="str">
        <v/>
      </c>
      <c r="E859" s="22" t="str">
        <f t="shared" si="53"/>
        <v/>
      </c>
      <c r="F859" s="56" t="str">
        <f>IF(AMS!I879="","",AMS!I879)</f>
        <v/>
      </c>
      <c r="G859" s="56" t="str">
        <f>IF(AMS!J879="","",AMS!J879)</f>
        <v/>
      </c>
      <c r="H859" s="22" t="str">
        <f t="array" ref="H859">IF(A859&lt;&gt;" ",IFERROR(INDEX(Summary!$G$3:$G$1000,SMALL((Summary!$G$3:$G$1000="")/0.1%+ROW($3:$1000),ROW()-2)-2)&amp;"",""),"")</f>
        <v/>
      </c>
      <c r="I859" s="22" t="str">
        <f t="shared" si="54"/>
        <v/>
      </c>
      <c r="J859" s="22" t="str">
        <f t="shared" si="55"/>
        <v/>
      </c>
    </row>
    <row r="860" spans="1:10">
      <c r="A860" s="56" t="str">
        <f>IF(AMS!H880="","",AMS!H880)</f>
        <v/>
      </c>
      <c r="B860" s="22" t="str">
        <f t="shared" si="52"/>
        <v/>
      </c>
      <c r="C860" s="22" t="str">
        <f t="array" ref="C860">IFERROR(INDEX(Summary!$I$3:$I$1000,SMALL((Summary!$I$3:$I$1000="")/0.1%+ROW($3:$1000),ROW()-2)-2)&amp;"","")</f>
        <v/>
      </c>
      <c r="D860" s="22" t="str">
        <v/>
      </c>
      <c r="E860" s="22" t="str">
        <f t="shared" si="53"/>
        <v/>
      </c>
      <c r="F860" s="56" t="str">
        <f>IF(AMS!I880="","",AMS!I880)</f>
        <v/>
      </c>
      <c r="G860" s="56" t="str">
        <f>IF(AMS!J880="","",AMS!J880)</f>
        <v/>
      </c>
      <c r="H860" s="22" t="str">
        <f t="array" ref="H860">IF(A860&lt;&gt;" ",IFERROR(INDEX(Summary!$G$3:$G$1000,SMALL((Summary!$G$3:$G$1000="")/0.1%+ROW($3:$1000),ROW()-2)-2)&amp;"",""),"")</f>
        <v/>
      </c>
      <c r="I860" s="22" t="str">
        <f t="shared" si="54"/>
        <v/>
      </c>
      <c r="J860" s="22" t="str">
        <f t="shared" si="55"/>
        <v/>
      </c>
    </row>
    <row r="861" spans="1:10">
      <c r="A861" s="56" t="str">
        <f>IF(AMS!H881="","",AMS!H881)</f>
        <v/>
      </c>
      <c r="B861" s="22" t="str">
        <f t="shared" si="52"/>
        <v/>
      </c>
      <c r="C861" s="22" t="str">
        <f t="array" ref="C861">IFERROR(INDEX(Summary!$I$3:$I$1000,SMALL((Summary!$I$3:$I$1000="")/0.1%+ROW($3:$1000),ROW()-2)-2)&amp;"","")</f>
        <v/>
      </c>
      <c r="D861" s="22" t="str">
        <v/>
      </c>
      <c r="E861" s="22" t="str">
        <f t="shared" si="53"/>
        <v/>
      </c>
      <c r="F861" s="56" t="str">
        <f>IF(AMS!I881="","",AMS!I881)</f>
        <v/>
      </c>
      <c r="G861" s="56" t="str">
        <f>IF(AMS!J881="","",AMS!J881)</f>
        <v/>
      </c>
      <c r="H861" s="22" t="str">
        <f t="array" ref="H861">IF(A861&lt;&gt;" ",IFERROR(INDEX(Summary!$G$3:$G$1000,SMALL((Summary!$G$3:$G$1000="")/0.1%+ROW($3:$1000),ROW()-2)-2)&amp;"",""),"")</f>
        <v/>
      </c>
      <c r="I861" s="22" t="str">
        <f t="shared" si="54"/>
        <v/>
      </c>
      <c r="J861" s="22" t="str">
        <f t="shared" si="55"/>
        <v/>
      </c>
    </row>
    <row r="862" spans="1:10">
      <c r="A862" s="56" t="str">
        <f>IF(AMS!H882="","",AMS!H882)</f>
        <v/>
      </c>
      <c r="B862" s="22" t="str">
        <f t="shared" si="52"/>
        <v/>
      </c>
      <c r="C862" s="22" t="str">
        <f t="array" ref="C862">IFERROR(INDEX(Summary!$I$3:$I$1000,SMALL((Summary!$I$3:$I$1000="")/0.1%+ROW($3:$1000),ROW()-2)-2)&amp;"","")</f>
        <v/>
      </c>
      <c r="D862" s="22" t="str">
        <v/>
      </c>
      <c r="E862" s="22" t="str">
        <f t="shared" si="53"/>
        <v/>
      </c>
      <c r="F862" s="56" t="str">
        <f>IF(AMS!I882="","",AMS!I882)</f>
        <v/>
      </c>
      <c r="G862" s="56" t="str">
        <f>IF(AMS!J882="","",AMS!J882)</f>
        <v/>
      </c>
      <c r="H862" s="22" t="str">
        <f t="array" ref="H862">IF(A862&lt;&gt;" ",IFERROR(INDEX(Summary!$G$3:$G$1000,SMALL((Summary!$G$3:$G$1000="")/0.1%+ROW($3:$1000),ROW()-2)-2)&amp;"",""),"")</f>
        <v/>
      </c>
      <c r="I862" s="22" t="str">
        <f t="shared" si="54"/>
        <v/>
      </c>
      <c r="J862" s="22" t="str">
        <f t="shared" si="55"/>
        <v/>
      </c>
    </row>
    <row r="863" spans="1:10">
      <c r="A863" s="56" t="str">
        <f>IF(AMS!H883="","",AMS!H883)</f>
        <v/>
      </c>
      <c r="B863" s="22" t="str">
        <f t="shared" si="52"/>
        <v/>
      </c>
      <c r="C863" s="22" t="str">
        <f t="array" ref="C863">IFERROR(INDEX(Summary!$I$3:$I$1000,SMALL((Summary!$I$3:$I$1000="")/0.1%+ROW($3:$1000),ROW()-2)-2)&amp;"","")</f>
        <v/>
      </c>
      <c r="D863" s="22" t="str">
        <v/>
      </c>
      <c r="E863" s="22" t="str">
        <f t="shared" si="53"/>
        <v/>
      </c>
      <c r="F863" s="56" t="str">
        <f>IF(AMS!I883="","",AMS!I883)</f>
        <v/>
      </c>
      <c r="G863" s="56" t="str">
        <f>IF(AMS!J883="","",AMS!J883)</f>
        <v/>
      </c>
      <c r="H863" s="22" t="str">
        <f t="array" ref="H863">IF(A863&lt;&gt;" ",IFERROR(INDEX(Summary!$G$3:$G$1000,SMALL((Summary!$G$3:$G$1000="")/0.1%+ROW($3:$1000),ROW()-2)-2)&amp;"",""),"")</f>
        <v/>
      </c>
      <c r="I863" s="22" t="str">
        <f t="shared" si="54"/>
        <v/>
      </c>
      <c r="J863" s="22" t="str">
        <f t="shared" si="55"/>
        <v/>
      </c>
    </row>
    <row r="864" spans="1:10">
      <c r="A864" s="56" t="str">
        <f>IF(AMS!H884="","",AMS!H884)</f>
        <v/>
      </c>
      <c r="B864" s="22" t="str">
        <f t="shared" si="52"/>
        <v/>
      </c>
      <c r="C864" s="22" t="str">
        <f t="array" ref="C864">IFERROR(INDEX(Summary!$I$3:$I$1000,SMALL((Summary!$I$3:$I$1000="")/0.1%+ROW($3:$1000),ROW()-2)-2)&amp;"","")</f>
        <v/>
      </c>
      <c r="D864" s="22" t="str">
        <v/>
      </c>
      <c r="E864" s="22" t="str">
        <f t="shared" si="53"/>
        <v/>
      </c>
      <c r="F864" s="56" t="str">
        <f>IF(AMS!I884="","",AMS!I884)</f>
        <v/>
      </c>
      <c r="G864" s="56" t="str">
        <f>IF(AMS!J884="","",AMS!J884)</f>
        <v/>
      </c>
      <c r="H864" s="22" t="str">
        <f t="array" ref="H864">IF(A864&lt;&gt;" ",IFERROR(INDEX(Summary!$G$3:$G$1000,SMALL((Summary!$G$3:$G$1000="")/0.1%+ROW($3:$1000),ROW()-2)-2)&amp;"",""),"")</f>
        <v/>
      </c>
      <c r="I864" s="22" t="str">
        <f t="shared" si="54"/>
        <v/>
      </c>
      <c r="J864" s="22" t="str">
        <f t="shared" si="55"/>
        <v/>
      </c>
    </row>
    <row r="865" spans="1:10">
      <c r="A865" s="56" t="str">
        <f>IF(AMS!H885="","",AMS!H885)</f>
        <v/>
      </c>
      <c r="B865" s="22" t="str">
        <f t="shared" si="52"/>
        <v/>
      </c>
      <c r="C865" s="22" t="str">
        <f t="array" ref="C865">IFERROR(INDEX(Summary!$I$3:$I$1000,SMALL((Summary!$I$3:$I$1000="")/0.1%+ROW($3:$1000),ROW()-2)-2)&amp;"","")</f>
        <v/>
      </c>
      <c r="D865" s="22" t="str">
        <v/>
      </c>
      <c r="E865" s="22" t="str">
        <f t="shared" si="53"/>
        <v/>
      </c>
      <c r="F865" s="56" t="str">
        <f>IF(AMS!I885="","",AMS!I885)</f>
        <v/>
      </c>
      <c r="G865" s="56" t="str">
        <f>IF(AMS!J885="","",AMS!J885)</f>
        <v/>
      </c>
      <c r="H865" s="22" t="str">
        <f t="array" ref="H865">IF(A865&lt;&gt;" ",IFERROR(INDEX(Summary!$G$3:$G$1000,SMALL((Summary!$G$3:$G$1000="")/0.1%+ROW($3:$1000),ROW()-2)-2)&amp;"",""),"")</f>
        <v/>
      </c>
      <c r="I865" s="22" t="str">
        <f t="shared" si="54"/>
        <v/>
      </c>
      <c r="J865" s="22" t="str">
        <f t="shared" si="55"/>
        <v/>
      </c>
    </row>
    <row r="866" spans="1:10">
      <c r="A866" s="56" t="str">
        <f>IF(AMS!H886="","",AMS!H886)</f>
        <v/>
      </c>
      <c r="B866" s="22" t="str">
        <f t="shared" si="52"/>
        <v/>
      </c>
      <c r="C866" s="22" t="str">
        <f t="array" ref="C866">IFERROR(INDEX(Summary!$I$3:$I$1000,SMALL((Summary!$I$3:$I$1000="")/0.1%+ROW($3:$1000),ROW()-2)-2)&amp;"","")</f>
        <v/>
      </c>
      <c r="D866" s="22" t="str">
        <v/>
      </c>
      <c r="E866" s="22" t="str">
        <f t="shared" si="53"/>
        <v/>
      </c>
      <c r="F866" s="56" t="str">
        <f>IF(AMS!I886="","",AMS!I886)</f>
        <v/>
      </c>
      <c r="G866" s="56" t="str">
        <f>IF(AMS!J886="","",AMS!J886)</f>
        <v/>
      </c>
      <c r="H866" s="22" t="str">
        <f t="array" ref="H866">IF(A866&lt;&gt;" ",IFERROR(INDEX(Summary!$G$3:$G$1000,SMALL((Summary!$G$3:$G$1000="")/0.1%+ROW($3:$1000),ROW()-2)-2)&amp;"",""),"")</f>
        <v/>
      </c>
      <c r="I866" s="22" t="str">
        <f t="shared" si="54"/>
        <v/>
      </c>
      <c r="J866" s="22" t="str">
        <f t="shared" si="55"/>
        <v/>
      </c>
    </row>
    <row r="867" spans="1:10">
      <c r="A867" s="56" t="str">
        <f>IF(AMS!H887="","",AMS!H887)</f>
        <v/>
      </c>
      <c r="B867" s="22" t="str">
        <f t="shared" si="52"/>
        <v/>
      </c>
      <c r="C867" s="22" t="str">
        <f t="array" ref="C867">IFERROR(INDEX(Summary!$I$3:$I$1000,SMALL((Summary!$I$3:$I$1000="")/0.1%+ROW($3:$1000),ROW()-2)-2)&amp;"","")</f>
        <v/>
      </c>
      <c r="D867" s="22" t="str">
        <v/>
      </c>
      <c r="E867" s="22" t="str">
        <f t="shared" si="53"/>
        <v/>
      </c>
      <c r="F867" s="56" t="str">
        <f>IF(AMS!I887="","",AMS!I887)</f>
        <v/>
      </c>
      <c r="G867" s="56" t="str">
        <f>IF(AMS!J887="","",AMS!J887)</f>
        <v/>
      </c>
      <c r="H867" s="22" t="str">
        <f t="array" ref="H867">IF(A867&lt;&gt;" ",IFERROR(INDEX(Summary!$G$3:$G$1000,SMALL((Summary!$G$3:$G$1000="")/0.1%+ROW($3:$1000),ROW()-2)-2)&amp;"",""),"")</f>
        <v/>
      </c>
      <c r="I867" s="22" t="str">
        <f t="shared" si="54"/>
        <v/>
      </c>
      <c r="J867" s="22" t="str">
        <f t="shared" si="55"/>
        <v/>
      </c>
    </row>
    <row r="868" spans="1:10">
      <c r="A868" s="56" t="str">
        <f>IF(AMS!H888="","",AMS!H888)</f>
        <v/>
      </c>
      <c r="B868" s="22" t="str">
        <f t="shared" si="52"/>
        <v/>
      </c>
      <c r="C868" s="22" t="str">
        <f t="array" ref="C868">IFERROR(INDEX(Summary!$I$3:$I$1000,SMALL((Summary!$I$3:$I$1000="")/0.1%+ROW($3:$1000),ROW()-2)-2)&amp;"","")</f>
        <v/>
      </c>
      <c r="D868" s="22" t="str">
        <v/>
      </c>
      <c r="E868" s="22" t="str">
        <f t="shared" si="53"/>
        <v/>
      </c>
      <c r="F868" s="56" t="str">
        <f>IF(AMS!I888="","",AMS!I888)</f>
        <v/>
      </c>
      <c r="G868" s="56" t="str">
        <f>IF(AMS!J888="","",AMS!J888)</f>
        <v/>
      </c>
      <c r="H868" s="22" t="str">
        <f t="array" ref="H868">IF(A868&lt;&gt;" ",IFERROR(INDEX(Summary!$G$3:$G$1000,SMALL((Summary!$G$3:$G$1000="")/0.1%+ROW($3:$1000),ROW()-2)-2)&amp;"",""),"")</f>
        <v/>
      </c>
      <c r="I868" s="22" t="str">
        <f t="shared" si="54"/>
        <v/>
      </c>
      <c r="J868" s="22" t="str">
        <f t="shared" si="55"/>
        <v/>
      </c>
    </row>
    <row r="869" spans="1:10">
      <c r="A869" s="56" t="str">
        <f>IF(AMS!H889="","",AMS!H889)</f>
        <v/>
      </c>
      <c r="B869" s="22" t="str">
        <f t="shared" si="52"/>
        <v/>
      </c>
      <c r="C869" s="22" t="str">
        <f t="array" ref="C869">IFERROR(INDEX(Summary!$I$3:$I$1000,SMALL((Summary!$I$3:$I$1000="")/0.1%+ROW($3:$1000),ROW()-2)-2)&amp;"","")</f>
        <v/>
      </c>
      <c r="D869" s="22" t="str">
        <v/>
      </c>
      <c r="E869" s="22" t="str">
        <f t="shared" si="53"/>
        <v/>
      </c>
      <c r="F869" s="56" t="str">
        <f>IF(AMS!I889="","",AMS!I889)</f>
        <v/>
      </c>
      <c r="G869" s="56" t="str">
        <f>IF(AMS!J889="","",AMS!J889)</f>
        <v/>
      </c>
      <c r="H869" s="22" t="str">
        <f t="array" ref="H869">IF(A869&lt;&gt;" ",IFERROR(INDEX(Summary!$G$3:$G$1000,SMALL((Summary!$G$3:$G$1000="")/0.1%+ROW($3:$1000),ROW()-2)-2)&amp;"",""),"")</f>
        <v/>
      </c>
      <c r="I869" s="22" t="str">
        <f t="shared" si="54"/>
        <v/>
      </c>
      <c r="J869" s="22" t="str">
        <f t="shared" si="55"/>
        <v/>
      </c>
    </row>
    <row r="870" spans="1:10">
      <c r="A870" s="56" t="str">
        <f>IF(AMS!H890="","",AMS!H890)</f>
        <v/>
      </c>
      <c r="B870" s="22" t="str">
        <f t="shared" si="52"/>
        <v/>
      </c>
      <c r="C870" s="22" t="str">
        <f t="array" ref="C870">IFERROR(INDEX(Summary!$I$3:$I$1000,SMALL((Summary!$I$3:$I$1000="")/0.1%+ROW($3:$1000),ROW()-2)-2)&amp;"","")</f>
        <v/>
      </c>
      <c r="D870" s="22" t="str">
        <v/>
      </c>
      <c r="E870" s="22" t="str">
        <f t="shared" si="53"/>
        <v/>
      </c>
      <c r="F870" s="56" t="str">
        <f>IF(AMS!I890="","",AMS!I890)</f>
        <v/>
      </c>
      <c r="G870" s="56" t="str">
        <f>IF(AMS!J890="","",AMS!J890)</f>
        <v/>
      </c>
      <c r="H870" s="22" t="str">
        <f t="array" ref="H870">IF(A870&lt;&gt;" ",IFERROR(INDEX(Summary!$G$3:$G$1000,SMALL((Summary!$G$3:$G$1000="")/0.1%+ROW($3:$1000),ROW()-2)-2)&amp;"",""),"")</f>
        <v/>
      </c>
      <c r="I870" s="22" t="str">
        <f t="shared" si="54"/>
        <v/>
      </c>
      <c r="J870" s="22" t="str">
        <f t="shared" si="55"/>
        <v/>
      </c>
    </row>
    <row r="871" spans="1:10">
      <c r="A871" s="56" t="str">
        <f>IF(AMS!H891="","",AMS!H891)</f>
        <v/>
      </c>
      <c r="B871" s="22" t="str">
        <f t="shared" si="52"/>
        <v/>
      </c>
      <c r="C871" s="22" t="str">
        <f t="array" ref="C871">IFERROR(INDEX(Summary!$I$3:$I$1000,SMALL((Summary!$I$3:$I$1000="")/0.1%+ROW($3:$1000),ROW()-2)-2)&amp;"","")</f>
        <v/>
      </c>
      <c r="D871" s="22" t="str">
        <v/>
      </c>
      <c r="E871" s="22" t="str">
        <f t="shared" si="53"/>
        <v/>
      </c>
      <c r="F871" s="56" t="str">
        <f>IF(AMS!I891="","",AMS!I891)</f>
        <v/>
      </c>
      <c r="G871" s="56" t="str">
        <f>IF(AMS!J891="","",AMS!J891)</f>
        <v/>
      </c>
      <c r="H871" s="22" t="str">
        <f t="array" ref="H871">IF(A871&lt;&gt;" ",IFERROR(INDEX(Summary!$G$3:$G$1000,SMALL((Summary!$G$3:$G$1000="")/0.1%+ROW($3:$1000),ROW()-2)-2)&amp;"",""),"")</f>
        <v/>
      </c>
      <c r="I871" s="22" t="str">
        <f t="shared" si="54"/>
        <v/>
      </c>
      <c r="J871" s="22" t="str">
        <f t="shared" si="55"/>
        <v/>
      </c>
    </row>
    <row r="872" spans="1:10">
      <c r="A872" s="56" t="str">
        <f>IF(AMS!H892="","",AMS!H892)</f>
        <v/>
      </c>
      <c r="B872" s="22" t="str">
        <f t="shared" si="52"/>
        <v/>
      </c>
      <c r="C872" s="22" t="str">
        <f t="array" ref="C872">IFERROR(INDEX(Summary!$I$3:$I$1000,SMALL((Summary!$I$3:$I$1000="")/0.1%+ROW($3:$1000),ROW()-2)-2)&amp;"","")</f>
        <v/>
      </c>
      <c r="D872" s="22" t="str">
        <v/>
      </c>
      <c r="E872" s="22" t="str">
        <f t="shared" si="53"/>
        <v/>
      </c>
      <c r="F872" s="56" t="str">
        <f>IF(AMS!I892="","",AMS!I892)</f>
        <v/>
      </c>
      <c r="G872" s="56" t="str">
        <f>IF(AMS!J892="","",AMS!J892)</f>
        <v/>
      </c>
      <c r="H872" s="22" t="str">
        <f t="array" ref="H872">IF(A872&lt;&gt;" ",IFERROR(INDEX(Summary!$G$3:$G$1000,SMALL((Summary!$G$3:$G$1000="")/0.1%+ROW($3:$1000),ROW()-2)-2)&amp;"",""),"")</f>
        <v/>
      </c>
      <c r="I872" s="22" t="str">
        <f t="shared" si="54"/>
        <v/>
      </c>
      <c r="J872" s="22" t="str">
        <f t="shared" si="55"/>
        <v/>
      </c>
    </row>
    <row r="873" spans="1:10">
      <c r="A873" s="56" t="str">
        <f>IF(AMS!H893="","",AMS!H893)</f>
        <v/>
      </c>
      <c r="B873" s="22" t="str">
        <f t="shared" si="52"/>
        <v/>
      </c>
      <c r="C873" s="22" t="str">
        <f t="array" ref="C873">IFERROR(INDEX(Summary!$I$3:$I$1000,SMALL((Summary!$I$3:$I$1000="")/0.1%+ROW($3:$1000),ROW()-2)-2)&amp;"","")</f>
        <v/>
      </c>
      <c r="D873" s="22" t="str">
        <v/>
      </c>
      <c r="E873" s="22" t="str">
        <f t="shared" si="53"/>
        <v/>
      </c>
      <c r="F873" s="56" t="str">
        <f>IF(AMS!I893="","",AMS!I893)</f>
        <v/>
      </c>
      <c r="G873" s="56" t="str">
        <f>IF(AMS!J893="","",AMS!J893)</f>
        <v/>
      </c>
      <c r="H873" s="22" t="str">
        <f t="array" ref="H873">IF(A873&lt;&gt;" ",IFERROR(INDEX(Summary!$G$3:$G$1000,SMALL((Summary!$G$3:$G$1000="")/0.1%+ROW($3:$1000),ROW()-2)-2)&amp;"",""),"")</f>
        <v/>
      </c>
      <c r="I873" s="22" t="str">
        <f t="shared" si="54"/>
        <v/>
      </c>
      <c r="J873" s="22" t="str">
        <f t="shared" si="55"/>
        <v/>
      </c>
    </row>
    <row r="874" spans="1:10">
      <c r="A874" s="56" t="str">
        <f>IF(AMS!H894="","",AMS!H894)</f>
        <v/>
      </c>
      <c r="B874" s="22" t="str">
        <f t="shared" si="52"/>
        <v/>
      </c>
      <c r="C874" s="22" t="str">
        <f t="array" ref="C874">IFERROR(INDEX(Summary!$I$3:$I$1000,SMALL((Summary!$I$3:$I$1000="")/0.1%+ROW($3:$1000),ROW()-2)-2)&amp;"","")</f>
        <v/>
      </c>
      <c r="D874" s="22" t="str">
        <v/>
      </c>
      <c r="E874" s="22" t="str">
        <f t="shared" si="53"/>
        <v/>
      </c>
      <c r="F874" s="56" t="str">
        <f>IF(AMS!I894="","",AMS!I894)</f>
        <v/>
      </c>
      <c r="G874" s="56" t="str">
        <f>IF(AMS!J894="","",AMS!J894)</f>
        <v/>
      </c>
      <c r="H874" s="22" t="str">
        <f t="array" ref="H874">IF(A874&lt;&gt;" ",IFERROR(INDEX(Summary!$G$3:$G$1000,SMALL((Summary!$G$3:$G$1000="")/0.1%+ROW($3:$1000),ROW()-2)-2)&amp;"",""),"")</f>
        <v/>
      </c>
      <c r="I874" s="22" t="str">
        <f t="shared" si="54"/>
        <v/>
      </c>
      <c r="J874" s="22" t="str">
        <f t="shared" si="55"/>
        <v/>
      </c>
    </row>
    <row r="875" spans="1:10">
      <c r="A875" s="56" t="str">
        <f>IF(AMS!H895="","",AMS!H895)</f>
        <v/>
      </c>
      <c r="B875" s="22" t="str">
        <f t="shared" si="52"/>
        <v/>
      </c>
      <c r="C875" s="22" t="str">
        <f t="array" ref="C875">IFERROR(INDEX(Summary!$I$3:$I$1000,SMALL((Summary!$I$3:$I$1000="")/0.1%+ROW($3:$1000),ROW()-2)-2)&amp;"","")</f>
        <v/>
      </c>
      <c r="D875" s="22" t="str">
        <v/>
      </c>
      <c r="E875" s="22" t="str">
        <f t="shared" si="53"/>
        <v/>
      </c>
      <c r="F875" s="56" t="str">
        <f>IF(AMS!I895="","",AMS!I895)</f>
        <v/>
      </c>
      <c r="G875" s="56" t="str">
        <f>IF(AMS!J895="","",AMS!J895)</f>
        <v/>
      </c>
      <c r="H875" s="22" t="str">
        <f t="array" ref="H875">IF(A875&lt;&gt;" ",IFERROR(INDEX(Summary!$G$3:$G$1000,SMALL((Summary!$G$3:$G$1000="")/0.1%+ROW($3:$1000),ROW()-2)-2)&amp;"",""),"")</f>
        <v/>
      </c>
      <c r="I875" s="22" t="str">
        <f t="shared" si="54"/>
        <v/>
      </c>
      <c r="J875" s="22" t="str">
        <f t="shared" si="55"/>
        <v/>
      </c>
    </row>
    <row r="876" spans="1:10">
      <c r="A876" s="56" t="str">
        <f>IF(AMS!H896="","",AMS!H896)</f>
        <v/>
      </c>
      <c r="B876" s="22" t="str">
        <f t="shared" si="52"/>
        <v/>
      </c>
      <c r="C876" s="22" t="str">
        <f t="array" ref="C876">IFERROR(INDEX(Summary!$I$3:$I$1000,SMALL((Summary!$I$3:$I$1000="")/0.1%+ROW($3:$1000),ROW()-2)-2)&amp;"","")</f>
        <v/>
      </c>
      <c r="D876" s="22" t="str">
        <v/>
      </c>
      <c r="E876" s="22" t="str">
        <f t="shared" si="53"/>
        <v/>
      </c>
      <c r="F876" s="56" t="str">
        <f>IF(AMS!I896="","",AMS!I896)</f>
        <v/>
      </c>
      <c r="G876" s="56" t="str">
        <f>IF(AMS!J896="","",AMS!J896)</f>
        <v/>
      </c>
      <c r="H876" s="22" t="str">
        <f t="array" ref="H876">IF(A876&lt;&gt;" ",IFERROR(INDEX(Summary!$G$3:$G$1000,SMALL((Summary!$G$3:$G$1000="")/0.1%+ROW($3:$1000),ROW()-2)-2)&amp;"",""),"")</f>
        <v/>
      </c>
      <c r="I876" s="22" t="str">
        <f t="shared" si="54"/>
        <v/>
      </c>
      <c r="J876" s="22" t="str">
        <f t="shared" si="55"/>
        <v/>
      </c>
    </row>
    <row r="877" spans="1:10">
      <c r="A877" s="56" t="str">
        <f>IF(AMS!H897="","",AMS!H897)</f>
        <v/>
      </c>
      <c r="B877" s="22" t="str">
        <f t="shared" si="52"/>
        <v/>
      </c>
      <c r="C877" s="22" t="str">
        <f t="array" ref="C877">IFERROR(INDEX(Summary!$I$3:$I$1000,SMALL((Summary!$I$3:$I$1000="")/0.1%+ROW($3:$1000),ROW()-2)-2)&amp;"","")</f>
        <v/>
      </c>
      <c r="D877" s="22" t="str">
        <v/>
      </c>
      <c r="E877" s="22" t="str">
        <f t="shared" si="53"/>
        <v/>
      </c>
      <c r="F877" s="56" t="str">
        <f>IF(AMS!I897="","",AMS!I897)</f>
        <v/>
      </c>
      <c r="G877" s="56" t="str">
        <f>IF(AMS!J897="","",AMS!J897)</f>
        <v/>
      </c>
      <c r="H877" s="22" t="str">
        <f t="array" ref="H877">IF(A877&lt;&gt;" ",IFERROR(INDEX(Summary!$G$3:$G$1000,SMALL((Summary!$G$3:$G$1000="")/0.1%+ROW($3:$1000),ROW()-2)-2)&amp;"",""),"")</f>
        <v/>
      </c>
      <c r="I877" s="22" t="str">
        <f t="shared" si="54"/>
        <v/>
      </c>
      <c r="J877" s="22" t="str">
        <f t="shared" si="55"/>
        <v/>
      </c>
    </row>
    <row r="878" spans="1:10">
      <c r="A878" s="56" t="str">
        <f>IF(AMS!H898="","",AMS!H898)</f>
        <v/>
      </c>
      <c r="B878" s="22" t="str">
        <f t="shared" si="52"/>
        <v/>
      </c>
      <c r="C878" s="22" t="str">
        <f t="array" ref="C878">IFERROR(INDEX(Summary!$I$3:$I$1000,SMALL((Summary!$I$3:$I$1000="")/0.1%+ROW($3:$1000),ROW()-2)-2)&amp;"","")</f>
        <v/>
      </c>
      <c r="D878" s="22" t="str">
        <v/>
      </c>
      <c r="E878" s="22" t="str">
        <f t="shared" si="53"/>
        <v/>
      </c>
      <c r="F878" s="56" t="str">
        <f>IF(AMS!I898="","",AMS!I898)</f>
        <v/>
      </c>
      <c r="G878" s="56" t="str">
        <f>IF(AMS!J898="","",AMS!J898)</f>
        <v/>
      </c>
      <c r="H878" s="22" t="str">
        <f t="array" ref="H878">IF(A878&lt;&gt;" ",IFERROR(INDEX(Summary!$G$3:$G$1000,SMALL((Summary!$G$3:$G$1000="")/0.1%+ROW($3:$1000),ROW()-2)-2)&amp;"",""),"")</f>
        <v/>
      </c>
      <c r="I878" s="22" t="str">
        <f t="shared" si="54"/>
        <v/>
      </c>
      <c r="J878" s="22" t="str">
        <f t="shared" si="55"/>
        <v/>
      </c>
    </row>
    <row r="879" spans="1:10">
      <c r="A879" s="56" t="str">
        <f>IF(AMS!H899="","",AMS!H899)</f>
        <v/>
      </c>
      <c r="B879" s="22" t="str">
        <f t="shared" si="52"/>
        <v/>
      </c>
      <c r="C879" s="22" t="str">
        <f t="array" ref="C879">IFERROR(INDEX(Summary!$I$3:$I$1000,SMALL((Summary!$I$3:$I$1000="")/0.1%+ROW($3:$1000),ROW()-2)-2)&amp;"","")</f>
        <v/>
      </c>
      <c r="D879" s="22" t="str">
        <v/>
      </c>
      <c r="E879" s="22" t="str">
        <f t="shared" si="53"/>
        <v/>
      </c>
      <c r="F879" s="56" t="str">
        <f>IF(AMS!I899="","",AMS!I899)</f>
        <v/>
      </c>
      <c r="G879" s="56" t="str">
        <f>IF(AMS!J899="","",AMS!J899)</f>
        <v/>
      </c>
      <c r="H879" s="22" t="str">
        <f t="array" ref="H879">IF(A879&lt;&gt;" ",IFERROR(INDEX(Summary!$G$3:$G$1000,SMALL((Summary!$G$3:$G$1000="")/0.1%+ROW($3:$1000),ROW()-2)-2)&amp;"",""),"")</f>
        <v/>
      </c>
      <c r="I879" s="22" t="str">
        <f t="shared" si="54"/>
        <v/>
      </c>
      <c r="J879" s="22" t="str">
        <f t="shared" si="55"/>
        <v/>
      </c>
    </row>
    <row r="880" spans="1:10">
      <c r="A880" s="56" t="str">
        <f>IF(AMS!H900="","",AMS!H900)</f>
        <v/>
      </c>
      <c r="B880" s="22" t="str">
        <f t="shared" si="52"/>
        <v/>
      </c>
      <c r="C880" s="22" t="str">
        <f t="array" ref="C880">IFERROR(INDEX(Summary!$I$3:$I$1000,SMALL((Summary!$I$3:$I$1000="")/0.1%+ROW($3:$1000),ROW()-2)-2)&amp;"","")</f>
        <v/>
      </c>
      <c r="D880" s="22" t="str">
        <v/>
      </c>
      <c r="E880" s="22" t="str">
        <f t="shared" si="53"/>
        <v/>
      </c>
      <c r="F880" s="56" t="str">
        <f>IF(AMS!I900="","",AMS!I900)</f>
        <v/>
      </c>
      <c r="G880" s="56" t="str">
        <f>IF(AMS!J900="","",AMS!J900)</f>
        <v/>
      </c>
      <c r="H880" s="22" t="str">
        <f t="array" ref="H880">IF(A880&lt;&gt;" ",IFERROR(INDEX(Summary!$G$3:$G$1000,SMALL((Summary!$G$3:$G$1000="")/0.1%+ROW($3:$1000),ROW()-2)-2)&amp;"",""),"")</f>
        <v/>
      </c>
      <c r="I880" s="22" t="str">
        <f t="shared" si="54"/>
        <v/>
      </c>
      <c r="J880" s="22" t="str">
        <f t="shared" si="55"/>
        <v/>
      </c>
    </row>
    <row r="881" spans="1:10">
      <c r="A881" s="56" t="str">
        <f>IF(AMS!H901="","",AMS!H901)</f>
        <v/>
      </c>
      <c r="B881" s="22" t="str">
        <f t="shared" si="52"/>
        <v/>
      </c>
      <c r="C881" s="22" t="str">
        <f t="array" ref="C881">IFERROR(INDEX(Summary!$I$3:$I$1000,SMALL((Summary!$I$3:$I$1000="")/0.1%+ROW($3:$1000),ROW()-2)-2)&amp;"","")</f>
        <v/>
      </c>
      <c r="D881" s="22" t="str">
        <v/>
      </c>
      <c r="E881" s="22" t="str">
        <f t="shared" si="53"/>
        <v/>
      </c>
      <c r="F881" s="56" t="str">
        <f>IF(AMS!I901="","",AMS!I901)</f>
        <v/>
      </c>
      <c r="G881" s="56" t="str">
        <f>IF(AMS!J901="","",AMS!J901)</f>
        <v/>
      </c>
      <c r="H881" s="22" t="str">
        <f t="array" ref="H881">IF(A881&lt;&gt;" ",IFERROR(INDEX(Summary!$G$3:$G$1000,SMALL((Summary!$G$3:$G$1000="")/0.1%+ROW($3:$1000),ROW()-2)-2)&amp;"",""),"")</f>
        <v/>
      </c>
      <c r="I881" s="22" t="str">
        <f t="shared" si="54"/>
        <v/>
      </c>
      <c r="J881" s="22" t="str">
        <f t="shared" si="55"/>
        <v/>
      </c>
    </row>
    <row r="882" spans="1:10">
      <c r="A882" s="56" t="str">
        <f>IF(AMS!H902="","",AMS!H902)</f>
        <v/>
      </c>
      <c r="B882" s="22" t="str">
        <f t="shared" si="52"/>
        <v/>
      </c>
      <c r="C882" s="22" t="str">
        <f t="array" ref="C882">IFERROR(INDEX(Summary!$I$3:$I$1000,SMALL((Summary!$I$3:$I$1000="")/0.1%+ROW($3:$1000),ROW()-2)-2)&amp;"","")</f>
        <v/>
      </c>
      <c r="D882" s="22" t="str">
        <v/>
      </c>
      <c r="E882" s="22" t="str">
        <f t="shared" si="53"/>
        <v/>
      </c>
      <c r="F882" s="56" t="str">
        <f>IF(AMS!I902="","",AMS!I902)</f>
        <v/>
      </c>
      <c r="G882" s="56" t="str">
        <f>IF(AMS!J902="","",AMS!J902)</f>
        <v/>
      </c>
      <c r="H882" s="22" t="str">
        <f t="array" ref="H882">IF(A882&lt;&gt;" ",IFERROR(INDEX(Summary!$G$3:$G$1000,SMALL((Summary!$G$3:$G$1000="")/0.1%+ROW($3:$1000),ROW()-2)-2)&amp;"",""),"")</f>
        <v/>
      </c>
      <c r="I882" s="22" t="str">
        <f t="shared" si="54"/>
        <v/>
      </c>
      <c r="J882" s="22" t="str">
        <f t="shared" si="55"/>
        <v/>
      </c>
    </row>
    <row r="883" spans="1:10">
      <c r="A883" s="56" t="str">
        <f>IF(AMS!H903="","",AMS!H903)</f>
        <v/>
      </c>
      <c r="B883" s="22" t="str">
        <f t="shared" si="52"/>
        <v/>
      </c>
      <c r="C883" s="22" t="str">
        <f t="array" ref="C883">IFERROR(INDEX(Summary!$I$3:$I$1000,SMALL((Summary!$I$3:$I$1000="")/0.1%+ROW($3:$1000),ROW()-2)-2)&amp;"","")</f>
        <v/>
      </c>
      <c r="D883" s="22" t="str">
        <v/>
      </c>
      <c r="E883" s="22" t="str">
        <f t="shared" si="53"/>
        <v/>
      </c>
      <c r="F883" s="56" t="str">
        <f>IF(AMS!I903="","",AMS!I903)</f>
        <v/>
      </c>
      <c r="G883" s="56" t="str">
        <f>IF(AMS!J903="","",AMS!J903)</f>
        <v/>
      </c>
      <c r="H883" s="22" t="str">
        <f t="array" ref="H883">IF(A883&lt;&gt;" ",IFERROR(INDEX(Summary!$G$3:$G$1000,SMALL((Summary!$G$3:$G$1000="")/0.1%+ROW($3:$1000),ROW()-2)-2)&amp;"",""),"")</f>
        <v/>
      </c>
      <c r="I883" s="22" t="str">
        <f t="shared" si="54"/>
        <v/>
      </c>
      <c r="J883" s="22" t="str">
        <f t="shared" si="55"/>
        <v/>
      </c>
    </row>
    <row r="884" spans="1:10">
      <c r="A884" s="56" t="str">
        <f>IF(AMS!H904="","",AMS!H904)</f>
        <v/>
      </c>
      <c r="B884" s="22" t="str">
        <f t="shared" si="52"/>
        <v/>
      </c>
      <c r="C884" s="22" t="str">
        <f t="array" ref="C884">IFERROR(INDEX(Summary!$I$3:$I$1000,SMALL((Summary!$I$3:$I$1000="")/0.1%+ROW($3:$1000),ROW()-2)-2)&amp;"","")</f>
        <v/>
      </c>
      <c r="D884" s="22" t="str">
        <v/>
      </c>
      <c r="E884" s="22" t="str">
        <f t="shared" si="53"/>
        <v/>
      </c>
      <c r="F884" s="56" t="str">
        <f>IF(AMS!I904="","",AMS!I904)</f>
        <v/>
      </c>
      <c r="G884" s="56" t="str">
        <f>IF(AMS!J904="","",AMS!J904)</f>
        <v/>
      </c>
      <c r="H884" s="22" t="str">
        <f t="array" ref="H884">IF(A884&lt;&gt;" ",IFERROR(INDEX(Summary!$G$3:$G$1000,SMALL((Summary!$G$3:$G$1000="")/0.1%+ROW($3:$1000),ROW()-2)-2)&amp;"",""),"")</f>
        <v/>
      </c>
      <c r="I884" s="22" t="str">
        <f t="shared" si="54"/>
        <v/>
      </c>
      <c r="J884" s="22" t="str">
        <f t="shared" si="55"/>
        <v/>
      </c>
    </row>
    <row r="885" spans="1:10">
      <c r="A885" s="56" t="str">
        <f>IF(AMS!H905="","",AMS!H905)</f>
        <v/>
      </c>
      <c r="B885" s="22" t="str">
        <f t="shared" si="52"/>
        <v/>
      </c>
      <c r="C885" s="22" t="str">
        <f t="array" ref="C885">IFERROR(INDEX(Summary!$I$3:$I$1000,SMALL((Summary!$I$3:$I$1000="")/0.1%+ROW($3:$1000),ROW()-2)-2)&amp;"","")</f>
        <v/>
      </c>
      <c r="D885" s="22" t="str">
        <v/>
      </c>
      <c r="E885" s="22" t="str">
        <f t="shared" si="53"/>
        <v/>
      </c>
      <c r="F885" s="56" t="str">
        <f>IF(AMS!I905="","",AMS!I905)</f>
        <v/>
      </c>
      <c r="G885" s="56" t="str">
        <f>IF(AMS!J905="","",AMS!J905)</f>
        <v/>
      </c>
      <c r="H885" s="22" t="str">
        <f t="array" ref="H885">IF(A885&lt;&gt;" ",IFERROR(INDEX(Summary!$G$3:$G$1000,SMALL((Summary!$G$3:$G$1000="")/0.1%+ROW($3:$1000),ROW()-2)-2)&amp;"",""),"")</f>
        <v/>
      </c>
      <c r="I885" s="22" t="str">
        <f t="shared" si="54"/>
        <v/>
      </c>
      <c r="J885" s="22" t="str">
        <f t="shared" si="55"/>
        <v/>
      </c>
    </row>
    <row r="886" spans="1:10">
      <c r="A886" s="56" t="str">
        <f>IF(AMS!H906="","",AMS!H906)</f>
        <v/>
      </c>
      <c r="B886" s="22" t="str">
        <f t="shared" si="52"/>
        <v/>
      </c>
      <c r="C886" s="22" t="str">
        <f t="array" ref="C886">IFERROR(INDEX(Summary!$I$3:$I$1000,SMALL((Summary!$I$3:$I$1000="")/0.1%+ROW($3:$1000),ROW()-2)-2)&amp;"","")</f>
        <v/>
      </c>
      <c r="D886" s="22" t="str">
        <v/>
      </c>
      <c r="E886" s="22" t="str">
        <f t="shared" si="53"/>
        <v/>
      </c>
      <c r="F886" s="56" t="str">
        <f>IF(AMS!I906="","",AMS!I906)</f>
        <v/>
      </c>
      <c r="G886" s="56" t="str">
        <f>IF(AMS!J906="","",AMS!J906)</f>
        <v/>
      </c>
      <c r="H886" s="22" t="str">
        <f t="array" ref="H886">IF(A886&lt;&gt;" ",IFERROR(INDEX(Summary!$G$3:$G$1000,SMALL((Summary!$G$3:$G$1000="")/0.1%+ROW($3:$1000),ROW()-2)-2)&amp;"",""),"")</f>
        <v/>
      </c>
      <c r="I886" s="22" t="str">
        <f t="shared" si="54"/>
        <v/>
      </c>
      <c r="J886" s="22" t="str">
        <f t="shared" si="55"/>
        <v/>
      </c>
    </row>
    <row r="887" spans="1:10">
      <c r="A887" s="56" t="str">
        <f>IF(AMS!H907="","",AMS!H907)</f>
        <v/>
      </c>
      <c r="B887" s="22" t="str">
        <f t="shared" si="52"/>
        <v/>
      </c>
      <c r="C887" s="22" t="str">
        <f t="array" ref="C887">IFERROR(INDEX(Summary!$I$3:$I$1000,SMALL((Summary!$I$3:$I$1000="")/0.1%+ROW($3:$1000),ROW()-2)-2)&amp;"","")</f>
        <v/>
      </c>
      <c r="D887" s="22" t="str">
        <v/>
      </c>
      <c r="E887" s="22" t="str">
        <f t="shared" si="53"/>
        <v/>
      </c>
      <c r="F887" s="56" t="str">
        <f>IF(AMS!I907="","",AMS!I907)</f>
        <v/>
      </c>
      <c r="G887" s="56" t="str">
        <f>IF(AMS!J907="","",AMS!J907)</f>
        <v/>
      </c>
      <c r="H887" s="22" t="str">
        <f t="array" ref="H887">IF(A887&lt;&gt;" ",IFERROR(INDEX(Summary!$G$3:$G$1000,SMALL((Summary!$G$3:$G$1000="")/0.1%+ROW($3:$1000),ROW()-2)-2)&amp;"",""),"")</f>
        <v/>
      </c>
      <c r="I887" s="22" t="str">
        <f t="shared" si="54"/>
        <v/>
      </c>
      <c r="J887" s="22" t="str">
        <f t="shared" si="55"/>
        <v/>
      </c>
    </row>
    <row r="888" spans="1:10">
      <c r="A888" s="56" t="str">
        <f>IF(AMS!H908="","",AMS!H908)</f>
        <v/>
      </c>
      <c r="B888" s="22" t="str">
        <f t="shared" si="52"/>
        <v/>
      </c>
      <c r="C888" s="22" t="str">
        <f t="array" ref="C888">IFERROR(INDEX(Summary!$I$3:$I$1000,SMALL((Summary!$I$3:$I$1000="")/0.1%+ROW($3:$1000),ROW()-2)-2)&amp;"","")</f>
        <v/>
      </c>
      <c r="D888" s="22" t="str">
        <v/>
      </c>
      <c r="E888" s="22" t="str">
        <f t="shared" si="53"/>
        <v/>
      </c>
      <c r="F888" s="56" t="str">
        <f>IF(AMS!I908="","",AMS!I908)</f>
        <v/>
      </c>
      <c r="G888" s="56" t="str">
        <f>IF(AMS!J908="","",AMS!J908)</f>
        <v/>
      </c>
      <c r="H888" s="22" t="str">
        <f t="array" ref="H888">IF(A888&lt;&gt;" ",IFERROR(INDEX(Summary!$G$3:$G$1000,SMALL((Summary!$G$3:$G$1000="")/0.1%+ROW($3:$1000),ROW()-2)-2)&amp;"",""),"")</f>
        <v/>
      </c>
      <c r="I888" s="22" t="str">
        <f t="shared" si="54"/>
        <v/>
      </c>
      <c r="J888" s="22" t="str">
        <f t="shared" si="55"/>
        <v/>
      </c>
    </row>
    <row r="889" spans="1:10">
      <c r="A889" s="56" t="str">
        <f>IF(AMS!H909="","",AMS!H909)</f>
        <v/>
      </c>
      <c r="B889" s="22" t="str">
        <f t="shared" si="52"/>
        <v/>
      </c>
      <c r="C889" s="22" t="str">
        <f t="array" ref="C889">IFERROR(INDEX(Summary!$I$3:$I$1000,SMALL((Summary!$I$3:$I$1000="")/0.1%+ROW($3:$1000),ROW()-2)-2)&amp;"","")</f>
        <v/>
      </c>
      <c r="D889" s="22" t="str">
        <v/>
      </c>
      <c r="E889" s="22" t="str">
        <f t="shared" si="53"/>
        <v/>
      </c>
      <c r="F889" s="56" t="str">
        <f>IF(AMS!I909="","",AMS!I909)</f>
        <v/>
      </c>
      <c r="G889" s="56" t="str">
        <f>IF(AMS!J909="","",AMS!J909)</f>
        <v/>
      </c>
      <c r="H889" s="22" t="str">
        <f t="array" ref="H889">IF(A889&lt;&gt;" ",IFERROR(INDEX(Summary!$G$3:$G$1000,SMALL((Summary!$G$3:$G$1000="")/0.1%+ROW($3:$1000),ROW()-2)-2)&amp;"",""),"")</f>
        <v/>
      </c>
      <c r="I889" s="22" t="str">
        <f t="shared" si="54"/>
        <v/>
      </c>
      <c r="J889" s="22" t="str">
        <f t="shared" si="55"/>
        <v/>
      </c>
    </row>
    <row r="890" spans="1:10">
      <c r="A890" s="56" t="str">
        <f>IF(AMS!H910="","",AMS!H910)</f>
        <v/>
      </c>
      <c r="B890" s="22" t="str">
        <f t="shared" si="52"/>
        <v/>
      </c>
      <c r="C890" s="22" t="str">
        <f t="array" ref="C890">IFERROR(INDEX(Summary!$I$3:$I$1000,SMALL((Summary!$I$3:$I$1000="")/0.1%+ROW($3:$1000),ROW()-2)-2)&amp;"","")</f>
        <v/>
      </c>
      <c r="D890" s="22" t="str">
        <v/>
      </c>
      <c r="E890" s="22" t="str">
        <f t="shared" si="53"/>
        <v/>
      </c>
      <c r="F890" s="56" t="str">
        <f>IF(AMS!I910="","",AMS!I910)</f>
        <v/>
      </c>
      <c r="G890" s="56" t="str">
        <f>IF(AMS!J910="","",AMS!J910)</f>
        <v/>
      </c>
      <c r="H890" s="22" t="str">
        <f t="array" ref="H890">IF(A890&lt;&gt;" ",IFERROR(INDEX(Summary!$G$3:$G$1000,SMALL((Summary!$G$3:$G$1000="")/0.1%+ROW($3:$1000),ROW()-2)-2)&amp;"",""),"")</f>
        <v/>
      </c>
      <c r="I890" s="22" t="str">
        <f t="shared" si="54"/>
        <v/>
      </c>
      <c r="J890" s="22" t="str">
        <f t="shared" si="55"/>
        <v/>
      </c>
    </row>
    <row r="891" spans="1:10">
      <c r="A891" s="56" t="str">
        <f>IF(AMS!H911="","",AMS!H911)</f>
        <v/>
      </c>
      <c r="B891" s="22" t="str">
        <f t="shared" si="52"/>
        <v/>
      </c>
      <c r="C891" s="22" t="str">
        <f t="array" ref="C891">IFERROR(INDEX(Summary!$I$3:$I$1000,SMALL((Summary!$I$3:$I$1000="")/0.1%+ROW($3:$1000),ROW()-2)-2)&amp;"","")</f>
        <v/>
      </c>
      <c r="D891" s="22" t="str">
        <v/>
      </c>
      <c r="E891" s="22" t="str">
        <f t="shared" si="53"/>
        <v/>
      </c>
      <c r="F891" s="56" t="str">
        <f>IF(AMS!I911="","",AMS!I911)</f>
        <v/>
      </c>
      <c r="G891" s="56" t="str">
        <f>IF(AMS!J911="","",AMS!J911)</f>
        <v/>
      </c>
      <c r="H891" s="22" t="str">
        <f t="array" ref="H891">IF(A891&lt;&gt;" ",IFERROR(INDEX(Summary!$G$3:$G$1000,SMALL((Summary!$G$3:$G$1000="")/0.1%+ROW($3:$1000),ROW()-2)-2)&amp;"",""),"")</f>
        <v/>
      </c>
      <c r="I891" s="22" t="str">
        <f t="shared" si="54"/>
        <v/>
      </c>
      <c r="J891" s="22" t="str">
        <f t="shared" si="55"/>
        <v/>
      </c>
    </row>
    <row r="892" spans="1:10">
      <c r="A892" s="56" t="str">
        <f>IF(AMS!H912="","",AMS!H912)</f>
        <v/>
      </c>
      <c r="B892" s="22" t="str">
        <f t="shared" si="52"/>
        <v/>
      </c>
      <c r="C892" s="22" t="str">
        <f t="array" ref="C892">IFERROR(INDEX(Summary!$I$3:$I$1000,SMALL((Summary!$I$3:$I$1000="")/0.1%+ROW($3:$1000),ROW()-2)-2)&amp;"","")</f>
        <v/>
      </c>
      <c r="D892" s="22" t="str">
        <v/>
      </c>
      <c r="E892" s="22" t="str">
        <f t="shared" si="53"/>
        <v/>
      </c>
      <c r="F892" s="56" t="str">
        <f>IF(AMS!I912="","",AMS!I912)</f>
        <v/>
      </c>
      <c r="G892" s="56" t="str">
        <f>IF(AMS!J912="","",AMS!J912)</f>
        <v/>
      </c>
      <c r="H892" s="22" t="str">
        <f t="array" ref="H892">IF(A892&lt;&gt;" ",IFERROR(INDEX(Summary!$G$3:$G$1000,SMALL((Summary!$G$3:$G$1000="")/0.1%+ROW($3:$1000),ROW()-2)-2)&amp;"",""),"")</f>
        <v/>
      </c>
      <c r="I892" s="22" t="str">
        <f t="shared" si="54"/>
        <v/>
      </c>
      <c r="J892" s="22" t="str">
        <f t="shared" si="55"/>
        <v/>
      </c>
    </row>
    <row r="893" spans="1:10">
      <c r="A893" s="56" t="str">
        <f>IF(AMS!H913="","",AMS!H913)</f>
        <v/>
      </c>
      <c r="B893" s="22" t="str">
        <f t="shared" si="52"/>
        <v/>
      </c>
      <c r="C893" s="22" t="str">
        <f t="array" ref="C893">IFERROR(INDEX(Summary!$I$3:$I$1000,SMALL((Summary!$I$3:$I$1000="")/0.1%+ROW($3:$1000),ROW()-2)-2)&amp;"","")</f>
        <v/>
      </c>
      <c r="D893" s="22" t="str">
        <v/>
      </c>
      <c r="E893" s="22" t="str">
        <f t="shared" si="53"/>
        <v/>
      </c>
      <c r="F893" s="56" t="str">
        <f>IF(AMS!I913="","",AMS!I913)</f>
        <v/>
      </c>
      <c r="G893" s="56" t="str">
        <f>IF(AMS!J913="","",AMS!J913)</f>
        <v/>
      </c>
      <c r="H893" s="22" t="str">
        <f t="array" ref="H893">IF(A893&lt;&gt;" ",IFERROR(INDEX(Summary!$G$3:$G$1000,SMALL((Summary!$G$3:$G$1000="")/0.1%+ROW($3:$1000),ROW()-2)-2)&amp;"",""),"")</f>
        <v/>
      </c>
      <c r="I893" s="22" t="str">
        <f t="shared" si="54"/>
        <v/>
      </c>
      <c r="J893" s="22" t="str">
        <f t="shared" si="55"/>
        <v/>
      </c>
    </row>
    <row r="894" spans="1:10">
      <c r="A894" s="56" t="str">
        <f>IF(AMS!H914="","",AMS!H914)</f>
        <v/>
      </c>
      <c r="B894" s="22" t="str">
        <f t="shared" si="52"/>
        <v/>
      </c>
      <c r="C894" s="22" t="str">
        <f t="array" ref="C894">IFERROR(INDEX(Summary!$I$3:$I$1000,SMALL((Summary!$I$3:$I$1000="")/0.1%+ROW($3:$1000),ROW()-2)-2)&amp;"","")</f>
        <v/>
      </c>
      <c r="D894" s="22" t="str">
        <v/>
      </c>
      <c r="E894" s="22" t="str">
        <f t="shared" si="53"/>
        <v/>
      </c>
      <c r="F894" s="56" t="str">
        <f>IF(AMS!I914="","",AMS!I914)</f>
        <v/>
      </c>
      <c r="G894" s="56" t="str">
        <f>IF(AMS!J914="","",AMS!J914)</f>
        <v/>
      </c>
      <c r="H894" s="22" t="str">
        <f t="array" ref="H894">IF(A894&lt;&gt;" ",IFERROR(INDEX(Summary!$G$3:$G$1000,SMALL((Summary!$G$3:$G$1000="")/0.1%+ROW($3:$1000),ROW()-2)-2)&amp;"",""),"")</f>
        <v/>
      </c>
      <c r="I894" s="22" t="str">
        <f t="shared" si="54"/>
        <v/>
      </c>
      <c r="J894" s="22" t="str">
        <f t="shared" si="55"/>
        <v/>
      </c>
    </row>
    <row r="895" spans="1:10">
      <c r="A895" s="56" t="str">
        <f>IF(AMS!H915="","",AMS!H915)</f>
        <v/>
      </c>
      <c r="B895" s="22" t="str">
        <f t="shared" si="52"/>
        <v/>
      </c>
      <c r="C895" s="22" t="str">
        <f t="array" ref="C895">IFERROR(INDEX(Summary!$I$3:$I$1000,SMALL((Summary!$I$3:$I$1000="")/0.1%+ROW($3:$1000),ROW()-2)-2)&amp;"","")</f>
        <v/>
      </c>
      <c r="D895" s="22" t="str">
        <v/>
      </c>
      <c r="E895" s="22" t="str">
        <f t="shared" si="53"/>
        <v/>
      </c>
      <c r="F895" s="56" t="str">
        <f>IF(AMS!I915="","",AMS!I915)</f>
        <v/>
      </c>
      <c r="G895" s="56" t="str">
        <f>IF(AMS!J915="","",AMS!J915)</f>
        <v/>
      </c>
      <c r="H895" s="22" t="str">
        <f t="array" ref="H895">IF(A895&lt;&gt;" ",IFERROR(INDEX(Summary!$G$3:$G$1000,SMALL((Summary!$G$3:$G$1000="")/0.1%+ROW($3:$1000),ROW()-2)-2)&amp;"",""),"")</f>
        <v/>
      </c>
      <c r="I895" s="22" t="str">
        <f t="shared" si="54"/>
        <v/>
      </c>
      <c r="J895" s="22" t="str">
        <f t="shared" si="55"/>
        <v/>
      </c>
    </row>
    <row r="896" spans="1:10">
      <c r="A896" s="56" t="str">
        <f>IF(AMS!H916="","",AMS!H916)</f>
        <v/>
      </c>
      <c r="B896" s="22" t="str">
        <f t="shared" si="52"/>
        <v/>
      </c>
      <c r="C896" s="22" t="str">
        <f t="array" ref="C896">IFERROR(INDEX(Summary!$I$3:$I$1000,SMALL((Summary!$I$3:$I$1000="")/0.1%+ROW($3:$1000),ROW()-2)-2)&amp;"","")</f>
        <v/>
      </c>
      <c r="D896" s="22" t="str">
        <v/>
      </c>
      <c r="E896" s="22" t="str">
        <f t="shared" si="53"/>
        <v/>
      </c>
      <c r="F896" s="56" t="str">
        <f>IF(AMS!I916="","",AMS!I916)</f>
        <v/>
      </c>
      <c r="G896" s="56" t="str">
        <f>IF(AMS!J916="","",AMS!J916)</f>
        <v/>
      </c>
      <c r="H896" s="22" t="str">
        <f t="array" ref="H896">IF(A896&lt;&gt;" ",IFERROR(INDEX(Summary!$G$3:$G$1000,SMALL((Summary!$G$3:$G$1000="")/0.1%+ROW($3:$1000),ROW()-2)-2)&amp;"",""),"")</f>
        <v/>
      </c>
      <c r="I896" s="22" t="str">
        <f t="shared" si="54"/>
        <v/>
      </c>
      <c r="J896" s="22" t="str">
        <f t="shared" si="55"/>
        <v/>
      </c>
    </row>
    <row r="897" spans="1:10">
      <c r="A897" s="56" t="str">
        <f>IF(AMS!H917="","",AMS!H917)</f>
        <v/>
      </c>
      <c r="B897" s="22" t="str">
        <f t="shared" si="52"/>
        <v/>
      </c>
      <c r="C897" s="22" t="str">
        <f t="array" ref="C897">IFERROR(INDEX(Summary!$I$3:$I$1000,SMALL((Summary!$I$3:$I$1000="")/0.1%+ROW($3:$1000),ROW()-2)-2)&amp;"","")</f>
        <v/>
      </c>
      <c r="D897" s="22" t="str">
        <v/>
      </c>
      <c r="E897" s="22" t="str">
        <f t="shared" si="53"/>
        <v/>
      </c>
      <c r="F897" s="56" t="str">
        <f>IF(AMS!I917="","",AMS!I917)</f>
        <v/>
      </c>
      <c r="G897" s="56" t="str">
        <f>IF(AMS!J917="","",AMS!J917)</f>
        <v/>
      </c>
      <c r="H897" s="22" t="str">
        <f t="array" ref="H897">IF(A897&lt;&gt;" ",IFERROR(INDEX(Summary!$G$3:$G$1000,SMALL((Summary!$G$3:$G$1000="")/0.1%+ROW($3:$1000),ROW()-2)-2)&amp;"",""),"")</f>
        <v/>
      </c>
      <c r="I897" s="22" t="str">
        <f t="shared" si="54"/>
        <v/>
      </c>
      <c r="J897" s="22" t="str">
        <f t="shared" si="55"/>
        <v/>
      </c>
    </row>
    <row r="898" spans="1:10">
      <c r="A898" s="56" t="str">
        <f>IF(AMS!H918="","",AMS!H918)</f>
        <v/>
      </c>
      <c r="B898" s="22" t="str">
        <f t="shared" si="52"/>
        <v/>
      </c>
      <c r="C898" s="22" t="str">
        <f t="array" ref="C898">IFERROR(INDEX(Summary!$I$3:$I$1000,SMALL((Summary!$I$3:$I$1000="")/0.1%+ROW($3:$1000),ROW()-2)-2)&amp;"","")</f>
        <v/>
      </c>
      <c r="D898" s="22" t="str">
        <v/>
      </c>
      <c r="E898" s="22" t="str">
        <f t="shared" si="53"/>
        <v/>
      </c>
      <c r="F898" s="56" t="str">
        <f>IF(AMS!I918="","",AMS!I918)</f>
        <v/>
      </c>
      <c r="G898" s="56" t="str">
        <f>IF(AMS!J918="","",AMS!J918)</f>
        <v/>
      </c>
      <c r="H898" s="22" t="str">
        <f t="array" ref="H898">IF(A898&lt;&gt;" ",IFERROR(INDEX(Summary!$G$3:$G$1000,SMALL((Summary!$G$3:$G$1000="")/0.1%+ROW($3:$1000),ROW()-2)-2)&amp;"",""),"")</f>
        <v/>
      </c>
      <c r="I898" s="22" t="str">
        <f t="shared" si="54"/>
        <v/>
      </c>
      <c r="J898" s="22" t="str">
        <f t="shared" si="55"/>
        <v/>
      </c>
    </row>
    <row r="899" spans="1:10">
      <c r="A899" s="56" t="str">
        <f>IF(AMS!H919="","",AMS!H919)</f>
        <v/>
      </c>
      <c r="B899" s="22" t="str">
        <f t="shared" ref="B899:B962" si="56">IF(A899&lt;&gt;"",IFERROR(IF(SEARCH(".",A899),LEFT(SUBSTITUTE(A899,".",""),6)),LEFT(SUBSTITUTE(SUBSTITUTE(TRIM(A899)," ","")," ",""),6)),"")</f>
        <v/>
      </c>
      <c r="C899" s="22" t="str">
        <f t="array" ref="C899">IFERROR(INDEX(Summary!$I$3:$I$1000,SMALL((Summary!$I$3:$I$1000="")/0.1%+ROW($3:$1000),ROW()-2)-2)&amp;"","")</f>
        <v/>
      </c>
      <c r="D899" s="22" t="str">
        <v/>
      </c>
      <c r="E899" s="22" t="str">
        <f t="shared" ref="E899:E962" si="57">LEFT(D899,6)</f>
        <v/>
      </c>
      <c r="F899" s="56" t="str">
        <f>IF(AMS!I919="","",AMS!I919)</f>
        <v/>
      </c>
      <c r="G899" s="56" t="str">
        <f>IF(AMS!J919="","",AMS!J919)</f>
        <v/>
      </c>
      <c r="H899" s="22" t="str">
        <f t="array" ref="H899">IF(A899&lt;&gt;" ",IFERROR(INDEX(Summary!$G$3:$G$1000,SMALL((Summary!$G$3:$G$1000="")/0.1%+ROW($3:$1000),ROW()-2)-2)&amp;"",""),"")</f>
        <v/>
      </c>
      <c r="I899" s="22" t="str">
        <f t="shared" ref="I899:I962" si="58">B899&amp;F899</f>
        <v/>
      </c>
      <c r="J899" s="22" t="str">
        <f t="shared" ref="J899:J962" si="59">IF(D899="","",RIGHT(D899,LEN(D899)-6))</f>
        <v/>
      </c>
    </row>
    <row r="900" spans="1:10">
      <c r="A900" s="56" t="str">
        <f>IF(AMS!H920="","",AMS!H920)</f>
        <v/>
      </c>
      <c r="B900" s="22" t="str">
        <f t="shared" si="56"/>
        <v/>
      </c>
      <c r="C900" s="22" t="str">
        <f t="array" ref="C900">IFERROR(INDEX(Summary!$I$3:$I$1000,SMALL((Summary!$I$3:$I$1000="")/0.1%+ROW($3:$1000),ROW()-2)-2)&amp;"","")</f>
        <v/>
      </c>
      <c r="D900" s="22" t="str">
        <v/>
      </c>
      <c r="E900" s="22" t="str">
        <f t="shared" si="57"/>
        <v/>
      </c>
      <c r="F900" s="56" t="str">
        <f>IF(AMS!I920="","",AMS!I920)</f>
        <v/>
      </c>
      <c r="G900" s="56" t="str">
        <f>IF(AMS!J920="","",AMS!J920)</f>
        <v/>
      </c>
      <c r="H900" s="22" t="str">
        <f t="array" ref="H900">IF(A900&lt;&gt;" ",IFERROR(INDEX(Summary!$G$3:$G$1000,SMALL((Summary!$G$3:$G$1000="")/0.1%+ROW($3:$1000),ROW()-2)-2)&amp;"",""),"")</f>
        <v/>
      </c>
      <c r="I900" s="22" t="str">
        <f t="shared" si="58"/>
        <v/>
      </c>
      <c r="J900" s="22" t="str">
        <f t="shared" si="59"/>
        <v/>
      </c>
    </row>
    <row r="901" spans="1:10">
      <c r="A901" s="56" t="str">
        <f>IF(AMS!H921="","",AMS!H921)</f>
        <v/>
      </c>
      <c r="B901" s="22" t="str">
        <f t="shared" si="56"/>
        <v/>
      </c>
      <c r="C901" s="22" t="str">
        <f t="array" ref="C901">IFERROR(INDEX(Summary!$I$3:$I$1000,SMALL((Summary!$I$3:$I$1000="")/0.1%+ROW($3:$1000),ROW()-2)-2)&amp;"","")</f>
        <v/>
      </c>
      <c r="D901" s="22" t="str">
        <v/>
      </c>
      <c r="E901" s="22" t="str">
        <f t="shared" si="57"/>
        <v/>
      </c>
      <c r="F901" s="56" t="str">
        <f>IF(AMS!I921="","",AMS!I921)</f>
        <v/>
      </c>
      <c r="G901" s="56" t="str">
        <f>IF(AMS!J921="","",AMS!J921)</f>
        <v/>
      </c>
      <c r="H901" s="22" t="str">
        <f t="array" ref="H901">IF(A901&lt;&gt;" ",IFERROR(INDEX(Summary!$G$3:$G$1000,SMALL((Summary!$G$3:$G$1000="")/0.1%+ROW($3:$1000),ROW()-2)-2)&amp;"",""),"")</f>
        <v/>
      </c>
      <c r="I901" s="22" t="str">
        <f t="shared" si="58"/>
        <v/>
      </c>
      <c r="J901" s="22" t="str">
        <f t="shared" si="59"/>
        <v/>
      </c>
    </row>
    <row r="902" spans="1:10">
      <c r="A902" s="56" t="str">
        <f>IF(AMS!H922="","",AMS!H922)</f>
        <v/>
      </c>
      <c r="B902" s="22" t="str">
        <f t="shared" si="56"/>
        <v/>
      </c>
      <c r="C902" s="22" t="str">
        <f t="array" ref="C902">IFERROR(INDEX(Summary!$I$3:$I$1000,SMALL((Summary!$I$3:$I$1000="")/0.1%+ROW($3:$1000),ROW()-2)-2)&amp;"","")</f>
        <v/>
      </c>
      <c r="D902" s="22" t="str">
        <v/>
      </c>
      <c r="E902" s="22" t="str">
        <f t="shared" si="57"/>
        <v/>
      </c>
      <c r="F902" s="56" t="str">
        <f>IF(AMS!I922="","",AMS!I922)</f>
        <v/>
      </c>
      <c r="G902" s="56" t="str">
        <f>IF(AMS!J922="","",AMS!J922)</f>
        <v/>
      </c>
      <c r="H902" s="22" t="str">
        <f t="array" ref="H902">IF(A902&lt;&gt;" ",IFERROR(INDEX(Summary!$G$3:$G$1000,SMALL((Summary!$G$3:$G$1000="")/0.1%+ROW($3:$1000),ROW()-2)-2)&amp;"",""),"")</f>
        <v/>
      </c>
      <c r="I902" s="22" t="str">
        <f t="shared" si="58"/>
        <v/>
      </c>
      <c r="J902" s="22" t="str">
        <f t="shared" si="59"/>
        <v/>
      </c>
    </row>
    <row r="903" spans="1:10">
      <c r="A903" s="56" t="str">
        <f>IF(AMS!H923="","",AMS!H923)</f>
        <v/>
      </c>
      <c r="B903" s="22" t="str">
        <f t="shared" si="56"/>
        <v/>
      </c>
      <c r="C903" s="22" t="str">
        <f t="array" ref="C903">IFERROR(INDEX(Summary!$I$3:$I$1000,SMALL((Summary!$I$3:$I$1000="")/0.1%+ROW($3:$1000),ROW()-2)-2)&amp;"","")</f>
        <v/>
      </c>
      <c r="D903" s="22" t="str">
        <v/>
      </c>
      <c r="E903" s="22" t="str">
        <f t="shared" si="57"/>
        <v/>
      </c>
      <c r="F903" s="56" t="str">
        <f>IF(AMS!I923="","",AMS!I923)</f>
        <v/>
      </c>
      <c r="G903" s="56" t="str">
        <f>IF(AMS!J923="","",AMS!J923)</f>
        <v/>
      </c>
      <c r="H903" s="22" t="str">
        <f t="array" ref="H903">IF(A903&lt;&gt;" ",IFERROR(INDEX(Summary!$G$3:$G$1000,SMALL((Summary!$G$3:$G$1000="")/0.1%+ROW($3:$1000),ROW()-2)-2)&amp;"",""),"")</f>
        <v/>
      </c>
      <c r="I903" s="22" t="str">
        <f t="shared" si="58"/>
        <v/>
      </c>
      <c r="J903" s="22" t="str">
        <f t="shared" si="59"/>
        <v/>
      </c>
    </row>
    <row r="904" spans="1:10">
      <c r="A904" s="56" t="str">
        <f>IF(AMS!H924="","",AMS!H924)</f>
        <v/>
      </c>
      <c r="B904" s="22" t="str">
        <f t="shared" si="56"/>
        <v/>
      </c>
      <c r="C904" s="22" t="str">
        <f t="array" ref="C904">IFERROR(INDEX(Summary!$I$3:$I$1000,SMALL((Summary!$I$3:$I$1000="")/0.1%+ROW($3:$1000),ROW()-2)-2)&amp;"","")</f>
        <v/>
      </c>
      <c r="D904" s="22" t="str">
        <v/>
      </c>
      <c r="E904" s="22" t="str">
        <f t="shared" si="57"/>
        <v/>
      </c>
      <c r="F904" s="56" t="str">
        <f>IF(AMS!I924="","",AMS!I924)</f>
        <v/>
      </c>
      <c r="G904" s="56" t="str">
        <f>IF(AMS!J924="","",AMS!J924)</f>
        <v/>
      </c>
      <c r="H904" s="22" t="str">
        <f t="array" ref="H904">IF(A904&lt;&gt;" ",IFERROR(INDEX(Summary!$G$3:$G$1000,SMALL((Summary!$G$3:$G$1000="")/0.1%+ROW($3:$1000),ROW()-2)-2)&amp;"",""),"")</f>
        <v/>
      </c>
      <c r="I904" s="22" t="str">
        <f t="shared" si="58"/>
        <v/>
      </c>
      <c r="J904" s="22" t="str">
        <f t="shared" si="59"/>
        <v/>
      </c>
    </row>
    <row r="905" spans="1:10">
      <c r="A905" s="56" t="str">
        <f>IF(AMS!H925="","",AMS!H925)</f>
        <v/>
      </c>
      <c r="B905" s="22" t="str">
        <f t="shared" si="56"/>
        <v/>
      </c>
      <c r="C905" s="22" t="str">
        <f t="array" ref="C905">IFERROR(INDEX(Summary!$I$3:$I$1000,SMALL((Summary!$I$3:$I$1000="")/0.1%+ROW($3:$1000),ROW()-2)-2)&amp;"","")</f>
        <v/>
      </c>
      <c r="D905" s="22" t="str">
        <v/>
      </c>
      <c r="E905" s="22" t="str">
        <f t="shared" si="57"/>
        <v/>
      </c>
      <c r="F905" s="56" t="str">
        <f>IF(AMS!I925="","",AMS!I925)</f>
        <v/>
      </c>
      <c r="G905" s="56" t="str">
        <f>IF(AMS!J925="","",AMS!J925)</f>
        <v/>
      </c>
      <c r="H905" s="22" t="str">
        <f t="array" ref="H905">IF(A905&lt;&gt;" ",IFERROR(INDEX(Summary!$G$3:$G$1000,SMALL((Summary!$G$3:$G$1000="")/0.1%+ROW($3:$1000),ROW()-2)-2)&amp;"",""),"")</f>
        <v/>
      </c>
      <c r="I905" s="22" t="str">
        <f t="shared" si="58"/>
        <v/>
      </c>
      <c r="J905" s="22" t="str">
        <f t="shared" si="59"/>
        <v/>
      </c>
    </row>
    <row r="906" spans="1:10">
      <c r="A906" s="56" t="str">
        <f>IF(AMS!H926="","",AMS!H926)</f>
        <v/>
      </c>
      <c r="B906" s="22" t="str">
        <f t="shared" si="56"/>
        <v/>
      </c>
      <c r="C906" s="22" t="str">
        <f t="array" ref="C906">IFERROR(INDEX(Summary!$I$3:$I$1000,SMALL((Summary!$I$3:$I$1000="")/0.1%+ROW($3:$1000),ROW()-2)-2)&amp;"","")</f>
        <v/>
      </c>
      <c r="D906" s="22" t="str">
        <v/>
      </c>
      <c r="E906" s="22" t="str">
        <f t="shared" si="57"/>
        <v/>
      </c>
      <c r="F906" s="56" t="str">
        <f>IF(AMS!I926="","",AMS!I926)</f>
        <v/>
      </c>
      <c r="G906" s="56" t="str">
        <f>IF(AMS!J926="","",AMS!J926)</f>
        <v/>
      </c>
      <c r="H906" s="22" t="str">
        <f t="array" ref="H906">IF(A906&lt;&gt;" ",IFERROR(INDEX(Summary!$G$3:$G$1000,SMALL((Summary!$G$3:$G$1000="")/0.1%+ROW($3:$1000),ROW()-2)-2)&amp;"",""),"")</f>
        <v/>
      </c>
      <c r="I906" s="22" t="str">
        <f t="shared" si="58"/>
        <v/>
      </c>
      <c r="J906" s="22" t="str">
        <f t="shared" si="59"/>
        <v/>
      </c>
    </row>
    <row r="907" spans="1:10">
      <c r="A907" s="56" t="str">
        <f>IF(AMS!H927="","",AMS!H927)</f>
        <v/>
      </c>
      <c r="B907" s="22" t="str">
        <f t="shared" si="56"/>
        <v/>
      </c>
      <c r="C907" s="22" t="str">
        <f t="array" ref="C907">IFERROR(INDEX(Summary!$I$3:$I$1000,SMALL((Summary!$I$3:$I$1000="")/0.1%+ROW($3:$1000),ROW()-2)-2)&amp;"","")</f>
        <v/>
      </c>
      <c r="D907" s="22" t="str">
        <v/>
      </c>
      <c r="E907" s="22" t="str">
        <f t="shared" si="57"/>
        <v/>
      </c>
      <c r="F907" s="56" t="str">
        <f>IF(AMS!I927="","",AMS!I927)</f>
        <v/>
      </c>
      <c r="G907" s="56" t="str">
        <f>IF(AMS!J927="","",AMS!J927)</f>
        <v/>
      </c>
      <c r="H907" s="22" t="str">
        <f t="array" ref="H907">IF(A907&lt;&gt;" ",IFERROR(INDEX(Summary!$G$3:$G$1000,SMALL((Summary!$G$3:$G$1000="")/0.1%+ROW($3:$1000),ROW()-2)-2)&amp;"",""),"")</f>
        <v/>
      </c>
      <c r="I907" s="22" t="str">
        <f t="shared" si="58"/>
        <v/>
      </c>
      <c r="J907" s="22" t="str">
        <f t="shared" si="59"/>
        <v/>
      </c>
    </row>
    <row r="908" spans="1:10">
      <c r="A908" s="56" t="str">
        <f>IF(AMS!H928="","",AMS!H928)</f>
        <v/>
      </c>
      <c r="B908" s="22" t="str">
        <f t="shared" si="56"/>
        <v/>
      </c>
      <c r="C908" s="22" t="str">
        <f t="array" ref="C908">IFERROR(INDEX(Summary!$I$3:$I$1000,SMALL((Summary!$I$3:$I$1000="")/0.1%+ROW($3:$1000),ROW()-2)-2)&amp;"","")</f>
        <v/>
      </c>
      <c r="D908" s="22" t="str">
        <v/>
      </c>
      <c r="E908" s="22" t="str">
        <f t="shared" si="57"/>
        <v/>
      </c>
      <c r="F908" s="56" t="str">
        <f>IF(AMS!I928="","",AMS!I928)</f>
        <v/>
      </c>
      <c r="G908" s="56" t="str">
        <f>IF(AMS!J928="","",AMS!J928)</f>
        <v/>
      </c>
      <c r="H908" s="22" t="str">
        <f t="array" ref="H908">IF(A908&lt;&gt;" ",IFERROR(INDEX(Summary!$G$3:$G$1000,SMALL((Summary!$G$3:$G$1000="")/0.1%+ROW($3:$1000),ROW()-2)-2)&amp;"",""),"")</f>
        <v/>
      </c>
      <c r="I908" s="22" t="str">
        <f t="shared" si="58"/>
        <v/>
      </c>
      <c r="J908" s="22" t="str">
        <f t="shared" si="59"/>
        <v/>
      </c>
    </row>
    <row r="909" spans="1:10">
      <c r="A909" s="56" t="str">
        <f>IF(AMS!H929="","",AMS!H929)</f>
        <v/>
      </c>
      <c r="B909" s="22" t="str">
        <f t="shared" si="56"/>
        <v/>
      </c>
      <c r="C909" s="22" t="str">
        <f t="array" ref="C909">IFERROR(INDEX(Summary!$I$3:$I$1000,SMALL((Summary!$I$3:$I$1000="")/0.1%+ROW($3:$1000),ROW()-2)-2)&amp;"","")</f>
        <v/>
      </c>
      <c r="D909" s="22" t="str">
        <v/>
      </c>
      <c r="E909" s="22" t="str">
        <f t="shared" si="57"/>
        <v/>
      </c>
      <c r="F909" s="56" t="str">
        <f>IF(AMS!I929="","",AMS!I929)</f>
        <v/>
      </c>
      <c r="G909" s="56" t="str">
        <f>IF(AMS!J929="","",AMS!J929)</f>
        <v/>
      </c>
      <c r="H909" s="22" t="str">
        <f t="array" ref="H909">IF(A909&lt;&gt;" ",IFERROR(INDEX(Summary!$G$3:$G$1000,SMALL((Summary!$G$3:$G$1000="")/0.1%+ROW($3:$1000),ROW()-2)-2)&amp;"",""),"")</f>
        <v/>
      </c>
      <c r="I909" s="22" t="str">
        <f t="shared" si="58"/>
        <v/>
      </c>
      <c r="J909" s="22" t="str">
        <f t="shared" si="59"/>
        <v/>
      </c>
    </row>
    <row r="910" spans="1:10">
      <c r="A910" s="56" t="str">
        <f>IF(AMS!H930="","",AMS!H930)</f>
        <v/>
      </c>
      <c r="B910" s="22" t="str">
        <f t="shared" si="56"/>
        <v/>
      </c>
      <c r="C910" s="22" t="str">
        <f t="array" ref="C910">IFERROR(INDEX(Summary!$I$3:$I$1000,SMALL((Summary!$I$3:$I$1000="")/0.1%+ROW($3:$1000),ROW()-2)-2)&amp;"","")</f>
        <v/>
      </c>
      <c r="D910" s="22" t="str">
        <v/>
      </c>
      <c r="E910" s="22" t="str">
        <f t="shared" si="57"/>
        <v/>
      </c>
      <c r="F910" s="56" t="str">
        <f>IF(AMS!I930="","",AMS!I930)</f>
        <v/>
      </c>
      <c r="G910" s="56" t="str">
        <f>IF(AMS!J930="","",AMS!J930)</f>
        <v/>
      </c>
      <c r="H910" s="22" t="str">
        <f t="array" ref="H910">IF(A910&lt;&gt;" ",IFERROR(INDEX(Summary!$G$3:$G$1000,SMALL((Summary!$G$3:$G$1000="")/0.1%+ROW($3:$1000),ROW()-2)-2)&amp;"",""),"")</f>
        <v/>
      </c>
      <c r="I910" s="22" t="str">
        <f t="shared" si="58"/>
        <v/>
      </c>
      <c r="J910" s="22" t="str">
        <f t="shared" si="59"/>
        <v/>
      </c>
    </row>
    <row r="911" spans="1:10">
      <c r="A911" s="56" t="str">
        <f>IF(AMS!H931="","",AMS!H931)</f>
        <v/>
      </c>
      <c r="B911" s="22" t="str">
        <f t="shared" si="56"/>
        <v/>
      </c>
      <c r="C911" s="22" t="str">
        <f t="array" ref="C911">IFERROR(INDEX(Summary!$I$3:$I$1000,SMALL((Summary!$I$3:$I$1000="")/0.1%+ROW($3:$1000),ROW()-2)-2)&amp;"","")</f>
        <v/>
      </c>
      <c r="D911" s="22" t="str">
        <v/>
      </c>
      <c r="E911" s="22" t="str">
        <f t="shared" si="57"/>
        <v/>
      </c>
      <c r="F911" s="56" t="str">
        <f>IF(AMS!I931="","",AMS!I931)</f>
        <v/>
      </c>
      <c r="G911" s="56" t="str">
        <f>IF(AMS!J931="","",AMS!J931)</f>
        <v/>
      </c>
      <c r="H911" s="22" t="str">
        <f t="array" ref="H911">IF(A911&lt;&gt;" ",IFERROR(INDEX(Summary!$G$3:$G$1000,SMALL((Summary!$G$3:$G$1000="")/0.1%+ROW($3:$1000),ROW()-2)-2)&amp;"",""),"")</f>
        <v/>
      </c>
      <c r="I911" s="22" t="str">
        <f t="shared" si="58"/>
        <v/>
      </c>
      <c r="J911" s="22" t="str">
        <f t="shared" si="59"/>
        <v/>
      </c>
    </row>
    <row r="912" spans="1:10">
      <c r="A912" s="56" t="str">
        <f>IF(AMS!H932="","",AMS!H932)</f>
        <v/>
      </c>
      <c r="B912" s="22" t="str">
        <f t="shared" si="56"/>
        <v/>
      </c>
      <c r="C912" s="22" t="str">
        <f t="array" ref="C912">IFERROR(INDEX(Summary!$I$3:$I$1000,SMALL((Summary!$I$3:$I$1000="")/0.1%+ROW($3:$1000),ROW()-2)-2)&amp;"","")</f>
        <v/>
      </c>
      <c r="D912" s="22" t="str">
        <v/>
      </c>
      <c r="E912" s="22" t="str">
        <f t="shared" si="57"/>
        <v/>
      </c>
      <c r="F912" s="56" t="str">
        <f>IF(AMS!I932="","",AMS!I932)</f>
        <v/>
      </c>
      <c r="G912" s="56" t="str">
        <f>IF(AMS!J932="","",AMS!J932)</f>
        <v/>
      </c>
      <c r="H912" s="22" t="str">
        <f t="array" ref="H912">IF(A912&lt;&gt;" ",IFERROR(INDEX(Summary!$G$3:$G$1000,SMALL((Summary!$G$3:$G$1000="")/0.1%+ROW($3:$1000),ROW()-2)-2)&amp;"",""),"")</f>
        <v/>
      </c>
      <c r="I912" s="22" t="str">
        <f t="shared" si="58"/>
        <v/>
      </c>
      <c r="J912" s="22" t="str">
        <f t="shared" si="59"/>
        <v/>
      </c>
    </row>
    <row r="913" spans="1:10">
      <c r="A913" s="56" t="str">
        <f>IF(AMS!H933="","",AMS!H933)</f>
        <v/>
      </c>
      <c r="B913" s="22" t="str">
        <f t="shared" si="56"/>
        <v/>
      </c>
      <c r="C913" s="22" t="str">
        <f t="array" ref="C913">IFERROR(INDEX(Summary!$I$3:$I$1000,SMALL((Summary!$I$3:$I$1000="")/0.1%+ROW($3:$1000),ROW()-2)-2)&amp;"","")</f>
        <v/>
      </c>
      <c r="D913" s="22" t="str">
        <v/>
      </c>
      <c r="E913" s="22" t="str">
        <f t="shared" si="57"/>
        <v/>
      </c>
      <c r="F913" s="56" t="str">
        <f>IF(AMS!I933="","",AMS!I933)</f>
        <v/>
      </c>
      <c r="G913" s="56" t="str">
        <f>IF(AMS!J933="","",AMS!J933)</f>
        <v/>
      </c>
      <c r="H913" s="22" t="str">
        <f t="array" ref="H913">IF(A913&lt;&gt;" ",IFERROR(INDEX(Summary!$G$3:$G$1000,SMALL((Summary!$G$3:$G$1000="")/0.1%+ROW($3:$1000),ROW()-2)-2)&amp;"",""),"")</f>
        <v/>
      </c>
      <c r="I913" s="22" t="str">
        <f t="shared" si="58"/>
        <v/>
      </c>
      <c r="J913" s="22" t="str">
        <f t="shared" si="59"/>
        <v/>
      </c>
    </row>
    <row r="914" spans="1:10">
      <c r="A914" s="56" t="str">
        <f>IF(AMS!H934="","",AMS!H934)</f>
        <v/>
      </c>
      <c r="B914" s="22" t="str">
        <f t="shared" si="56"/>
        <v/>
      </c>
      <c r="C914" s="22" t="str">
        <f t="array" ref="C914">IFERROR(INDEX(Summary!$I$3:$I$1000,SMALL((Summary!$I$3:$I$1000="")/0.1%+ROW($3:$1000),ROW()-2)-2)&amp;"","")</f>
        <v/>
      </c>
      <c r="D914" s="22" t="str">
        <v/>
      </c>
      <c r="E914" s="22" t="str">
        <f t="shared" si="57"/>
        <v/>
      </c>
      <c r="F914" s="56" t="str">
        <f>IF(AMS!I934="","",AMS!I934)</f>
        <v/>
      </c>
      <c r="G914" s="56" t="str">
        <f>IF(AMS!J934="","",AMS!J934)</f>
        <v/>
      </c>
      <c r="H914" s="22" t="str">
        <f t="array" ref="H914">IF(A914&lt;&gt;" ",IFERROR(INDEX(Summary!$G$3:$G$1000,SMALL((Summary!$G$3:$G$1000="")/0.1%+ROW($3:$1000),ROW()-2)-2)&amp;"",""),"")</f>
        <v/>
      </c>
      <c r="I914" s="22" t="str">
        <f t="shared" si="58"/>
        <v/>
      </c>
      <c r="J914" s="22" t="str">
        <f t="shared" si="59"/>
        <v/>
      </c>
    </row>
    <row r="915" spans="1:10">
      <c r="A915" s="56" t="str">
        <f>IF(AMS!H935="","",AMS!H935)</f>
        <v/>
      </c>
      <c r="B915" s="22" t="str">
        <f t="shared" si="56"/>
        <v/>
      </c>
      <c r="C915" s="22" t="str">
        <f t="array" ref="C915">IFERROR(INDEX(Summary!$I$3:$I$1000,SMALL((Summary!$I$3:$I$1000="")/0.1%+ROW($3:$1000),ROW()-2)-2)&amp;"","")</f>
        <v/>
      </c>
      <c r="D915" s="22" t="str">
        <v/>
      </c>
      <c r="E915" s="22" t="str">
        <f t="shared" si="57"/>
        <v/>
      </c>
      <c r="F915" s="56" t="str">
        <f>IF(AMS!I935="","",AMS!I935)</f>
        <v/>
      </c>
      <c r="G915" s="56" t="str">
        <f>IF(AMS!J935="","",AMS!J935)</f>
        <v/>
      </c>
      <c r="H915" s="22" t="str">
        <f t="array" ref="H915">IF(A915&lt;&gt;" ",IFERROR(INDEX(Summary!$G$3:$G$1000,SMALL((Summary!$G$3:$G$1000="")/0.1%+ROW($3:$1000),ROW()-2)-2)&amp;"",""),"")</f>
        <v/>
      </c>
      <c r="I915" s="22" t="str">
        <f t="shared" si="58"/>
        <v/>
      </c>
      <c r="J915" s="22" t="str">
        <f t="shared" si="59"/>
        <v/>
      </c>
    </row>
    <row r="916" spans="1:10">
      <c r="A916" s="56" t="str">
        <f>IF(AMS!H936="","",AMS!H936)</f>
        <v/>
      </c>
      <c r="B916" s="22" t="str">
        <f t="shared" si="56"/>
        <v/>
      </c>
      <c r="C916" s="22" t="str">
        <f t="array" ref="C916">IFERROR(INDEX(Summary!$I$3:$I$1000,SMALL((Summary!$I$3:$I$1000="")/0.1%+ROW($3:$1000),ROW()-2)-2)&amp;"","")</f>
        <v/>
      </c>
      <c r="D916" s="22" t="str">
        <v/>
      </c>
      <c r="E916" s="22" t="str">
        <f t="shared" si="57"/>
        <v/>
      </c>
      <c r="F916" s="56" t="str">
        <f>IF(AMS!I936="","",AMS!I936)</f>
        <v/>
      </c>
      <c r="G916" s="56" t="str">
        <f>IF(AMS!J936="","",AMS!J936)</f>
        <v/>
      </c>
      <c r="H916" s="22" t="str">
        <f t="array" ref="H916">IF(A916&lt;&gt;" ",IFERROR(INDEX(Summary!$G$3:$G$1000,SMALL((Summary!$G$3:$G$1000="")/0.1%+ROW($3:$1000),ROW()-2)-2)&amp;"",""),"")</f>
        <v/>
      </c>
      <c r="I916" s="22" t="str">
        <f t="shared" si="58"/>
        <v/>
      </c>
      <c r="J916" s="22" t="str">
        <f t="shared" si="59"/>
        <v/>
      </c>
    </row>
    <row r="917" spans="1:10">
      <c r="A917" s="56" t="str">
        <f>IF(AMS!H937="","",AMS!H937)</f>
        <v/>
      </c>
      <c r="B917" s="22" t="str">
        <f t="shared" si="56"/>
        <v/>
      </c>
      <c r="C917" s="22" t="str">
        <f t="array" ref="C917">IFERROR(INDEX(Summary!$I$3:$I$1000,SMALL((Summary!$I$3:$I$1000="")/0.1%+ROW($3:$1000),ROW()-2)-2)&amp;"","")</f>
        <v/>
      </c>
      <c r="D917" s="22" t="str">
        <v/>
      </c>
      <c r="E917" s="22" t="str">
        <f t="shared" si="57"/>
        <v/>
      </c>
      <c r="F917" s="56" t="str">
        <f>IF(AMS!I937="","",AMS!I937)</f>
        <v/>
      </c>
      <c r="G917" s="56" t="str">
        <f>IF(AMS!J937="","",AMS!J937)</f>
        <v/>
      </c>
      <c r="H917" s="22" t="str">
        <f t="array" ref="H917">IF(A917&lt;&gt;" ",IFERROR(INDEX(Summary!$G$3:$G$1000,SMALL((Summary!$G$3:$G$1000="")/0.1%+ROW($3:$1000),ROW()-2)-2)&amp;"",""),"")</f>
        <v/>
      </c>
      <c r="I917" s="22" t="str">
        <f t="shared" si="58"/>
        <v/>
      </c>
      <c r="J917" s="22" t="str">
        <f t="shared" si="59"/>
        <v/>
      </c>
    </row>
    <row r="918" spans="1:10">
      <c r="A918" s="56" t="str">
        <f>IF(AMS!H938="","",AMS!H938)</f>
        <v/>
      </c>
      <c r="B918" s="22" t="str">
        <f t="shared" si="56"/>
        <v/>
      </c>
      <c r="C918" s="22" t="str">
        <f t="array" ref="C918">IFERROR(INDEX(Summary!$I$3:$I$1000,SMALL((Summary!$I$3:$I$1000="")/0.1%+ROW($3:$1000),ROW()-2)-2)&amp;"","")</f>
        <v/>
      </c>
      <c r="D918" s="22" t="str">
        <v/>
      </c>
      <c r="E918" s="22" t="str">
        <f t="shared" si="57"/>
        <v/>
      </c>
      <c r="F918" s="56" t="str">
        <f>IF(AMS!I938="","",AMS!I938)</f>
        <v/>
      </c>
      <c r="G918" s="56" t="str">
        <f>IF(AMS!J938="","",AMS!J938)</f>
        <v/>
      </c>
      <c r="H918" s="22" t="str">
        <f t="array" ref="H918">IF(A918&lt;&gt;" ",IFERROR(INDEX(Summary!$G$3:$G$1000,SMALL((Summary!$G$3:$G$1000="")/0.1%+ROW($3:$1000),ROW()-2)-2)&amp;"",""),"")</f>
        <v/>
      </c>
      <c r="I918" s="22" t="str">
        <f t="shared" si="58"/>
        <v/>
      </c>
      <c r="J918" s="22" t="str">
        <f t="shared" si="59"/>
        <v/>
      </c>
    </row>
    <row r="919" spans="1:10">
      <c r="A919" s="56" t="str">
        <f>IF(AMS!H939="","",AMS!H939)</f>
        <v/>
      </c>
      <c r="B919" s="22" t="str">
        <f t="shared" si="56"/>
        <v/>
      </c>
      <c r="C919" s="22" t="str">
        <f t="array" ref="C919">IFERROR(INDEX(Summary!$I$3:$I$1000,SMALL((Summary!$I$3:$I$1000="")/0.1%+ROW($3:$1000),ROW()-2)-2)&amp;"","")</f>
        <v/>
      </c>
      <c r="D919" s="22" t="str">
        <v/>
      </c>
      <c r="E919" s="22" t="str">
        <f t="shared" si="57"/>
        <v/>
      </c>
      <c r="F919" s="56" t="str">
        <f>IF(AMS!I939="","",AMS!I939)</f>
        <v/>
      </c>
      <c r="G919" s="56" t="str">
        <f>IF(AMS!J939="","",AMS!J939)</f>
        <v/>
      </c>
      <c r="H919" s="22" t="str">
        <f t="array" ref="H919">IF(A919&lt;&gt;" ",IFERROR(INDEX(Summary!$G$3:$G$1000,SMALL((Summary!$G$3:$G$1000="")/0.1%+ROW($3:$1000),ROW()-2)-2)&amp;"",""),"")</f>
        <v/>
      </c>
      <c r="I919" s="22" t="str">
        <f t="shared" si="58"/>
        <v/>
      </c>
      <c r="J919" s="22" t="str">
        <f t="shared" si="59"/>
        <v/>
      </c>
    </row>
    <row r="920" spans="1:10">
      <c r="A920" s="56" t="str">
        <f>IF(AMS!H940="","",AMS!H940)</f>
        <v/>
      </c>
      <c r="B920" s="22" t="str">
        <f t="shared" si="56"/>
        <v/>
      </c>
      <c r="C920" s="22" t="str">
        <f t="array" ref="C920">IFERROR(INDEX(Summary!$I$3:$I$1000,SMALL((Summary!$I$3:$I$1000="")/0.1%+ROW($3:$1000),ROW()-2)-2)&amp;"","")</f>
        <v/>
      </c>
      <c r="D920" s="22" t="str">
        <v/>
      </c>
      <c r="E920" s="22" t="str">
        <f t="shared" si="57"/>
        <v/>
      </c>
      <c r="F920" s="56" t="str">
        <f>IF(AMS!I940="","",AMS!I940)</f>
        <v/>
      </c>
      <c r="G920" s="56" t="str">
        <f>IF(AMS!J940="","",AMS!J940)</f>
        <v/>
      </c>
      <c r="H920" s="22" t="str">
        <f t="array" ref="H920">IF(A920&lt;&gt;" ",IFERROR(INDEX(Summary!$G$3:$G$1000,SMALL((Summary!$G$3:$G$1000="")/0.1%+ROW($3:$1000),ROW()-2)-2)&amp;"",""),"")</f>
        <v/>
      </c>
      <c r="I920" s="22" t="str">
        <f t="shared" si="58"/>
        <v/>
      </c>
      <c r="J920" s="22" t="str">
        <f t="shared" si="59"/>
        <v/>
      </c>
    </row>
    <row r="921" spans="1:10">
      <c r="A921" s="56" t="str">
        <f>IF(AMS!H941="","",AMS!H941)</f>
        <v/>
      </c>
      <c r="B921" s="22" t="str">
        <f t="shared" si="56"/>
        <v/>
      </c>
      <c r="C921" s="22" t="str">
        <f t="array" ref="C921">IFERROR(INDEX(Summary!$I$3:$I$1000,SMALL((Summary!$I$3:$I$1000="")/0.1%+ROW($3:$1000),ROW()-2)-2)&amp;"","")</f>
        <v/>
      </c>
      <c r="D921" s="22" t="str">
        <v/>
      </c>
      <c r="E921" s="22" t="str">
        <f t="shared" si="57"/>
        <v/>
      </c>
      <c r="F921" s="56" t="str">
        <f>IF(AMS!I941="","",AMS!I941)</f>
        <v/>
      </c>
      <c r="G921" s="56" t="str">
        <f>IF(AMS!J941="","",AMS!J941)</f>
        <v/>
      </c>
      <c r="H921" s="22" t="str">
        <f t="array" ref="H921">IF(A921&lt;&gt;" ",IFERROR(INDEX(Summary!$G$3:$G$1000,SMALL((Summary!$G$3:$G$1000="")/0.1%+ROW($3:$1000),ROW()-2)-2)&amp;"",""),"")</f>
        <v/>
      </c>
      <c r="I921" s="22" t="str">
        <f t="shared" si="58"/>
        <v/>
      </c>
      <c r="J921" s="22" t="str">
        <f t="shared" si="59"/>
        <v/>
      </c>
    </row>
    <row r="922" spans="1:10">
      <c r="A922" s="56" t="str">
        <f>IF(AMS!H942="","",AMS!H942)</f>
        <v/>
      </c>
      <c r="B922" s="22" t="str">
        <f t="shared" si="56"/>
        <v/>
      </c>
      <c r="C922" s="22" t="str">
        <f t="array" ref="C922">IFERROR(INDEX(Summary!$I$3:$I$1000,SMALL((Summary!$I$3:$I$1000="")/0.1%+ROW($3:$1000),ROW()-2)-2)&amp;"","")</f>
        <v/>
      </c>
      <c r="D922" s="22" t="str">
        <v/>
      </c>
      <c r="E922" s="22" t="str">
        <f t="shared" si="57"/>
        <v/>
      </c>
      <c r="F922" s="56" t="str">
        <f>IF(AMS!I942="","",AMS!I942)</f>
        <v/>
      </c>
      <c r="G922" s="56" t="str">
        <f>IF(AMS!J942="","",AMS!J942)</f>
        <v/>
      </c>
      <c r="H922" s="22" t="str">
        <f t="array" ref="H922">IF(A922&lt;&gt;" ",IFERROR(INDEX(Summary!$G$3:$G$1000,SMALL((Summary!$G$3:$G$1000="")/0.1%+ROW($3:$1000),ROW()-2)-2)&amp;"",""),"")</f>
        <v/>
      </c>
      <c r="I922" s="22" t="str">
        <f t="shared" si="58"/>
        <v/>
      </c>
      <c r="J922" s="22" t="str">
        <f t="shared" si="59"/>
        <v/>
      </c>
    </row>
    <row r="923" spans="1:10">
      <c r="A923" s="56" t="str">
        <f>IF(AMS!H943="","",AMS!H943)</f>
        <v/>
      </c>
      <c r="B923" s="22" t="str">
        <f t="shared" si="56"/>
        <v/>
      </c>
      <c r="C923" s="22" t="str">
        <f t="array" ref="C923">IFERROR(INDEX(Summary!$I$3:$I$1000,SMALL((Summary!$I$3:$I$1000="")/0.1%+ROW($3:$1000),ROW()-2)-2)&amp;"","")</f>
        <v/>
      </c>
      <c r="D923" s="22" t="str">
        <v/>
      </c>
      <c r="E923" s="22" t="str">
        <f t="shared" si="57"/>
        <v/>
      </c>
      <c r="F923" s="56" t="str">
        <f>IF(AMS!I943="","",AMS!I943)</f>
        <v/>
      </c>
      <c r="G923" s="56" t="str">
        <f>IF(AMS!J943="","",AMS!J943)</f>
        <v/>
      </c>
      <c r="H923" s="22" t="str">
        <f t="array" ref="H923">IF(A923&lt;&gt;" ",IFERROR(INDEX(Summary!$G$3:$G$1000,SMALL((Summary!$G$3:$G$1000="")/0.1%+ROW($3:$1000),ROW()-2)-2)&amp;"",""),"")</f>
        <v/>
      </c>
      <c r="I923" s="22" t="str">
        <f t="shared" si="58"/>
        <v/>
      </c>
      <c r="J923" s="22" t="str">
        <f t="shared" si="59"/>
        <v/>
      </c>
    </row>
    <row r="924" spans="1:10">
      <c r="A924" s="56" t="str">
        <f>IF(AMS!H944="","",AMS!H944)</f>
        <v/>
      </c>
      <c r="B924" s="22" t="str">
        <f t="shared" si="56"/>
        <v/>
      </c>
      <c r="C924" s="22" t="str">
        <f t="array" ref="C924">IFERROR(INDEX(Summary!$I$3:$I$1000,SMALL((Summary!$I$3:$I$1000="")/0.1%+ROW($3:$1000),ROW()-2)-2)&amp;"","")</f>
        <v/>
      </c>
      <c r="D924" s="22" t="str">
        <v/>
      </c>
      <c r="E924" s="22" t="str">
        <f t="shared" si="57"/>
        <v/>
      </c>
      <c r="F924" s="56" t="str">
        <f>IF(AMS!I944="","",AMS!I944)</f>
        <v/>
      </c>
      <c r="G924" s="56" t="str">
        <f>IF(AMS!J944="","",AMS!J944)</f>
        <v/>
      </c>
      <c r="H924" s="22" t="str">
        <f t="array" ref="H924">IF(A924&lt;&gt;" ",IFERROR(INDEX(Summary!$G$3:$G$1000,SMALL((Summary!$G$3:$G$1000="")/0.1%+ROW($3:$1000),ROW()-2)-2)&amp;"",""),"")</f>
        <v/>
      </c>
      <c r="I924" s="22" t="str">
        <f t="shared" si="58"/>
        <v/>
      </c>
      <c r="J924" s="22" t="str">
        <f t="shared" si="59"/>
        <v/>
      </c>
    </row>
    <row r="925" spans="1:10">
      <c r="A925" s="56" t="str">
        <f>IF(AMS!H945="","",AMS!H945)</f>
        <v/>
      </c>
      <c r="B925" s="22" t="str">
        <f t="shared" si="56"/>
        <v/>
      </c>
      <c r="C925" s="22" t="str">
        <f t="array" ref="C925">IFERROR(INDEX(Summary!$I$3:$I$1000,SMALL((Summary!$I$3:$I$1000="")/0.1%+ROW($3:$1000),ROW()-2)-2)&amp;"","")</f>
        <v/>
      </c>
      <c r="D925" s="22" t="str">
        <v/>
      </c>
      <c r="E925" s="22" t="str">
        <f t="shared" si="57"/>
        <v/>
      </c>
      <c r="F925" s="56" t="str">
        <f>IF(AMS!I945="","",AMS!I945)</f>
        <v/>
      </c>
      <c r="G925" s="56" t="str">
        <f>IF(AMS!J945="","",AMS!J945)</f>
        <v/>
      </c>
      <c r="H925" s="22" t="str">
        <f t="array" ref="H925">IF(A925&lt;&gt;" ",IFERROR(INDEX(Summary!$G$3:$G$1000,SMALL((Summary!$G$3:$G$1000="")/0.1%+ROW($3:$1000),ROW()-2)-2)&amp;"",""),"")</f>
        <v/>
      </c>
      <c r="I925" s="22" t="str">
        <f t="shared" si="58"/>
        <v/>
      </c>
      <c r="J925" s="22" t="str">
        <f t="shared" si="59"/>
        <v/>
      </c>
    </row>
    <row r="926" spans="1:10">
      <c r="A926" s="56" t="str">
        <f>IF(AMS!H946="","",AMS!H946)</f>
        <v/>
      </c>
      <c r="B926" s="22" t="str">
        <f t="shared" si="56"/>
        <v/>
      </c>
      <c r="C926" s="22" t="str">
        <f t="array" ref="C926">IFERROR(INDEX(Summary!$I$3:$I$1000,SMALL((Summary!$I$3:$I$1000="")/0.1%+ROW($3:$1000),ROW()-2)-2)&amp;"","")</f>
        <v/>
      </c>
      <c r="D926" s="22" t="str">
        <v/>
      </c>
      <c r="E926" s="22" t="str">
        <f t="shared" si="57"/>
        <v/>
      </c>
      <c r="F926" s="56" t="str">
        <f>IF(AMS!I946="","",AMS!I946)</f>
        <v/>
      </c>
      <c r="G926" s="56" t="str">
        <f>IF(AMS!J946="","",AMS!J946)</f>
        <v/>
      </c>
      <c r="H926" s="22" t="str">
        <f t="array" ref="H926">IF(A926&lt;&gt;" ",IFERROR(INDEX(Summary!$G$3:$G$1000,SMALL((Summary!$G$3:$G$1000="")/0.1%+ROW($3:$1000),ROW()-2)-2)&amp;"",""),"")</f>
        <v/>
      </c>
      <c r="I926" s="22" t="str">
        <f t="shared" si="58"/>
        <v/>
      </c>
      <c r="J926" s="22" t="str">
        <f t="shared" si="59"/>
        <v/>
      </c>
    </row>
    <row r="927" spans="1:10">
      <c r="A927" s="56" t="str">
        <f>IF(AMS!H947="","",AMS!H947)</f>
        <v/>
      </c>
      <c r="B927" s="22" t="str">
        <f t="shared" si="56"/>
        <v/>
      </c>
      <c r="C927" s="22" t="str">
        <f t="array" ref="C927">IFERROR(INDEX(Summary!$I$3:$I$1000,SMALL((Summary!$I$3:$I$1000="")/0.1%+ROW($3:$1000),ROW()-2)-2)&amp;"","")</f>
        <v/>
      </c>
      <c r="D927" s="22" t="str">
        <v/>
      </c>
      <c r="E927" s="22" t="str">
        <f t="shared" si="57"/>
        <v/>
      </c>
      <c r="F927" s="56" t="str">
        <f>IF(AMS!I947="","",AMS!I947)</f>
        <v/>
      </c>
      <c r="G927" s="56" t="str">
        <f>IF(AMS!J947="","",AMS!J947)</f>
        <v/>
      </c>
      <c r="H927" s="22" t="str">
        <f t="array" ref="H927">IF(A927&lt;&gt;" ",IFERROR(INDEX(Summary!$G$3:$G$1000,SMALL((Summary!$G$3:$G$1000="")/0.1%+ROW($3:$1000),ROW()-2)-2)&amp;"",""),"")</f>
        <v/>
      </c>
      <c r="I927" s="22" t="str">
        <f t="shared" si="58"/>
        <v/>
      </c>
      <c r="J927" s="22" t="str">
        <f t="shared" si="59"/>
        <v/>
      </c>
    </row>
    <row r="928" spans="1:10">
      <c r="A928" s="56" t="str">
        <f>IF(AMS!H948="","",AMS!H948)</f>
        <v/>
      </c>
      <c r="B928" s="22" t="str">
        <f t="shared" si="56"/>
        <v/>
      </c>
      <c r="C928" s="22" t="str">
        <f t="array" ref="C928">IFERROR(INDEX(Summary!$I$3:$I$1000,SMALL((Summary!$I$3:$I$1000="")/0.1%+ROW($3:$1000),ROW()-2)-2)&amp;"","")</f>
        <v/>
      </c>
      <c r="D928" s="22" t="str">
        <v/>
      </c>
      <c r="E928" s="22" t="str">
        <f t="shared" si="57"/>
        <v/>
      </c>
      <c r="F928" s="56" t="str">
        <f>IF(AMS!I948="","",AMS!I948)</f>
        <v/>
      </c>
      <c r="G928" s="56" t="str">
        <f>IF(AMS!J948="","",AMS!J948)</f>
        <v/>
      </c>
      <c r="H928" s="22" t="str">
        <f t="array" ref="H928">IF(A928&lt;&gt;" ",IFERROR(INDEX(Summary!$G$3:$G$1000,SMALL((Summary!$G$3:$G$1000="")/0.1%+ROW($3:$1000),ROW()-2)-2)&amp;"",""),"")</f>
        <v/>
      </c>
      <c r="I928" s="22" t="str">
        <f t="shared" si="58"/>
        <v/>
      </c>
      <c r="J928" s="22" t="str">
        <f t="shared" si="59"/>
        <v/>
      </c>
    </row>
    <row r="929" spans="1:10">
      <c r="A929" s="56" t="str">
        <f>IF(AMS!H949="","",AMS!H949)</f>
        <v/>
      </c>
      <c r="B929" s="22" t="str">
        <f t="shared" si="56"/>
        <v/>
      </c>
      <c r="C929" s="22" t="str">
        <f t="array" ref="C929">IFERROR(INDEX(Summary!$I$3:$I$1000,SMALL((Summary!$I$3:$I$1000="")/0.1%+ROW($3:$1000),ROW()-2)-2)&amp;"","")</f>
        <v/>
      </c>
      <c r="D929" s="22" t="str">
        <v/>
      </c>
      <c r="E929" s="22" t="str">
        <f t="shared" si="57"/>
        <v/>
      </c>
      <c r="F929" s="56" t="str">
        <f>IF(AMS!I949="","",AMS!I949)</f>
        <v/>
      </c>
      <c r="G929" s="56" t="str">
        <f>IF(AMS!J949="","",AMS!J949)</f>
        <v/>
      </c>
      <c r="H929" s="22" t="str">
        <f t="array" ref="H929">IF(A929&lt;&gt;" ",IFERROR(INDEX(Summary!$G$3:$G$1000,SMALL((Summary!$G$3:$G$1000="")/0.1%+ROW($3:$1000),ROW()-2)-2)&amp;"",""),"")</f>
        <v/>
      </c>
      <c r="I929" s="22" t="str">
        <f t="shared" si="58"/>
        <v/>
      </c>
      <c r="J929" s="22" t="str">
        <f t="shared" si="59"/>
        <v/>
      </c>
    </row>
    <row r="930" spans="1:10">
      <c r="A930" s="56" t="str">
        <f>IF(AMS!H950="","",AMS!H950)</f>
        <v/>
      </c>
      <c r="B930" s="22" t="str">
        <f t="shared" si="56"/>
        <v/>
      </c>
      <c r="C930" s="22" t="str">
        <f t="array" ref="C930">IFERROR(INDEX(Summary!$I$3:$I$1000,SMALL((Summary!$I$3:$I$1000="")/0.1%+ROW($3:$1000),ROW()-2)-2)&amp;"","")</f>
        <v/>
      </c>
      <c r="D930" s="22" t="str">
        <v/>
      </c>
      <c r="E930" s="22" t="str">
        <f t="shared" si="57"/>
        <v/>
      </c>
      <c r="F930" s="56" t="str">
        <f>IF(AMS!I950="","",AMS!I950)</f>
        <v/>
      </c>
      <c r="G930" s="56" t="str">
        <f>IF(AMS!J950="","",AMS!J950)</f>
        <v/>
      </c>
      <c r="H930" s="22" t="str">
        <f t="array" ref="H930">IF(A930&lt;&gt;" ",IFERROR(INDEX(Summary!$G$3:$G$1000,SMALL((Summary!$G$3:$G$1000="")/0.1%+ROW($3:$1000),ROW()-2)-2)&amp;"",""),"")</f>
        <v/>
      </c>
      <c r="I930" s="22" t="str">
        <f t="shared" si="58"/>
        <v/>
      </c>
      <c r="J930" s="22" t="str">
        <f t="shared" si="59"/>
        <v/>
      </c>
    </row>
    <row r="931" spans="1:10">
      <c r="A931" s="56" t="str">
        <f>IF(AMS!H951="","",AMS!H951)</f>
        <v/>
      </c>
      <c r="B931" s="22" t="str">
        <f t="shared" si="56"/>
        <v/>
      </c>
      <c r="C931" s="22" t="str">
        <f t="array" ref="C931">IFERROR(INDEX(Summary!$I$3:$I$1000,SMALL((Summary!$I$3:$I$1000="")/0.1%+ROW($3:$1000),ROW()-2)-2)&amp;"","")</f>
        <v/>
      </c>
      <c r="D931" s="22" t="str">
        <v/>
      </c>
      <c r="E931" s="22" t="str">
        <f t="shared" si="57"/>
        <v/>
      </c>
      <c r="F931" s="56" t="str">
        <f>IF(AMS!I951="","",AMS!I951)</f>
        <v/>
      </c>
      <c r="G931" s="56" t="str">
        <f>IF(AMS!J951="","",AMS!J951)</f>
        <v/>
      </c>
      <c r="H931" s="22" t="str">
        <f t="array" ref="H931">IF(A931&lt;&gt;" ",IFERROR(INDEX(Summary!$G$3:$G$1000,SMALL((Summary!$G$3:$G$1000="")/0.1%+ROW($3:$1000),ROW()-2)-2)&amp;"",""),"")</f>
        <v/>
      </c>
      <c r="I931" s="22" t="str">
        <f t="shared" si="58"/>
        <v/>
      </c>
      <c r="J931" s="22" t="str">
        <f t="shared" si="59"/>
        <v/>
      </c>
    </row>
    <row r="932" spans="1:10">
      <c r="A932" s="56" t="str">
        <f>IF(AMS!H952="","",AMS!H952)</f>
        <v/>
      </c>
      <c r="B932" s="22" t="str">
        <f t="shared" si="56"/>
        <v/>
      </c>
      <c r="C932" s="22" t="str">
        <f t="array" ref="C932">IFERROR(INDEX(Summary!$I$3:$I$1000,SMALL((Summary!$I$3:$I$1000="")/0.1%+ROW($3:$1000),ROW()-2)-2)&amp;"","")</f>
        <v/>
      </c>
      <c r="D932" s="22" t="str">
        <v/>
      </c>
      <c r="E932" s="22" t="str">
        <f t="shared" si="57"/>
        <v/>
      </c>
      <c r="F932" s="56" t="str">
        <f>IF(AMS!I952="","",AMS!I952)</f>
        <v/>
      </c>
      <c r="G932" s="56" t="str">
        <f>IF(AMS!J952="","",AMS!J952)</f>
        <v/>
      </c>
      <c r="H932" s="22" t="str">
        <f t="array" ref="H932">IF(A932&lt;&gt;" ",IFERROR(INDEX(Summary!$G$3:$G$1000,SMALL((Summary!$G$3:$G$1000="")/0.1%+ROW($3:$1000),ROW()-2)-2)&amp;"",""),"")</f>
        <v/>
      </c>
      <c r="I932" s="22" t="str">
        <f t="shared" si="58"/>
        <v/>
      </c>
      <c r="J932" s="22" t="str">
        <f t="shared" si="59"/>
        <v/>
      </c>
    </row>
    <row r="933" spans="1:10">
      <c r="A933" s="56" t="str">
        <f>IF(AMS!H953="","",AMS!H953)</f>
        <v/>
      </c>
      <c r="B933" s="22" t="str">
        <f t="shared" si="56"/>
        <v/>
      </c>
      <c r="C933" s="22" t="str">
        <f t="array" ref="C933">IFERROR(INDEX(Summary!$I$3:$I$1000,SMALL((Summary!$I$3:$I$1000="")/0.1%+ROW($3:$1000),ROW()-2)-2)&amp;"","")</f>
        <v/>
      </c>
      <c r="D933" s="22" t="str">
        <v/>
      </c>
      <c r="E933" s="22" t="str">
        <f t="shared" si="57"/>
        <v/>
      </c>
      <c r="F933" s="56" t="str">
        <f>IF(AMS!I953="","",AMS!I953)</f>
        <v/>
      </c>
      <c r="G933" s="56" t="str">
        <f>IF(AMS!J953="","",AMS!J953)</f>
        <v/>
      </c>
      <c r="H933" s="22" t="str">
        <f t="array" ref="H933">IF(A933&lt;&gt;" ",IFERROR(INDEX(Summary!$G$3:$G$1000,SMALL((Summary!$G$3:$G$1000="")/0.1%+ROW($3:$1000),ROW()-2)-2)&amp;"",""),"")</f>
        <v/>
      </c>
      <c r="I933" s="22" t="str">
        <f t="shared" si="58"/>
        <v/>
      </c>
      <c r="J933" s="22" t="str">
        <f t="shared" si="59"/>
        <v/>
      </c>
    </row>
    <row r="934" spans="1:10">
      <c r="A934" s="56" t="str">
        <f>IF(AMS!H954="","",AMS!H954)</f>
        <v/>
      </c>
      <c r="B934" s="22" t="str">
        <f t="shared" si="56"/>
        <v/>
      </c>
      <c r="C934" s="22" t="str">
        <f t="array" ref="C934">IFERROR(INDEX(Summary!$I$3:$I$1000,SMALL((Summary!$I$3:$I$1000="")/0.1%+ROW($3:$1000),ROW()-2)-2)&amp;"","")</f>
        <v/>
      </c>
      <c r="D934" s="22" t="str">
        <v/>
      </c>
      <c r="E934" s="22" t="str">
        <f t="shared" si="57"/>
        <v/>
      </c>
      <c r="F934" s="56" t="str">
        <f>IF(AMS!I954="","",AMS!I954)</f>
        <v/>
      </c>
      <c r="G934" s="56" t="str">
        <f>IF(AMS!J954="","",AMS!J954)</f>
        <v/>
      </c>
      <c r="H934" s="22" t="str">
        <f t="array" ref="H934">IF(A934&lt;&gt;" ",IFERROR(INDEX(Summary!$G$3:$G$1000,SMALL((Summary!$G$3:$G$1000="")/0.1%+ROW($3:$1000),ROW()-2)-2)&amp;"",""),"")</f>
        <v/>
      </c>
      <c r="I934" s="22" t="str">
        <f t="shared" si="58"/>
        <v/>
      </c>
      <c r="J934" s="22" t="str">
        <f t="shared" si="59"/>
        <v/>
      </c>
    </row>
    <row r="935" spans="1:10">
      <c r="A935" s="56" t="str">
        <f>IF(AMS!H955="","",AMS!H955)</f>
        <v/>
      </c>
      <c r="B935" s="22" t="str">
        <f t="shared" si="56"/>
        <v/>
      </c>
      <c r="C935" s="22" t="str">
        <f t="array" ref="C935">IFERROR(INDEX(Summary!$I$3:$I$1000,SMALL((Summary!$I$3:$I$1000="")/0.1%+ROW($3:$1000),ROW()-2)-2)&amp;"","")</f>
        <v/>
      </c>
      <c r="D935" s="22" t="str">
        <v/>
      </c>
      <c r="E935" s="22" t="str">
        <f t="shared" si="57"/>
        <v/>
      </c>
      <c r="F935" s="56" t="str">
        <f>IF(AMS!I955="","",AMS!I955)</f>
        <v/>
      </c>
      <c r="G935" s="56" t="str">
        <f>IF(AMS!J955="","",AMS!J955)</f>
        <v/>
      </c>
      <c r="H935" s="22" t="str">
        <f t="array" ref="H935">IF(A935&lt;&gt;" ",IFERROR(INDEX(Summary!$G$3:$G$1000,SMALL((Summary!$G$3:$G$1000="")/0.1%+ROW($3:$1000),ROW()-2)-2)&amp;"",""),"")</f>
        <v/>
      </c>
      <c r="I935" s="22" t="str">
        <f t="shared" si="58"/>
        <v/>
      </c>
      <c r="J935" s="22" t="str">
        <f t="shared" si="59"/>
        <v/>
      </c>
    </row>
    <row r="936" spans="1:10">
      <c r="A936" s="56" t="str">
        <f>IF(AMS!H956="","",AMS!H956)</f>
        <v/>
      </c>
      <c r="B936" s="22" t="str">
        <f t="shared" si="56"/>
        <v/>
      </c>
      <c r="C936" s="22" t="str">
        <f t="array" ref="C936">IFERROR(INDEX(Summary!$I$3:$I$1000,SMALL((Summary!$I$3:$I$1000="")/0.1%+ROW($3:$1000),ROW()-2)-2)&amp;"","")</f>
        <v/>
      </c>
      <c r="D936" s="22" t="str">
        <v/>
      </c>
      <c r="E936" s="22" t="str">
        <f t="shared" si="57"/>
        <v/>
      </c>
      <c r="F936" s="56" t="str">
        <f>IF(AMS!I956="","",AMS!I956)</f>
        <v/>
      </c>
      <c r="G936" s="56" t="str">
        <f>IF(AMS!J956="","",AMS!J956)</f>
        <v/>
      </c>
      <c r="H936" s="22" t="str">
        <f t="array" ref="H936">IF(A936&lt;&gt;" ",IFERROR(INDEX(Summary!$G$3:$G$1000,SMALL((Summary!$G$3:$G$1000="")/0.1%+ROW($3:$1000),ROW()-2)-2)&amp;"",""),"")</f>
        <v/>
      </c>
      <c r="I936" s="22" t="str">
        <f t="shared" si="58"/>
        <v/>
      </c>
      <c r="J936" s="22" t="str">
        <f t="shared" si="59"/>
        <v/>
      </c>
    </row>
    <row r="937" spans="1:10">
      <c r="A937" s="56" t="str">
        <f>IF(AMS!H957="","",AMS!H957)</f>
        <v/>
      </c>
      <c r="B937" s="22" t="str">
        <f t="shared" si="56"/>
        <v/>
      </c>
      <c r="C937" s="22" t="str">
        <f t="array" ref="C937">IFERROR(INDEX(Summary!$I$3:$I$1000,SMALL((Summary!$I$3:$I$1000="")/0.1%+ROW($3:$1000),ROW()-2)-2)&amp;"","")</f>
        <v/>
      </c>
      <c r="D937" s="22" t="str">
        <v/>
      </c>
      <c r="E937" s="22" t="str">
        <f t="shared" si="57"/>
        <v/>
      </c>
      <c r="F937" s="56" t="str">
        <f>IF(AMS!I957="","",AMS!I957)</f>
        <v/>
      </c>
      <c r="G937" s="56" t="str">
        <f>IF(AMS!J957="","",AMS!J957)</f>
        <v/>
      </c>
      <c r="H937" s="22" t="str">
        <f t="array" ref="H937">IF(A937&lt;&gt;" ",IFERROR(INDEX(Summary!$G$3:$G$1000,SMALL((Summary!$G$3:$G$1000="")/0.1%+ROW($3:$1000),ROW()-2)-2)&amp;"",""),"")</f>
        <v/>
      </c>
      <c r="I937" s="22" t="str">
        <f t="shared" si="58"/>
        <v/>
      </c>
      <c r="J937" s="22" t="str">
        <f t="shared" si="59"/>
        <v/>
      </c>
    </row>
    <row r="938" spans="1:10">
      <c r="A938" s="56" t="str">
        <f>IF(AMS!H958="","",AMS!H958)</f>
        <v/>
      </c>
      <c r="B938" s="22" t="str">
        <f t="shared" si="56"/>
        <v/>
      </c>
      <c r="C938" s="22" t="str">
        <f t="array" ref="C938">IFERROR(INDEX(Summary!$I$3:$I$1000,SMALL((Summary!$I$3:$I$1000="")/0.1%+ROW($3:$1000),ROW()-2)-2)&amp;"","")</f>
        <v/>
      </c>
      <c r="D938" s="22" t="str">
        <v/>
      </c>
      <c r="E938" s="22" t="str">
        <f t="shared" si="57"/>
        <v/>
      </c>
      <c r="F938" s="56" t="str">
        <f>IF(AMS!I958="","",AMS!I958)</f>
        <v/>
      </c>
      <c r="G938" s="56" t="str">
        <f>IF(AMS!J958="","",AMS!J958)</f>
        <v/>
      </c>
      <c r="H938" s="22" t="str">
        <f t="array" ref="H938">IF(A938&lt;&gt;" ",IFERROR(INDEX(Summary!$G$3:$G$1000,SMALL((Summary!$G$3:$G$1000="")/0.1%+ROW($3:$1000),ROW()-2)-2)&amp;"",""),"")</f>
        <v/>
      </c>
      <c r="I938" s="22" t="str">
        <f t="shared" si="58"/>
        <v/>
      </c>
      <c r="J938" s="22" t="str">
        <f t="shared" si="59"/>
        <v/>
      </c>
    </row>
    <row r="939" spans="1:10">
      <c r="A939" s="56" t="str">
        <f>IF(AMS!H959="","",AMS!H959)</f>
        <v/>
      </c>
      <c r="B939" s="22" t="str">
        <f t="shared" si="56"/>
        <v/>
      </c>
      <c r="C939" s="22" t="str">
        <f t="array" ref="C939">IFERROR(INDEX(Summary!$I$3:$I$1000,SMALL((Summary!$I$3:$I$1000="")/0.1%+ROW($3:$1000),ROW()-2)-2)&amp;"","")</f>
        <v/>
      </c>
      <c r="D939" s="22" t="str">
        <v/>
      </c>
      <c r="E939" s="22" t="str">
        <f t="shared" si="57"/>
        <v/>
      </c>
      <c r="F939" s="56" t="str">
        <f>IF(AMS!I959="","",AMS!I959)</f>
        <v/>
      </c>
      <c r="G939" s="56" t="str">
        <f>IF(AMS!J959="","",AMS!J959)</f>
        <v/>
      </c>
      <c r="H939" s="22" t="str">
        <f t="array" ref="H939">IF(A939&lt;&gt;" ",IFERROR(INDEX(Summary!$G$3:$G$1000,SMALL((Summary!$G$3:$G$1000="")/0.1%+ROW($3:$1000),ROW()-2)-2)&amp;"",""),"")</f>
        <v/>
      </c>
      <c r="I939" s="22" t="str">
        <f t="shared" si="58"/>
        <v/>
      </c>
      <c r="J939" s="22" t="str">
        <f t="shared" si="59"/>
        <v/>
      </c>
    </row>
    <row r="940" spans="1:10">
      <c r="A940" s="56" t="str">
        <f>IF(AMS!H960="","",AMS!H960)</f>
        <v/>
      </c>
      <c r="B940" s="22" t="str">
        <f t="shared" si="56"/>
        <v/>
      </c>
      <c r="C940" s="22" t="str">
        <f t="array" ref="C940">IFERROR(INDEX(Summary!$I$3:$I$1000,SMALL((Summary!$I$3:$I$1000="")/0.1%+ROW($3:$1000),ROW()-2)-2)&amp;"","")</f>
        <v/>
      </c>
      <c r="D940" s="22" t="str">
        <v/>
      </c>
      <c r="E940" s="22" t="str">
        <f t="shared" si="57"/>
        <v/>
      </c>
      <c r="F940" s="56" t="str">
        <f>IF(AMS!I960="","",AMS!I960)</f>
        <v/>
      </c>
      <c r="G940" s="56" t="str">
        <f>IF(AMS!J960="","",AMS!J960)</f>
        <v/>
      </c>
      <c r="H940" s="22" t="str">
        <f t="array" ref="H940">IF(A940&lt;&gt;" ",IFERROR(INDEX(Summary!$G$3:$G$1000,SMALL((Summary!$G$3:$G$1000="")/0.1%+ROW($3:$1000),ROW()-2)-2)&amp;"",""),"")</f>
        <v/>
      </c>
      <c r="I940" s="22" t="str">
        <f t="shared" si="58"/>
        <v/>
      </c>
      <c r="J940" s="22" t="str">
        <f t="shared" si="59"/>
        <v/>
      </c>
    </row>
    <row r="941" spans="1:10">
      <c r="A941" s="56" t="str">
        <f>IF(AMS!H961="","",AMS!H961)</f>
        <v/>
      </c>
      <c r="B941" s="22" t="str">
        <f t="shared" si="56"/>
        <v/>
      </c>
      <c r="C941" s="22" t="str">
        <f t="array" ref="C941">IFERROR(INDEX(Summary!$I$3:$I$1000,SMALL((Summary!$I$3:$I$1000="")/0.1%+ROW($3:$1000),ROW()-2)-2)&amp;"","")</f>
        <v/>
      </c>
      <c r="D941" s="22" t="str">
        <v/>
      </c>
      <c r="E941" s="22" t="str">
        <f t="shared" si="57"/>
        <v/>
      </c>
      <c r="F941" s="56" t="str">
        <f>IF(AMS!I961="","",AMS!I961)</f>
        <v/>
      </c>
      <c r="G941" s="56" t="str">
        <f>IF(AMS!J961="","",AMS!J961)</f>
        <v/>
      </c>
      <c r="H941" s="22" t="str">
        <f t="array" ref="H941">IF(A941&lt;&gt;" ",IFERROR(INDEX(Summary!$G$3:$G$1000,SMALL((Summary!$G$3:$G$1000="")/0.1%+ROW($3:$1000),ROW()-2)-2)&amp;"",""),"")</f>
        <v/>
      </c>
      <c r="I941" s="22" t="str">
        <f t="shared" si="58"/>
        <v/>
      </c>
      <c r="J941" s="22" t="str">
        <f t="shared" si="59"/>
        <v/>
      </c>
    </row>
    <row r="942" spans="1:10">
      <c r="A942" s="56" t="str">
        <f>IF(AMS!H962="","",AMS!H962)</f>
        <v/>
      </c>
      <c r="B942" s="22" t="str">
        <f t="shared" si="56"/>
        <v/>
      </c>
      <c r="C942" s="22" t="str">
        <f t="array" ref="C942">IFERROR(INDEX(Summary!$I$3:$I$1000,SMALL((Summary!$I$3:$I$1000="")/0.1%+ROW($3:$1000),ROW()-2)-2)&amp;"","")</f>
        <v/>
      </c>
      <c r="D942" s="22" t="str">
        <v/>
      </c>
      <c r="E942" s="22" t="str">
        <f t="shared" si="57"/>
        <v/>
      </c>
      <c r="F942" s="56" t="str">
        <f>IF(AMS!I962="","",AMS!I962)</f>
        <v/>
      </c>
      <c r="G942" s="56" t="str">
        <f>IF(AMS!J962="","",AMS!J962)</f>
        <v/>
      </c>
      <c r="H942" s="22" t="str">
        <f t="array" ref="H942">IF(A942&lt;&gt;" ",IFERROR(INDEX(Summary!$G$3:$G$1000,SMALL((Summary!$G$3:$G$1000="")/0.1%+ROW($3:$1000),ROW()-2)-2)&amp;"",""),"")</f>
        <v/>
      </c>
      <c r="I942" s="22" t="str">
        <f t="shared" si="58"/>
        <v/>
      </c>
      <c r="J942" s="22" t="str">
        <f t="shared" si="59"/>
        <v/>
      </c>
    </row>
    <row r="943" spans="1:10">
      <c r="A943" s="56" t="str">
        <f>IF(AMS!H963="","",AMS!H963)</f>
        <v/>
      </c>
      <c r="B943" s="22" t="str">
        <f t="shared" si="56"/>
        <v/>
      </c>
      <c r="C943" s="22" t="str">
        <f t="array" ref="C943">IFERROR(INDEX(Summary!$I$3:$I$1000,SMALL((Summary!$I$3:$I$1000="")/0.1%+ROW($3:$1000),ROW()-2)-2)&amp;"","")</f>
        <v/>
      </c>
      <c r="D943" s="22" t="str">
        <v/>
      </c>
      <c r="E943" s="22" t="str">
        <f t="shared" si="57"/>
        <v/>
      </c>
      <c r="F943" s="56" t="str">
        <f>IF(AMS!I963="","",AMS!I963)</f>
        <v/>
      </c>
      <c r="G943" s="56" t="str">
        <f>IF(AMS!J963="","",AMS!J963)</f>
        <v/>
      </c>
      <c r="H943" s="22" t="str">
        <f t="array" ref="H943">IF(A943&lt;&gt;" ",IFERROR(INDEX(Summary!$G$3:$G$1000,SMALL((Summary!$G$3:$G$1000="")/0.1%+ROW($3:$1000),ROW()-2)-2)&amp;"",""),"")</f>
        <v/>
      </c>
      <c r="I943" s="22" t="str">
        <f t="shared" si="58"/>
        <v/>
      </c>
      <c r="J943" s="22" t="str">
        <f t="shared" si="59"/>
        <v/>
      </c>
    </row>
    <row r="944" spans="1:10">
      <c r="A944" s="56" t="str">
        <f>IF(AMS!H964="","",AMS!H964)</f>
        <v/>
      </c>
      <c r="B944" s="22" t="str">
        <f t="shared" si="56"/>
        <v/>
      </c>
      <c r="C944" s="22" t="str">
        <f t="array" ref="C944">IFERROR(INDEX(Summary!$I$3:$I$1000,SMALL((Summary!$I$3:$I$1000="")/0.1%+ROW($3:$1000),ROW()-2)-2)&amp;"","")</f>
        <v/>
      </c>
      <c r="D944" s="22" t="str">
        <v/>
      </c>
      <c r="E944" s="22" t="str">
        <f t="shared" si="57"/>
        <v/>
      </c>
      <c r="F944" s="56" t="str">
        <f>IF(AMS!I964="","",AMS!I964)</f>
        <v/>
      </c>
      <c r="G944" s="56" t="str">
        <f>IF(AMS!J964="","",AMS!J964)</f>
        <v/>
      </c>
      <c r="H944" s="22" t="str">
        <f t="array" ref="H944">IF(A944&lt;&gt;" ",IFERROR(INDEX(Summary!$G$3:$G$1000,SMALL((Summary!$G$3:$G$1000="")/0.1%+ROW($3:$1000),ROW()-2)-2)&amp;"",""),"")</f>
        <v/>
      </c>
      <c r="I944" s="22" t="str">
        <f t="shared" si="58"/>
        <v/>
      </c>
      <c r="J944" s="22" t="str">
        <f t="shared" si="59"/>
        <v/>
      </c>
    </row>
    <row r="945" spans="1:10">
      <c r="A945" s="56" t="str">
        <f>IF(AMS!H965="","",AMS!H965)</f>
        <v/>
      </c>
      <c r="B945" s="22" t="str">
        <f t="shared" si="56"/>
        <v/>
      </c>
      <c r="C945" s="22" t="str">
        <f t="array" ref="C945">IFERROR(INDEX(Summary!$I$3:$I$1000,SMALL((Summary!$I$3:$I$1000="")/0.1%+ROW($3:$1000),ROW()-2)-2)&amp;"","")</f>
        <v/>
      </c>
      <c r="D945" s="22" t="str">
        <v/>
      </c>
      <c r="E945" s="22" t="str">
        <f t="shared" si="57"/>
        <v/>
      </c>
      <c r="F945" s="56" t="str">
        <f>IF(AMS!I965="","",AMS!I965)</f>
        <v/>
      </c>
      <c r="G945" s="56" t="str">
        <f>IF(AMS!J965="","",AMS!J965)</f>
        <v/>
      </c>
      <c r="H945" s="22" t="str">
        <f t="array" ref="H945">IF(A945&lt;&gt;" ",IFERROR(INDEX(Summary!$G$3:$G$1000,SMALL((Summary!$G$3:$G$1000="")/0.1%+ROW($3:$1000),ROW()-2)-2)&amp;"",""),"")</f>
        <v/>
      </c>
      <c r="I945" s="22" t="str">
        <f t="shared" si="58"/>
        <v/>
      </c>
      <c r="J945" s="22" t="str">
        <f t="shared" si="59"/>
        <v/>
      </c>
    </row>
    <row r="946" spans="1:10">
      <c r="A946" s="56" t="str">
        <f>IF(AMS!H966="","",AMS!H966)</f>
        <v/>
      </c>
      <c r="B946" s="22" t="str">
        <f t="shared" si="56"/>
        <v/>
      </c>
      <c r="C946" s="22" t="str">
        <f t="array" ref="C946">IFERROR(INDEX(Summary!$I$3:$I$1000,SMALL((Summary!$I$3:$I$1000="")/0.1%+ROW($3:$1000),ROW()-2)-2)&amp;"","")</f>
        <v/>
      </c>
      <c r="D946" s="22" t="str">
        <v/>
      </c>
      <c r="E946" s="22" t="str">
        <f t="shared" si="57"/>
        <v/>
      </c>
      <c r="F946" s="56" t="str">
        <f>IF(AMS!I966="","",AMS!I966)</f>
        <v/>
      </c>
      <c r="G946" s="56" t="str">
        <f>IF(AMS!J966="","",AMS!J966)</f>
        <v/>
      </c>
      <c r="H946" s="22" t="str">
        <f t="array" ref="H946">IF(A946&lt;&gt;" ",IFERROR(INDEX(Summary!$G$3:$G$1000,SMALL((Summary!$G$3:$G$1000="")/0.1%+ROW($3:$1000),ROW()-2)-2)&amp;"",""),"")</f>
        <v/>
      </c>
      <c r="I946" s="22" t="str">
        <f t="shared" si="58"/>
        <v/>
      </c>
      <c r="J946" s="22" t="str">
        <f t="shared" si="59"/>
        <v/>
      </c>
    </row>
    <row r="947" spans="1:10">
      <c r="A947" s="56" t="str">
        <f>IF(AMS!H967="","",AMS!H967)</f>
        <v/>
      </c>
      <c r="B947" s="22" t="str">
        <f t="shared" si="56"/>
        <v/>
      </c>
      <c r="C947" s="22" t="str">
        <f t="array" ref="C947">IFERROR(INDEX(Summary!$I$3:$I$1000,SMALL((Summary!$I$3:$I$1000="")/0.1%+ROW($3:$1000),ROW()-2)-2)&amp;"","")</f>
        <v/>
      </c>
      <c r="D947" s="22" t="str">
        <v/>
      </c>
      <c r="E947" s="22" t="str">
        <f t="shared" si="57"/>
        <v/>
      </c>
      <c r="F947" s="56" t="str">
        <f>IF(AMS!I967="","",AMS!I967)</f>
        <v/>
      </c>
      <c r="G947" s="56" t="str">
        <f>IF(AMS!J967="","",AMS!J967)</f>
        <v/>
      </c>
      <c r="H947" s="22" t="str">
        <f t="array" ref="H947">IF(A947&lt;&gt;" ",IFERROR(INDEX(Summary!$G$3:$G$1000,SMALL((Summary!$G$3:$G$1000="")/0.1%+ROW($3:$1000),ROW()-2)-2)&amp;"",""),"")</f>
        <v/>
      </c>
      <c r="I947" s="22" t="str">
        <f t="shared" si="58"/>
        <v/>
      </c>
      <c r="J947" s="22" t="str">
        <f t="shared" si="59"/>
        <v/>
      </c>
    </row>
    <row r="948" spans="1:10">
      <c r="A948" s="56" t="str">
        <f>IF(AMS!H968="","",AMS!H968)</f>
        <v/>
      </c>
      <c r="B948" s="22" t="str">
        <f t="shared" si="56"/>
        <v/>
      </c>
      <c r="C948" s="22" t="str">
        <f t="array" ref="C948">IFERROR(INDEX(Summary!$I$3:$I$1000,SMALL((Summary!$I$3:$I$1000="")/0.1%+ROW($3:$1000),ROW()-2)-2)&amp;"","")</f>
        <v/>
      </c>
      <c r="D948" s="22" t="str">
        <v/>
      </c>
      <c r="E948" s="22" t="str">
        <f t="shared" si="57"/>
        <v/>
      </c>
      <c r="F948" s="56" t="str">
        <f>IF(AMS!I968="","",AMS!I968)</f>
        <v/>
      </c>
      <c r="G948" s="56" t="str">
        <f>IF(AMS!J968="","",AMS!J968)</f>
        <v/>
      </c>
      <c r="H948" s="22" t="str">
        <f t="array" ref="H948">IF(A948&lt;&gt;" ",IFERROR(INDEX(Summary!$G$3:$G$1000,SMALL((Summary!$G$3:$G$1000="")/0.1%+ROW($3:$1000),ROW()-2)-2)&amp;"",""),"")</f>
        <v/>
      </c>
      <c r="I948" s="22" t="str">
        <f t="shared" si="58"/>
        <v/>
      </c>
      <c r="J948" s="22" t="str">
        <f t="shared" si="59"/>
        <v/>
      </c>
    </row>
    <row r="949" spans="1:10">
      <c r="A949" s="56" t="str">
        <f>IF(AMS!H969="","",AMS!H969)</f>
        <v/>
      </c>
      <c r="B949" s="22" t="str">
        <f t="shared" si="56"/>
        <v/>
      </c>
      <c r="C949" s="22" t="str">
        <f t="array" ref="C949">IFERROR(INDEX(Summary!$I$3:$I$1000,SMALL((Summary!$I$3:$I$1000="")/0.1%+ROW($3:$1000),ROW()-2)-2)&amp;"","")</f>
        <v/>
      </c>
      <c r="D949" s="22" t="str">
        <v/>
      </c>
      <c r="E949" s="22" t="str">
        <f t="shared" si="57"/>
        <v/>
      </c>
      <c r="F949" s="56" t="str">
        <f>IF(AMS!I969="","",AMS!I969)</f>
        <v/>
      </c>
      <c r="G949" s="56" t="str">
        <f>IF(AMS!J969="","",AMS!J969)</f>
        <v/>
      </c>
      <c r="H949" s="22" t="str">
        <f t="array" ref="H949">IF(A949&lt;&gt;" ",IFERROR(INDEX(Summary!$G$3:$G$1000,SMALL((Summary!$G$3:$G$1000="")/0.1%+ROW($3:$1000),ROW()-2)-2)&amp;"",""),"")</f>
        <v/>
      </c>
      <c r="I949" s="22" t="str">
        <f t="shared" si="58"/>
        <v/>
      </c>
      <c r="J949" s="22" t="str">
        <f t="shared" si="59"/>
        <v/>
      </c>
    </row>
    <row r="950" spans="1:10">
      <c r="A950" s="56" t="str">
        <f>IF(AMS!H970="","",AMS!H970)</f>
        <v/>
      </c>
      <c r="B950" s="22" t="str">
        <f t="shared" si="56"/>
        <v/>
      </c>
      <c r="C950" s="22" t="str">
        <f t="array" ref="C950">IFERROR(INDEX(Summary!$I$3:$I$1000,SMALL((Summary!$I$3:$I$1000="")/0.1%+ROW($3:$1000),ROW()-2)-2)&amp;"","")</f>
        <v/>
      </c>
      <c r="D950" s="22" t="str">
        <v/>
      </c>
      <c r="E950" s="22" t="str">
        <f t="shared" si="57"/>
        <v/>
      </c>
      <c r="F950" s="56" t="str">
        <f>IF(AMS!I970="","",AMS!I970)</f>
        <v/>
      </c>
      <c r="G950" s="56" t="str">
        <f>IF(AMS!J970="","",AMS!J970)</f>
        <v/>
      </c>
      <c r="H950" s="22" t="str">
        <f t="array" ref="H950">IF(A950&lt;&gt;" ",IFERROR(INDEX(Summary!$G$3:$G$1000,SMALL((Summary!$G$3:$G$1000="")/0.1%+ROW($3:$1000),ROW()-2)-2)&amp;"",""),"")</f>
        <v/>
      </c>
      <c r="I950" s="22" t="str">
        <f t="shared" si="58"/>
        <v/>
      </c>
      <c r="J950" s="22" t="str">
        <f t="shared" si="59"/>
        <v/>
      </c>
    </row>
    <row r="951" spans="1:10">
      <c r="A951" s="56" t="str">
        <f>IF(AMS!H971="","",AMS!H971)</f>
        <v/>
      </c>
      <c r="B951" s="22" t="str">
        <f t="shared" si="56"/>
        <v/>
      </c>
      <c r="C951" s="22" t="str">
        <f t="array" ref="C951">IFERROR(INDEX(Summary!$I$3:$I$1000,SMALL((Summary!$I$3:$I$1000="")/0.1%+ROW($3:$1000),ROW()-2)-2)&amp;"","")</f>
        <v/>
      </c>
      <c r="D951" s="22" t="str">
        <v/>
      </c>
      <c r="E951" s="22" t="str">
        <f t="shared" si="57"/>
        <v/>
      </c>
      <c r="F951" s="56" t="str">
        <f>IF(AMS!I971="","",AMS!I971)</f>
        <v/>
      </c>
      <c r="G951" s="56" t="str">
        <f>IF(AMS!J971="","",AMS!J971)</f>
        <v/>
      </c>
      <c r="H951" s="22" t="str">
        <f t="array" ref="H951">IF(A951&lt;&gt;" ",IFERROR(INDEX(Summary!$G$3:$G$1000,SMALL((Summary!$G$3:$G$1000="")/0.1%+ROW($3:$1000),ROW()-2)-2)&amp;"",""),"")</f>
        <v/>
      </c>
      <c r="I951" s="22" t="str">
        <f t="shared" si="58"/>
        <v/>
      </c>
      <c r="J951" s="22" t="str">
        <f t="shared" si="59"/>
        <v/>
      </c>
    </row>
    <row r="952" spans="1:10">
      <c r="A952" s="56" t="str">
        <f>IF(AMS!H972="","",AMS!H972)</f>
        <v/>
      </c>
      <c r="B952" s="22" t="str">
        <f t="shared" si="56"/>
        <v/>
      </c>
      <c r="C952" s="22" t="str">
        <f t="array" ref="C952">IFERROR(INDEX(Summary!$I$3:$I$1000,SMALL((Summary!$I$3:$I$1000="")/0.1%+ROW($3:$1000),ROW()-2)-2)&amp;"","")</f>
        <v/>
      </c>
      <c r="D952" s="22" t="str">
        <v/>
      </c>
      <c r="E952" s="22" t="str">
        <f t="shared" si="57"/>
        <v/>
      </c>
      <c r="F952" s="56" t="str">
        <f>IF(AMS!I972="","",AMS!I972)</f>
        <v/>
      </c>
      <c r="G952" s="56" t="str">
        <f>IF(AMS!J972="","",AMS!J972)</f>
        <v/>
      </c>
      <c r="H952" s="22" t="str">
        <f t="array" ref="H952">IF(A952&lt;&gt;" ",IFERROR(INDEX(Summary!$G$3:$G$1000,SMALL((Summary!$G$3:$G$1000="")/0.1%+ROW($3:$1000),ROW()-2)-2)&amp;"",""),"")</f>
        <v/>
      </c>
      <c r="I952" s="22" t="str">
        <f t="shared" si="58"/>
        <v/>
      </c>
      <c r="J952" s="22" t="str">
        <f t="shared" si="59"/>
        <v/>
      </c>
    </row>
    <row r="953" spans="1:10">
      <c r="A953" s="56" t="str">
        <f>IF(AMS!H973="","",AMS!H973)</f>
        <v/>
      </c>
      <c r="B953" s="22" t="str">
        <f t="shared" si="56"/>
        <v/>
      </c>
      <c r="C953" s="22" t="str">
        <f t="array" ref="C953">IFERROR(INDEX(Summary!$I$3:$I$1000,SMALL((Summary!$I$3:$I$1000="")/0.1%+ROW($3:$1000),ROW()-2)-2)&amp;"","")</f>
        <v/>
      </c>
      <c r="D953" s="22" t="str">
        <v/>
      </c>
      <c r="E953" s="22" t="str">
        <f t="shared" si="57"/>
        <v/>
      </c>
      <c r="F953" s="56" t="str">
        <f>IF(AMS!I973="","",AMS!I973)</f>
        <v/>
      </c>
      <c r="G953" s="56" t="str">
        <f>IF(AMS!J973="","",AMS!J973)</f>
        <v/>
      </c>
      <c r="H953" s="22" t="str">
        <f t="array" ref="H953">IF(A953&lt;&gt;" ",IFERROR(INDEX(Summary!$G$3:$G$1000,SMALL((Summary!$G$3:$G$1000="")/0.1%+ROW($3:$1000),ROW()-2)-2)&amp;"",""),"")</f>
        <v/>
      </c>
      <c r="I953" s="22" t="str">
        <f t="shared" si="58"/>
        <v/>
      </c>
      <c r="J953" s="22" t="str">
        <f t="shared" si="59"/>
        <v/>
      </c>
    </row>
    <row r="954" spans="1:10">
      <c r="A954" s="56" t="str">
        <f>IF(AMS!H974="","",AMS!H974)</f>
        <v/>
      </c>
      <c r="B954" s="22" t="str">
        <f t="shared" si="56"/>
        <v/>
      </c>
      <c r="C954" s="22" t="str">
        <f t="array" ref="C954">IFERROR(INDEX(Summary!$I$3:$I$1000,SMALL((Summary!$I$3:$I$1000="")/0.1%+ROW($3:$1000),ROW()-2)-2)&amp;"","")</f>
        <v/>
      </c>
      <c r="D954" s="22" t="str">
        <v/>
      </c>
      <c r="E954" s="22" t="str">
        <f t="shared" si="57"/>
        <v/>
      </c>
      <c r="F954" s="56" t="str">
        <f>IF(AMS!I974="","",AMS!I974)</f>
        <v/>
      </c>
      <c r="G954" s="56" t="str">
        <f>IF(AMS!J974="","",AMS!J974)</f>
        <v/>
      </c>
      <c r="H954" s="22" t="str">
        <f t="array" ref="H954">IF(A954&lt;&gt;" ",IFERROR(INDEX(Summary!$G$3:$G$1000,SMALL((Summary!$G$3:$G$1000="")/0.1%+ROW($3:$1000),ROW()-2)-2)&amp;"",""),"")</f>
        <v/>
      </c>
      <c r="I954" s="22" t="str">
        <f t="shared" si="58"/>
        <v/>
      </c>
      <c r="J954" s="22" t="str">
        <f t="shared" si="59"/>
        <v/>
      </c>
    </row>
    <row r="955" spans="1:10">
      <c r="A955" s="56" t="str">
        <f>IF(AMS!H975="","",AMS!H975)</f>
        <v/>
      </c>
      <c r="B955" s="22" t="str">
        <f t="shared" si="56"/>
        <v/>
      </c>
      <c r="C955" s="22" t="str">
        <f t="array" ref="C955">IFERROR(INDEX(Summary!$I$3:$I$1000,SMALL((Summary!$I$3:$I$1000="")/0.1%+ROW($3:$1000),ROW()-2)-2)&amp;"","")</f>
        <v/>
      </c>
      <c r="D955" s="22" t="str">
        <v/>
      </c>
      <c r="E955" s="22" t="str">
        <f t="shared" si="57"/>
        <v/>
      </c>
      <c r="F955" s="56" t="str">
        <f>IF(AMS!I975="","",AMS!I975)</f>
        <v/>
      </c>
      <c r="G955" s="56" t="str">
        <f>IF(AMS!J975="","",AMS!J975)</f>
        <v/>
      </c>
      <c r="H955" s="22" t="str">
        <f t="array" ref="H955">IF(A955&lt;&gt;" ",IFERROR(INDEX(Summary!$G$3:$G$1000,SMALL((Summary!$G$3:$G$1000="")/0.1%+ROW($3:$1000),ROW()-2)-2)&amp;"",""),"")</f>
        <v/>
      </c>
      <c r="I955" s="22" t="str">
        <f t="shared" si="58"/>
        <v/>
      </c>
      <c r="J955" s="22" t="str">
        <f t="shared" si="59"/>
        <v/>
      </c>
    </row>
    <row r="956" spans="1:10">
      <c r="A956" s="56" t="str">
        <f>IF(AMS!H976="","",AMS!H976)</f>
        <v/>
      </c>
      <c r="B956" s="22" t="str">
        <f t="shared" si="56"/>
        <v/>
      </c>
      <c r="C956" s="22" t="str">
        <f t="array" ref="C956">IFERROR(INDEX(Summary!$I$3:$I$1000,SMALL((Summary!$I$3:$I$1000="")/0.1%+ROW($3:$1000),ROW()-2)-2)&amp;"","")</f>
        <v/>
      </c>
      <c r="D956" s="22" t="str">
        <v/>
      </c>
      <c r="E956" s="22" t="str">
        <f t="shared" si="57"/>
        <v/>
      </c>
      <c r="F956" s="56" t="str">
        <f>IF(AMS!I976="","",AMS!I976)</f>
        <v/>
      </c>
      <c r="G956" s="56" t="str">
        <f>IF(AMS!J976="","",AMS!J976)</f>
        <v/>
      </c>
      <c r="H956" s="22" t="str">
        <f t="array" ref="H956">IF(A956&lt;&gt;" ",IFERROR(INDEX(Summary!$G$3:$G$1000,SMALL((Summary!$G$3:$G$1000="")/0.1%+ROW($3:$1000),ROW()-2)-2)&amp;"",""),"")</f>
        <v/>
      </c>
      <c r="I956" s="22" t="str">
        <f t="shared" si="58"/>
        <v/>
      </c>
      <c r="J956" s="22" t="str">
        <f t="shared" si="59"/>
        <v/>
      </c>
    </row>
    <row r="957" spans="1:10">
      <c r="A957" s="56" t="str">
        <f>IF(AMS!H977="","",AMS!H977)</f>
        <v/>
      </c>
      <c r="B957" s="22" t="str">
        <f t="shared" si="56"/>
        <v/>
      </c>
      <c r="C957" s="22" t="str">
        <f t="array" ref="C957">IFERROR(INDEX(Summary!$I$3:$I$1000,SMALL((Summary!$I$3:$I$1000="")/0.1%+ROW($3:$1000),ROW()-2)-2)&amp;"","")</f>
        <v/>
      </c>
      <c r="D957" s="22" t="str">
        <v/>
      </c>
      <c r="E957" s="22" t="str">
        <f t="shared" si="57"/>
        <v/>
      </c>
      <c r="F957" s="56" t="str">
        <f>IF(AMS!I977="","",AMS!I977)</f>
        <v/>
      </c>
      <c r="G957" s="56" t="str">
        <f>IF(AMS!J977="","",AMS!J977)</f>
        <v/>
      </c>
      <c r="H957" s="22" t="str">
        <f t="array" ref="H957">IF(A957&lt;&gt;" ",IFERROR(INDEX(Summary!$G$3:$G$1000,SMALL((Summary!$G$3:$G$1000="")/0.1%+ROW($3:$1000),ROW()-2)-2)&amp;"",""),"")</f>
        <v/>
      </c>
      <c r="I957" s="22" t="str">
        <f t="shared" si="58"/>
        <v/>
      </c>
      <c r="J957" s="22" t="str">
        <f t="shared" si="59"/>
        <v/>
      </c>
    </row>
    <row r="958" spans="1:10">
      <c r="A958" s="56" t="str">
        <f>IF(AMS!H978="","",AMS!H978)</f>
        <v/>
      </c>
      <c r="B958" s="22" t="str">
        <f t="shared" si="56"/>
        <v/>
      </c>
      <c r="C958" s="22" t="str">
        <f t="array" ref="C958">IFERROR(INDEX(Summary!$I$3:$I$1000,SMALL((Summary!$I$3:$I$1000="")/0.1%+ROW($3:$1000),ROW()-2)-2)&amp;"","")</f>
        <v/>
      </c>
      <c r="D958" s="22" t="str">
        <v/>
      </c>
      <c r="E958" s="22" t="str">
        <f t="shared" si="57"/>
        <v/>
      </c>
      <c r="F958" s="56" t="str">
        <f>IF(AMS!I978="","",AMS!I978)</f>
        <v/>
      </c>
      <c r="G958" s="56" t="str">
        <f>IF(AMS!J978="","",AMS!J978)</f>
        <v/>
      </c>
      <c r="H958" s="22" t="str">
        <f t="array" ref="H958">IF(A958&lt;&gt;" ",IFERROR(INDEX(Summary!$G$3:$G$1000,SMALL((Summary!$G$3:$G$1000="")/0.1%+ROW($3:$1000),ROW()-2)-2)&amp;"",""),"")</f>
        <v/>
      </c>
      <c r="I958" s="22" t="str">
        <f t="shared" si="58"/>
        <v/>
      </c>
      <c r="J958" s="22" t="str">
        <f t="shared" si="59"/>
        <v/>
      </c>
    </row>
    <row r="959" spans="1:10">
      <c r="A959" s="56" t="str">
        <f>IF(AMS!H979="","",AMS!H979)</f>
        <v/>
      </c>
      <c r="B959" s="22" t="str">
        <f t="shared" si="56"/>
        <v/>
      </c>
      <c r="C959" s="22" t="str">
        <f t="array" ref="C959">IFERROR(INDEX(Summary!$I$3:$I$1000,SMALL((Summary!$I$3:$I$1000="")/0.1%+ROW($3:$1000),ROW()-2)-2)&amp;"","")</f>
        <v/>
      </c>
      <c r="D959" s="22" t="str">
        <v/>
      </c>
      <c r="E959" s="22" t="str">
        <f t="shared" si="57"/>
        <v/>
      </c>
      <c r="F959" s="56" t="str">
        <f>IF(AMS!I979="","",AMS!I979)</f>
        <v/>
      </c>
      <c r="G959" s="56" t="str">
        <f>IF(AMS!J979="","",AMS!J979)</f>
        <v/>
      </c>
      <c r="H959" s="22" t="str">
        <f t="array" ref="H959">IF(A959&lt;&gt;" ",IFERROR(INDEX(Summary!$G$3:$G$1000,SMALL((Summary!$G$3:$G$1000="")/0.1%+ROW($3:$1000),ROW()-2)-2)&amp;"",""),"")</f>
        <v/>
      </c>
      <c r="I959" s="22" t="str">
        <f t="shared" si="58"/>
        <v/>
      </c>
      <c r="J959" s="22" t="str">
        <f t="shared" si="59"/>
        <v/>
      </c>
    </row>
    <row r="960" spans="1:10">
      <c r="A960" s="56" t="str">
        <f>IF(AMS!H980="","",AMS!H980)</f>
        <v/>
      </c>
      <c r="B960" s="22" t="str">
        <f t="shared" si="56"/>
        <v/>
      </c>
      <c r="C960" s="22" t="str">
        <f t="array" ref="C960">IFERROR(INDEX(Summary!$I$3:$I$1000,SMALL((Summary!$I$3:$I$1000="")/0.1%+ROW($3:$1000),ROW()-2)-2)&amp;"","")</f>
        <v/>
      </c>
      <c r="D960" s="22" t="str">
        <v/>
      </c>
      <c r="E960" s="22" t="str">
        <f t="shared" si="57"/>
        <v/>
      </c>
      <c r="F960" s="56" t="str">
        <f>IF(AMS!I980="","",AMS!I980)</f>
        <v/>
      </c>
      <c r="G960" s="56" t="str">
        <f>IF(AMS!J980="","",AMS!J980)</f>
        <v/>
      </c>
      <c r="H960" s="22" t="str">
        <f t="array" ref="H960">IF(A960&lt;&gt;" ",IFERROR(INDEX(Summary!$G$3:$G$1000,SMALL((Summary!$G$3:$G$1000="")/0.1%+ROW($3:$1000),ROW()-2)-2)&amp;"",""),"")</f>
        <v/>
      </c>
      <c r="I960" s="22" t="str">
        <f t="shared" si="58"/>
        <v/>
      </c>
      <c r="J960" s="22" t="str">
        <f t="shared" si="59"/>
        <v/>
      </c>
    </row>
    <row r="961" spans="1:10">
      <c r="A961" s="56" t="str">
        <f>IF(AMS!H981="","",AMS!H981)</f>
        <v/>
      </c>
      <c r="B961" s="22" t="str">
        <f t="shared" si="56"/>
        <v/>
      </c>
      <c r="C961" s="22" t="str">
        <f t="array" ref="C961">IFERROR(INDEX(Summary!$I$3:$I$1000,SMALL((Summary!$I$3:$I$1000="")/0.1%+ROW($3:$1000),ROW()-2)-2)&amp;"","")</f>
        <v/>
      </c>
      <c r="D961" s="22" t="str">
        <v/>
      </c>
      <c r="E961" s="22" t="str">
        <f t="shared" si="57"/>
        <v/>
      </c>
      <c r="F961" s="56" t="str">
        <f>IF(AMS!I981="","",AMS!I981)</f>
        <v/>
      </c>
      <c r="G961" s="56" t="str">
        <f>IF(AMS!J981="","",AMS!J981)</f>
        <v/>
      </c>
      <c r="H961" s="22" t="str">
        <f t="array" ref="H961">IF(A961&lt;&gt;" ",IFERROR(INDEX(Summary!$G$3:$G$1000,SMALL((Summary!$G$3:$G$1000="")/0.1%+ROW($3:$1000),ROW()-2)-2)&amp;"",""),"")</f>
        <v/>
      </c>
      <c r="I961" s="22" t="str">
        <f t="shared" si="58"/>
        <v/>
      </c>
      <c r="J961" s="22" t="str">
        <f t="shared" si="59"/>
        <v/>
      </c>
    </row>
    <row r="962" spans="1:10">
      <c r="A962" s="56" t="str">
        <f>IF(AMS!H982="","",AMS!H982)</f>
        <v/>
      </c>
      <c r="B962" s="22" t="str">
        <f t="shared" si="56"/>
        <v/>
      </c>
      <c r="C962" s="22" t="str">
        <f t="array" ref="C962">IFERROR(INDEX(Summary!$I$3:$I$1000,SMALL((Summary!$I$3:$I$1000="")/0.1%+ROW($3:$1000),ROW()-2)-2)&amp;"","")</f>
        <v/>
      </c>
      <c r="D962" s="22" t="str">
        <v/>
      </c>
      <c r="E962" s="22" t="str">
        <f t="shared" si="57"/>
        <v/>
      </c>
      <c r="F962" s="56" t="str">
        <f>IF(AMS!I982="","",AMS!I982)</f>
        <v/>
      </c>
      <c r="G962" s="56" t="str">
        <f>IF(AMS!J982="","",AMS!J982)</f>
        <v/>
      </c>
      <c r="H962" s="22" t="str">
        <f t="array" ref="H962">IF(A962&lt;&gt;" ",IFERROR(INDEX(Summary!$G$3:$G$1000,SMALL((Summary!$G$3:$G$1000="")/0.1%+ROW($3:$1000),ROW()-2)-2)&amp;"",""),"")</f>
        <v/>
      </c>
      <c r="I962" s="22" t="str">
        <f t="shared" si="58"/>
        <v/>
      </c>
      <c r="J962" s="22" t="str">
        <f t="shared" si="59"/>
        <v/>
      </c>
    </row>
    <row r="963" spans="1:10">
      <c r="A963" s="56" t="str">
        <f>IF(AMS!H983="","",AMS!H983)</f>
        <v/>
      </c>
      <c r="B963" s="22" t="str">
        <f t="shared" ref="B963:B1000" si="60">IF(A963&lt;&gt;"",IFERROR(IF(SEARCH(".",A963),LEFT(SUBSTITUTE(A963,".",""),6)),LEFT(SUBSTITUTE(SUBSTITUTE(TRIM(A963)," ","")," ",""),6)),"")</f>
        <v/>
      </c>
      <c r="C963" s="22" t="str">
        <f t="array" ref="C963">IFERROR(INDEX(Summary!$I$3:$I$1000,SMALL((Summary!$I$3:$I$1000="")/0.1%+ROW($3:$1000),ROW()-2)-2)&amp;"","")</f>
        <v/>
      </c>
      <c r="D963" s="22" t="str">
        <v/>
      </c>
      <c r="E963" s="22" t="str">
        <f t="shared" ref="E963:E1000" si="61">LEFT(D963,6)</f>
        <v/>
      </c>
      <c r="F963" s="56" t="str">
        <f>IF(AMS!I983="","",AMS!I983)</f>
        <v/>
      </c>
      <c r="G963" s="56" t="str">
        <f>IF(AMS!J983="","",AMS!J983)</f>
        <v/>
      </c>
      <c r="H963" s="22" t="str">
        <f t="array" ref="H963">IF(A963&lt;&gt;" ",IFERROR(INDEX(Summary!$G$3:$G$1000,SMALL((Summary!$G$3:$G$1000="")/0.1%+ROW($3:$1000),ROW()-2)-2)&amp;"",""),"")</f>
        <v/>
      </c>
      <c r="I963" s="22" t="str">
        <f t="shared" ref="I963:I1000" si="62">B963&amp;F963</f>
        <v/>
      </c>
      <c r="J963" s="22" t="str">
        <f t="shared" ref="J963:J1000" si="63">IF(D963="","",RIGHT(D963,LEN(D963)-6))</f>
        <v/>
      </c>
    </row>
    <row r="964" spans="1:10">
      <c r="A964" s="56" t="str">
        <f>IF(AMS!H984="","",AMS!H984)</f>
        <v/>
      </c>
      <c r="B964" s="22" t="str">
        <f t="shared" si="60"/>
        <v/>
      </c>
      <c r="C964" s="22" t="str">
        <f t="array" ref="C964">IFERROR(INDEX(Summary!$I$3:$I$1000,SMALL((Summary!$I$3:$I$1000="")/0.1%+ROW($3:$1000),ROW()-2)-2)&amp;"","")</f>
        <v/>
      </c>
      <c r="D964" s="22" t="str">
        <v/>
      </c>
      <c r="E964" s="22" t="str">
        <f t="shared" si="61"/>
        <v/>
      </c>
      <c r="F964" s="56" t="str">
        <f>IF(AMS!I984="","",AMS!I984)</f>
        <v/>
      </c>
      <c r="G964" s="56" t="str">
        <f>IF(AMS!J984="","",AMS!J984)</f>
        <v/>
      </c>
      <c r="H964" s="22" t="str">
        <f t="array" ref="H964">IF(A964&lt;&gt;" ",IFERROR(INDEX(Summary!$G$3:$G$1000,SMALL((Summary!$G$3:$G$1000="")/0.1%+ROW($3:$1000),ROW()-2)-2)&amp;"",""),"")</f>
        <v/>
      </c>
      <c r="I964" s="22" t="str">
        <f t="shared" si="62"/>
        <v/>
      </c>
      <c r="J964" s="22" t="str">
        <f t="shared" si="63"/>
        <v/>
      </c>
    </row>
    <row r="965" spans="1:10">
      <c r="A965" s="56" t="str">
        <f>IF(AMS!H985="","",AMS!H985)</f>
        <v/>
      </c>
      <c r="B965" s="22" t="str">
        <f t="shared" si="60"/>
        <v/>
      </c>
      <c r="C965" s="22" t="str">
        <f t="array" ref="C965">IFERROR(INDEX(Summary!$I$3:$I$1000,SMALL((Summary!$I$3:$I$1000="")/0.1%+ROW($3:$1000),ROW()-2)-2)&amp;"","")</f>
        <v/>
      </c>
      <c r="D965" s="22" t="str">
        <v/>
      </c>
      <c r="E965" s="22" t="str">
        <f t="shared" si="61"/>
        <v/>
      </c>
      <c r="F965" s="56" t="str">
        <f>IF(AMS!I985="","",AMS!I985)</f>
        <v/>
      </c>
      <c r="G965" s="56" t="str">
        <f>IF(AMS!J985="","",AMS!J985)</f>
        <v/>
      </c>
      <c r="H965" s="22" t="str">
        <f t="array" ref="H965">IF(A965&lt;&gt;" ",IFERROR(INDEX(Summary!$G$3:$G$1000,SMALL((Summary!$G$3:$G$1000="")/0.1%+ROW($3:$1000),ROW()-2)-2)&amp;"",""),"")</f>
        <v/>
      </c>
      <c r="I965" s="22" t="str">
        <f t="shared" si="62"/>
        <v/>
      </c>
      <c r="J965" s="22" t="str">
        <f t="shared" si="63"/>
        <v/>
      </c>
    </row>
    <row r="966" spans="1:10">
      <c r="A966" s="56" t="str">
        <f>IF(AMS!H986="","",AMS!H986)</f>
        <v/>
      </c>
      <c r="B966" s="22" t="str">
        <f t="shared" si="60"/>
        <v/>
      </c>
      <c r="C966" s="22" t="str">
        <f t="array" ref="C966">IFERROR(INDEX(Summary!$I$3:$I$1000,SMALL((Summary!$I$3:$I$1000="")/0.1%+ROW($3:$1000),ROW()-2)-2)&amp;"","")</f>
        <v/>
      </c>
      <c r="D966" s="22" t="str">
        <v/>
      </c>
      <c r="E966" s="22" t="str">
        <f t="shared" si="61"/>
        <v/>
      </c>
      <c r="F966" s="56" t="str">
        <f>IF(AMS!I986="","",AMS!I986)</f>
        <v/>
      </c>
      <c r="G966" s="56" t="str">
        <f>IF(AMS!J986="","",AMS!J986)</f>
        <v/>
      </c>
      <c r="H966" s="22" t="str">
        <f t="array" ref="H966">IF(A966&lt;&gt;" ",IFERROR(INDEX(Summary!$G$3:$G$1000,SMALL((Summary!$G$3:$G$1000="")/0.1%+ROW($3:$1000),ROW()-2)-2)&amp;"",""),"")</f>
        <v/>
      </c>
      <c r="I966" s="22" t="str">
        <f t="shared" si="62"/>
        <v/>
      </c>
      <c r="J966" s="22" t="str">
        <f t="shared" si="63"/>
        <v/>
      </c>
    </row>
    <row r="967" spans="1:10">
      <c r="A967" s="56" t="str">
        <f>IF(AMS!H987="","",AMS!H987)</f>
        <v/>
      </c>
      <c r="B967" s="22" t="str">
        <f t="shared" si="60"/>
        <v/>
      </c>
      <c r="C967" s="22" t="str">
        <f t="array" ref="C967">IFERROR(INDEX(Summary!$I$3:$I$1000,SMALL((Summary!$I$3:$I$1000="")/0.1%+ROW($3:$1000),ROW()-2)-2)&amp;"","")</f>
        <v/>
      </c>
      <c r="D967" s="22" t="str">
        <v/>
      </c>
      <c r="E967" s="22" t="str">
        <f t="shared" si="61"/>
        <v/>
      </c>
      <c r="F967" s="56" t="str">
        <f>IF(AMS!I987="","",AMS!I987)</f>
        <v/>
      </c>
      <c r="G967" s="56" t="str">
        <f>IF(AMS!J987="","",AMS!J987)</f>
        <v/>
      </c>
      <c r="H967" s="22" t="str">
        <f t="array" ref="H967">IF(A967&lt;&gt;" ",IFERROR(INDEX(Summary!$G$3:$G$1000,SMALL((Summary!$G$3:$G$1000="")/0.1%+ROW($3:$1000),ROW()-2)-2)&amp;"",""),"")</f>
        <v/>
      </c>
      <c r="I967" s="22" t="str">
        <f t="shared" si="62"/>
        <v/>
      </c>
      <c r="J967" s="22" t="str">
        <f t="shared" si="63"/>
        <v/>
      </c>
    </row>
    <row r="968" spans="1:10">
      <c r="A968" s="56" t="str">
        <f>IF(AMS!H988="","",AMS!H988)</f>
        <v/>
      </c>
      <c r="B968" s="22" t="str">
        <f t="shared" si="60"/>
        <v/>
      </c>
      <c r="C968" s="22" t="str">
        <f t="array" ref="C968">IFERROR(INDEX(Summary!$I$3:$I$1000,SMALL((Summary!$I$3:$I$1000="")/0.1%+ROW($3:$1000),ROW()-2)-2)&amp;"","")</f>
        <v/>
      </c>
      <c r="D968" s="22" t="str">
        <v/>
      </c>
      <c r="E968" s="22" t="str">
        <f t="shared" si="61"/>
        <v/>
      </c>
      <c r="F968" s="56" t="str">
        <f>IF(AMS!I988="","",AMS!I988)</f>
        <v/>
      </c>
      <c r="G968" s="56" t="str">
        <f>IF(AMS!J988="","",AMS!J988)</f>
        <v/>
      </c>
      <c r="H968" s="22" t="str">
        <f t="array" ref="H968">IF(A968&lt;&gt;" ",IFERROR(INDEX(Summary!$G$3:$G$1000,SMALL((Summary!$G$3:$G$1000="")/0.1%+ROW($3:$1000),ROW()-2)-2)&amp;"",""),"")</f>
        <v/>
      </c>
      <c r="I968" s="22" t="str">
        <f t="shared" si="62"/>
        <v/>
      </c>
      <c r="J968" s="22" t="str">
        <f t="shared" si="63"/>
        <v/>
      </c>
    </row>
    <row r="969" spans="1:10">
      <c r="A969" s="56" t="str">
        <f>IF(AMS!H989="","",AMS!H989)</f>
        <v/>
      </c>
      <c r="B969" s="22" t="str">
        <f t="shared" si="60"/>
        <v/>
      </c>
      <c r="C969" s="22" t="str">
        <f t="array" ref="C969">IFERROR(INDEX(Summary!$I$3:$I$1000,SMALL((Summary!$I$3:$I$1000="")/0.1%+ROW($3:$1000),ROW()-2)-2)&amp;"","")</f>
        <v/>
      </c>
      <c r="D969" s="22" t="str">
        <v/>
      </c>
      <c r="E969" s="22" t="str">
        <f t="shared" si="61"/>
        <v/>
      </c>
      <c r="F969" s="56" t="str">
        <f>IF(AMS!I989="","",AMS!I989)</f>
        <v/>
      </c>
      <c r="G969" s="56" t="str">
        <f>IF(AMS!J989="","",AMS!J989)</f>
        <v/>
      </c>
      <c r="H969" s="22" t="str">
        <f t="array" ref="H969">IF(A969&lt;&gt;" ",IFERROR(INDEX(Summary!$G$3:$G$1000,SMALL((Summary!$G$3:$G$1000="")/0.1%+ROW($3:$1000),ROW()-2)-2)&amp;"",""),"")</f>
        <v/>
      </c>
      <c r="I969" s="22" t="str">
        <f t="shared" si="62"/>
        <v/>
      </c>
      <c r="J969" s="22" t="str">
        <f t="shared" si="63"/>
        <v/>
      </c>
    </row>
    <row r="970" spans="1:10">
      <c r="A970" s="56" t="str">
        <f>IF(AMS!H990="","",AMS!H990)</f>
        <v/>
      </c>
      <c r="B970" s="22" t="str">
        <f t="shared" si="60"/>
        <v/>
      </c>
      <c r="C970" s="22" t="str">
        <f t="array" ref="C970">IFERROR(INDEX(Summary!$I$3:$I$1000,SMALL((Summary!$I$3:$I$1000="")/0.1%+ROW($3:$1000),ROW()-2)-2)&amp;"","")</f>
        <v/>
      </c>
      <c r="D970" s="22" t="str">
        <v/>
      </c>
      <c r="E970" s="22" t="str">
        <f t="shared" si="61"/>
        <v/>
      </c>
      <c r="F970" s="56" t="str">
        <f>IF(AMS!I990="","",AMS!I990)</f>
        <v/>
      </c>
      <c r="G970" s="56" t="str">
        <f>IF(AMS!J990="","",AMS!J990)</f>
        <v/>
      </c>
      <c r="H970" s="22" t="str">
        <f t="array" ref="H970">IF(A970&lt;&gt;" ",IFERROR(INDEX(Summary!$G$3:$G$1000,SMALL((Summary!$G$3:$G$1000="")/0.1%+ROW($3:$1000),ROW()-2)-2)&amp;"",""),"")</f>
        <v/>
      </c>
      <c r="I970" s="22" t="str">
        <f t="shared" si="62"/>
        <v/>
      </c>
      <c r="J970" s="22" t="str">
        <f t="shared" si="63"/>
        <v/>
      </c>
    </row>
    <row r="971" spans="1:10">
      <c r="A971" s="56" t="str">
        <f>IF(AMS!H991="","",AMS!H991)</f>
        <v/>
      </c>
      <c r="B971" s="22" t="str">
        <f t="shared" si="60"/>
        <v/>
      </c>
      <c r="C971" s="22" t="str">
        <f t="array" ref="C971">IFERROR(INDEX(Summary!$I$3:$I$1000,SMALL((Summary!$I$3:$I$1000="")/0.1%+ROW($3:$1000),ROW()-2)-2)&amp;"","")</f>
        <v/>
      </c>
      <c r="D971" s="22" t="str">
        <v/>
      </c>
      <c r="E971" s="22" t="str">
        <f t="shared" si="61"/>
        <v/>
      </c>
      <c r="F971" s="56" t="str">
        <f>IF(AMS!I991="","",AMS!I991)</f>
        <v/>
      </c>
      <c r="G971" s="56" t="str">
        <f>IF(AMS!J991="","",AMS!J991)</f>
        <v/>
      </c>
      <c r="H971" s="22" t="str">
        <f t="array" ref="H971">IF(A971&lt;&gt;" ",IFERROR(INDEX(Summary!$G$3:$G$1000,SMALL((Summary!$G$3:$G$1000="")/0.1%+ROW($3:$1000),ROW()-2)-2)&amp;"",""),"")</f>
        <v/>
      </c>
      <c r="I971" s="22" t="str">
        <f t="shared" si="62"/>
        <v/>
      </c>
      <c r="J971" s="22" t="str">
        <f t="shared" si="63"/>
        <v/>
      </c>
    </row>
    <row r="972" spans="1:10">
      <c r="A972" s="56" t="str">
        <f>IF(AMS!H992="","",AMS!H992)</f>
        <v/>
      </c>
      <c r="B972" s="22" t="str">
        <f t="shared" si="60"/>
        <v/>
      </c>
      <c r="C972" s="22" t="str">
        <f t="array" ref="C972">IFERROR(INDEX(Summary!$I$3:$I$1000,SMALL((Summary!$I$3:$I$1000="")/0.1%+ROW($3:$1000),ROW()-2)-2)&amp;"","")</f>
        <v/>
      </c>
      <c r="D972" s="22" t="str">
        <v/>
      </c>
      <c r="E972" s="22" t="str">
        <f t="shared" si="61"/>
        <v/>
      </c>
      <c r="F972" s="56" t="str">
        <f>IF(AMS!I992="","",AMS!I992)</f>
        <v/>
      </c>
      <c r="G972" s="56" t="str">
        <f>IF(AMS!J992="","",AMS!J992)</f>
        <v/>
      </c>
      <c r="H972" s="22" t="str">
        <f t="array" ref="H972">IF(A972&lt;&gt;" ",IFERROR(INDEX(Summary!$G$3:$G$1000,SMALL((Summary!$G$3:$G$1000="")/0.1%+ROW($3:$1000),ROW()-2)-2)&amp;"",""),"")</f>
        <v/>
      </c>
      <c r="I972" s="22" t="str">
        <f t="shared" si="62"/>
        <v/>
      </c>
      <c r="J972" s="22" t="str">
        <f t="shared" si="63"/>
        <v/>
      </c>
    </row>
    <row r="973" spans="1:10">
      <c r="A973" s="56" t="str">
        <f>IF(AMS!H993="","",AMS!H993)</f>
        <v/>
      </c>
      <c r="B973" s="22" t="str">
        <f t="shared" si="60"/>
        <v/>
      </c>
      <c r="C973" s="22" t="str">
        <f t="array" ref="C973">IFERROR(INDEX(Summary!$I$3:$I$1000,SMALL((Summary!$I$3:$I$1000="")/0.1%+ROW($3:$1000),ROW()-2)-2)&amp;"","")</f>
        <v/>
      </c>
      <c r="D973" s="22" t="str">
        <v/>
      </c>
      <c r="E973" s="22" t="str">
        <f t="shared" si="61"/>
        <v/>
      </c>
      <c r="F973" s="56" t="str">
        <f>IF(AMS!I993="","",AMS!I993)</f>
        <v/>
      </c>
      <c r="G973" s="56" t="str">
        <f>IF(AMS!J993="","",AMS!J993)</f>
        <v/>
      </c>
      <c r="H973" s="22" t="str">
        <f t="array" ref="H973">IF(A973&lt;&gt;" ",IFERROR(INDEX(Summary!$G$3:$G$1000,SMALL((Summary!$G$3:$G$1000="")/0.1%+ROW($3:$1000),ROW()-2)-2)&amp;"",""),"")</f>
        <v/>
      </c>
      <c r="I973" s="22" t="str">
        <f t="shared" si="62"/>
        <v/>
      </c>
      <c r="J973" s="22" t="str">
        <f t="shared" si="63"/>
        <v/>
      </c>
    </row>
    <row r="974" spans="1:10">
      <c r="A974" s="56" t="str">
        <f>IF(AMS!H994="","",AMS!H994)</f>
        <v/>
      </c>
      <c r="B974" s="22" t="str">
        <f t="shared" si="60"/>
        <v/>
      </c>
      <c r="C974" s="22" t="str">
        <f t="array" ref="C974">IFERROR(INDEX(Summary!$I$3:$I$1000,SMALL((Summary!$I$3:$I$1000="")/0.1%+ROW($3:$1000),ROW()-2)-2)&amp;"","")</f>
        <v/>
      </c>
      <c r="D974" s="22" t="str">
        <v/>
      </c>
      <c r="E974" s="22" t="str">
        <f t="shared" si="61"/>
        <v/>
      </c>
      <c r="F974" s="56" t="str">
        <f>IF(AMS!I994="","",AMS!I994)</f>
        <v/>
      </c>
      <c r="G974" s="56" t="str">
        <f>IF(AMS!J994="","",AMS!J994)</f>
        <v/>
      </c>
      <c r="H974" s="22" t="str">
        <f t="array" ref="H974">IF(A974&lt;&gt;" ",IFERROR(INDEX(Summary!$G$3:$G$1000,SMALL((Summary!$G$3:$G$1000="")/0.1%+ROW($3:$1000),ROW()-2)-2)&amp;"",""),"")</f>
        <v/>
      </c>
      <c r="I974" s="22" t="str">
        <f t="shared" si="62"/>
        <v/>
      </c>
      <c r="J974" s="22" t="str">
        <f t="shared" si="63"/>
        <v/>
      </c>
    </row>
    <row r="975" spans="1:10">
      <c r="A975" s="56" t="str">
        <f>IF(AMS!H995="","",AMS!H995)</f>
        <v/>
      </c>
      <c r="B975" s="22" t="str">
        <f t="shared" si="60"/>
        <v/>
      </c>
      <c r="C975" s="22" t="str">
        <f t="array" ref="C975">IFERROR(INDEX(Summary!$I$3:$I$1000,SMALL((Summary!$I$3:$I$1000="")/0.1%+ROW($3:$1000),ROW()-2)-2)&amp;"","")</f>
        <v/>
      </c>
      <c r="D975" s="22" t="str">
        <v/>
      </c>
      <c r="E975" s="22" t="str">
        <f t="shared" si="61"/>
        <v/>
      </c>
      <c r="F975" s="56" t="str">
        <f>IF(AMS!I995="","",AMS!I995)</f>
        <v/>
      </c>
      <c r="G975" s="56" t="str">
        <f>IF(AMS!J995="","",AMS!J995)</f>
        <v/>
      </c>
      <c r="H975" s="22" t="str">
        <f t="array" ref="H975">IF(A975&lt;&gt;" ",IFERROR(INDEX(Summary!$G$3:$G$1000,SMALL((Summary!$G$3:$G$1000="")/0.1%+ROW($3:$1000),ROW()-2)-2)&amp;"",""),"")</f>
        <v/>
      </c>
      <c r="I975" s="22" t="str">
        <f t="shared" si="62"/>
        <v/>
      </c>
      <c r="J975" s="22" t="str">
        <f t="shared" si="63"/>
        <v/>
      </c>
    </row>
    <row r="976" spans="1:10">
      <c r="A976" s="56" t="str">
        <f>IF(AMS!H996="","",AMS!H996)</f>
        <v/>
      </c>
      <c r="B976" s="22" t="str">
        <f t="shared" si="60"/>
        <v/>
      </c>
      <c r="C976" s="22" t="str">
        <f t="array" ref="C976">IFERROR(INDEX(Summary!$I$3:$I$1000,SMALL((Summary!$I$3:$I$1000="")/0.1%+ROW($3:$1000),ROW()-2)-2)&amp;"","")</f>
        <v/>
      </c>
      <c r="D976" s="22" t="str">
        <v/>
      </c>
      <c r="E976" s="22" t="str">
        <f t="shared" si="61"/>
        <v/>
      </c>
      <c r="F976" s="56" t="str">
        <f>IF(AMS!I996="","",AMS!I996)</f>
        <v/>
      </c>
      <c r="G976" s="56" t="str">
        <f>IF(AMS!J996="","",AMS!J996)</f>
        <v/>
      </c>
      <c r="H976" s="22" t="str">
        <f t="array" ref="H976">IF(A976&lt;&gt;" ",IFERROR(INDEX(Summary!$G$3:$G$1000,SMALL((Summary!$G$3:$G$1000="")/0.1%+ROW($3:$1000),ROW()-2)-2)&amp;"",""),"")</f>
        <v/>
      </c>
      <c r="I976" s="22" t="str">
        <f t="shared" si="62"/>
        <v/>
      </c>
      <c r="J976" s="22" t="str">
        <f t="shared" si="63"/>
        <v/>
      </c>
    </row>
    <row r="977" spans="1:10">
      <c r="A977" s="56" t="str">
        <f>IF(AMS!H997="","",AMS!H997)</f>
        <v/>
      </c>
      <c r="B977" s="22" t="str">
        <f t="shared" si="60"/>
        <v/>
      </c>
      <c r="C977" s="22" t="str">
        <f t="array" ref="C977">IFERROR(INDEX(Summary!$I$3:$I$1000,SMALL((Summary!$I$3:$I$1000="")/0.1%+ROW($3:$1000),ROW()-2)-2)&amp;"","")</f>
        <v/>
      </c>
      <c r="D977" s="22" t="str">
        <v/>
      </c>
      <c r="E977" s="22" t="str">
        <f t="shared" si="61"/>
        <v/>
      </c>
      <c r="F977" s="56" t="str">
        <f>IF(AMS!I997="","",AMS!I997)</f>
        <v/>
      </c>
      <c r="G977" s="56" t="str">
        <f>IF(AMS!J997="","",AMS!J997)</f>
        <v/>
      </c>
      <c r="H977" s="22" t="str">
        <f t="array" ref="H977">IF(A977&lt;&gt;" ",IFERROR(INDEX(Summary!$G$3:$G$1000,SMALL((Summary!$G$3:$G$1000="")/0.1%+ROW($3:$1000),ROW()-2)-2)&amp;"",""),"")</f>
        <v/>
      </c>
      <c r="I977" s="22" t="str">
        <f t="shared" si="62"/>
        <v/>
      </c>
      <c r="J977" s="22" t="str">
        <f t="shared" si="63"/>
        <v/>
      </c>
    </row>
    <row r="978" spans="1:10">
      <c r="A978" s="56" t="str">
        <f>IF(AMS!H998="","",AMS!H998)</f>
        <v/>
      </c>
      <c r="B978" s="22" t="str">
        <f t="shared" si="60"/>
        <v/>
      </c>
      <c r="C978" s="22" t="str">
        <f t="array" ref="C978">IFERROR(INDEX(Summary!$I$3:$I$1000,SMALL((Summary!$I$3:$I$1000="")/0.1%+ROW($3:$1000),ROW()-2)-2)&amp;"","")</f>
        <v/>
      </c>
      <c r="D978" s="22" t="str">
        <v/>
      </c>
      <c r="E978" s="22" t="str">
        <f t="shared" si="61"/>
        <v/>
      </c>
      <c r="F978" s="56" t="str">
        <f>IF(AMS!I998="","",AMS!I998)</f>
        <v/>
      </c>
      <c r="G978" s="56" t="str">
        <f>IF(AMS!J998="","",AMS!J998)</f>
        <v/>
      </c>
      <c r="H978" s="22" t="str">
        <f t="array" ref="H978">IF(A978&lt;&gt;" ",IFERROR(INDEX(Summary!$G$3:$G$1000,SMALL((Summary!$G$3:$G$1000="")/0.1%+ROW($3:$1000),ROW()-2)-2)&amp;"",""),"")</f>
        <v/>
      </c>
      <c r="I978" s="22" t="str">
        <f t="shared" si="62"/>
        <v/>
      </c>
      <c r="J978" s="22" t="str">
        <f t="shared" si="63"/>
        <v/>
      </c>
    </row>
    <row r="979" spans="1:10">
      <c r="A979" s="56" t="str">
        <f>IF(AMS!H999="","",AMS!H999)</f>
        <v/>
      </c>
      <c r="B979" s="22" t="str">
        <f t="shared" si="60"/>
        <v/>
      </c>
      <c r="C979" s="22" t="str">
        <f t="array" ref="C979">IFERROR(INDEX(Summary!$I$3:$I$1000,SMALL((Summary!$I$3:$I$1000="")/0.1%+ROW($3:$1000),ROW()-2)-2)&amp;"","")</f>
        <v/>
      </c>
      <c r="D979" s="22" t="str">
        <v/>
      </c>
      <c r="E979" s="22" t="str">
        <f t="shared" si="61"/>
        <v/>
      </c>
      <c r="F979" s="56" t="str">
        <f>IF(AMS!I999="","",AMS!I999)</f>
        <v/>
      </c>
      <c r="G979" s="56" t="str">
        <f>IF(AMS!J999="","",AMS!J999)</f>
        <v/>
      </c>
      <c r="H979" s="22" t="str">
        <f t="array" ref="H979">IF(A979&lt;&gt;" ",IFERROR(INDEX(Summary!$G$3:$G$1000,SMALL((Summary!$G$3:$G$1000="")/0.1%+ROW($3:$1000),ROW()-2)-2)&amp;"",""),"")</f>
        <v/>
      </c>
      <c r="I979" s="22" t="str">
        <f t="shared" si="62"/>
        <v/>
      </c>
      <c r="J979" s="22" t="str">
        <f t="shared" si="63"/>
        <v/>
      </c>
    </row>
    <row r="980" spans="1:10">
      <c r="A980" s="56" t="str">
        <f>IF(AMS!H1000="","",AMS!H1000)</f>
        <v/>
      </c>
      <c r="B980" s="22" t="str">
        <f t="shared" si="60"/>
        <v/>
      </c>
      <c r="C980" s="22" t="str">
        <f t="array" ref="C980">IFERROR(INDEX(Summary!$I$3:$I$1000,SMALL((Summary!$I$3:$I$1000="")/0.1%+ROW($3:$1000),ROW()-2)-2)&amp;"","")</f>
        <v/>
      </c>
      <c r="D980" s="22" t="str">
        <v/>
      </c>
      <c r="E980" s="22" t="str">
        <f t="shared" si="61"/>
        <v/>
      </c>
      <c r="F980" s="56" t="str">
        <f>IF(AMS!I1000="","",AMS!I1000)</f>
        <v/>
      </c>
      <c r="G980" s="56" t="str">
        <f>IF(AMS!J1000="","",AMS!J1000)</f>
        <v/>
      </c>
      <c r="H980" s="22" t="str">
        <f t="array" ref="H980">IF(A980&lt;&gt;" ",IFERROR(INDEX(Summary!$G$3:$G$1000,SMALL((Summary!$G$3:$G$1000="")/0.1%+ROW($3:$1000),ROW()-2)-2)&amp;"",""),"")</f>
        <v/>
      </c>
      <c r="I980" s="22" t="str">
        <f t="shared" si="62"/>
        <v/>
      </c>
      <c r="J980" s="22" t="str">
        <f t="shared" si="63"/>
        <v/>
      </c>
    </row>
    <row r="981" spans="1:10">
      <c r="A981" s="56" t="str">
        <f>IF(AMS!H1001="","",AMS!H1001)</f>
        <v/>
      </c>
      <c r="B981" s="22" t="str">
        <f t="shared" si="60"/>
        <v/>
      </c>
      <c r="C981" s="22" t="str">
        <f t="array" ref="C981">IFERROR(INDEX(Summary!$I$3:$I$1000,SMALL((Summary!$I$3:$I$1000="")/0.1%+ROW($3:$1000),ROW()-2)-2)&amp;"","")</f>
        <v/>
      </c>
      <c r="D981" s="22" t="str">
        <v/>
      </c>
      <c r="E981" s="22" t="str">
        <f t="shared" si="61"/>
        <v/>
      </c>
      <c r="F981" s="56" t="str">
        <f>IF(AMS!I1001="","",AMS!I1001)</f>
        <v/>
      </c>
      <c r="G981" s="56" t="str">
        <f>IF(AMS!J1001="","",AMS!J1001)</f>
        <v/>
      </c>
      <c r="H981" s="22" t="str">
        <f t="array" ref="H981">IF(A981&lt;&gt;" ",IFERROR(INDEX(Summary!$G$3:$G$1000,SMALL((Summary!$G$3:$G$1000="")/0.1%+ROW($3:$1000),ROW()-2)-2)&amp;"",""),"")</f>
        <v/>
      </c>
      <c r="I981" s="22" t="str">
        <f t="shared" si="62"/>
        <v/>
      </c>
      <c r="J981" s="22" t="str">
        <f t="shared" si="63"/>
        <v/>
      </c>
    </row>
    <row r="982" spans="1:10">
      <c r="A982" s="56" t="str">
        <f>IF(AMS!H1002="","",AMS!H1002)</f>
        <v/>
      </c>
      <c r="B982" s="22" t="str">
        <f t="shared" si="60"/>
        <v/>
      </c>
      <c r="C982" s="22" t="str">
        <f t="array" ref="C982">IFERROR(INDEX(Summary!$I$3:$I$1000,SMALL((Summary!$I$3:$I$1000="")/0.1%+ROW($3:$1000),ROW()-2)-2)&amp;"","")</f>
        <v/>
      </c>
      <c r="D982" s="22" t="str">
        <v/>
      </c>
      <c r="E982" s="22" t="str">
        <f t="shared" si="61"/>
        <v/>
      </c>
      <c r="F982" s="56" t="str">
        <f>IF(AMS!I1002="","",AMS!I1002)</f>
        <v/>
      </c>
      <c r="G982" s="56" t="str">
        <f>IF(AMS!J1002="","",AMS!J1002)</f>
        <v/>
      </c>
      <c r="H982" s="22" t="str">
        <f t="array" ref="H982">IF(A982&lt;&gt;" ",IFERROR(INDEX(Summary!$G$3:$G$1000,SMALL((Summary!$G$3:$G$1000="")/0.1%+ROW($3:$1000),ROW()-2)-2)&amp;"",""),"")</f>
        <v/>
      </c>
      <c r="I982" s="22" t="str">
        <f t="shared" si="62"/>
        <v/>
      </c>
      <c r="J982" s="22" t="str">
        <f t="shared" si="63"/>
        <v/>
      </c>
    </row>
    <row r="983" spans="1:10">
      <c r="A983" s="56" t="str">
        <f>IF(AMS!H1003="","",AMS!H1003)</f>
        <v/>
      </c>
      <c r="B983" s="22" t="str">
        <f t="shared" si="60"/>
        <v/>
      </c>
      <c r="C983" s="22" t="str">
        <f t="array" ref="C983">IFERROR(INDEX(Summary!$I$3:$I$1000,SMALL((Summary!$I$3:$I$1000="")/0.1%+ROW($3:$1000),ROW()-2)-2)&amp;"","")</f>
        <v/>
      </c>
      <c r="D983" s="22" t="str">
        <v/>
      </c>
      <c r="E983" s="22" t="str">
        <f t="shared" si="61"/>
        <v/>
      </c>
      <c r="F983" s="56" t="str">
        <f>IF(AMS!I1003="","",AMS!I1003)</f>
        <v/>
      </c>
      <c r="G983" s="56" t="str">
        <f>IF(AMS!J1003="","",AMS!J1003)</f>
        <v/>
      </c>
      <c r="H983" s="22" t="str">
        <f t="array" ref="H983">IF(A983&lt;&gt;" ",IFERROR(INDEX(Summary!$G$3:$G$1000,SMALL((Summary!$G$3:$G$1000="")/0.1%+ROW($3:$1000),ROW()-2)-2)&amp;"",""),"")</f>
        <v/>
      </c>
      <c r="I983" s="22" t="str">
        <f t="shared" si="62"/>
        <v/>
      </c>
      <c r="J983" s="22" t="str">
        <f t="shared" si="63"/>
        <v/>
      </c>
    </row>
    <row r="984" spans="1:10">
      <c r="A984" s="56" t="str">
        <f>IF(AMS!H1004="","",AMS!H1004)</f>
        <v/>
      </c>
      <c r="B984" s="22" t="str">
        <f t="shared" si="60"/>
        <v/>
      </c>
      <c r="C984" s="22" t="str">
        <f t="array" ref="C984">IFERROR(INDEX(Summary!$I$3:$I$1000,SMALL((Summary!$I$3:$I$1000="")/0.1%+ROW($3:$1000),ROW()-2)-2)&amp;"","")</f>
        <v/>
      </c>
      <c r="D984" s="22" t="str">
        <v/>
      </c>
      <c r="E984" s="22" t="str">
        <f t="shared" si="61"/>
        <v/>
      </c>
      <c r="F984" s="56" t="str">
        <f>IF(AMS!I1004="","",AMS!I1004)</f>
        <v/>
      </c>
      <c r="G984" s="56" t="str">
        <f>IF(AMS!J1004="","",AMS!J1004)</f>
        <v/>
      </c>
      <c r="H984" s="22" t="str">
        <f t="array" ref="H984">IF(A984&lt;&gt;" ",IFERROR(INDEX(Summary!$G$3:$G$1000,SMALL((Summary!$G$3:$G$1000="")/0.1%+ROW($3:$1000),ROW()-2)-2)&amp;"",""),"")</f>
        <v/>
      </c>
      <c r="I984" s="22" t="str">
        <f t="shared" si="62"/>
        <v/>
      </c>
      <c r="J984" s="22" t="str">
        <f t="shared" si="63"/>
        <v/>
      </c>
    </row>
    <row r="985" spans="1:10">
      <c r="A985" s="56" t="str">
        <f>IF(AMS!H1005="","",AMS!H1005)</f>
        <v/>
      </c>
      <c r="B985" s="22" t="str">
        <f t="shared" si="60"/>
        <v/>
      </c>
      <c r="C985" s="22" t="str">
        <f t="array" ref="C985">IFERROR(INDEX(Summary!$I$3:$I$1000,SMALL((Summary!$I$3:$I$1000="")/0.1%+ROW($3:$1000),ROW()-2)-2)&amp;"","")</f>
        <v/>
      </c>
      <c r="D985" s="22" t="str">
        <v/>
      </c>
      <c r="E985" s="22" t="str">
        <f t="shared" si="61"/>
        <v/>
      </c>
      <c r="F985" s="56" t="str">
        <f>IF(AMS!I1005="","",AMS!I1005)</f>
        <v/>
      </c>
      <c r="G985" s="56" t="str">
        <f>IF(AMS!J1005="","",AMS!J1005)</f>
        <v/>
      </c>
      <c r="H985" s="22" t="str">
        <f t="array" ref="H985">IF(A985&lt;&gt;" ",IFERROR(INDEX(Summary!$G$3:$G$1000,SMALL((Summary!$G$3:$G$1000="")/0.1%+ROW($3:$1000),ROW()-2)-2)&amp;"",""),"")</f>
        <v/>
      </c>
      <c r="I985" s="22" t="str">
        <f t="shared" si="62"/>
        <v/>
      </c>
      <c r="J985" s="22" t="str">
        <f t="shared" si="63"/>
        <v/>
      </c>
    </row>
    <row r="986" spans="1:10">
      <c r="A986" s="56" t="str">
        <f>IF(AMS!H1006="","",AMS!H1006)</f>
        <v/>
      </c>
      <c r="B986" s="22" t="str">
        <f t="shared" si="60"/>
        <v/>
      </c>
      <c r="C986" s="22" t="str">
        <f t="array" ref="C986">IFERROR(INDEX(Summary!$I$3:$I$1000,SMALL((Summary!$I$3:$I$1000="")/0.1%+ROW($3:$1000),ROW()-2)-2)&amp;"","")</f>
        <v/>
      </c>
      <c r="D986" s="22" t="str">
        <v/>
      </c>
      <c r="E986" s="22" t="str">
        <f t="shared" si="61"/>
        <v/>
      </c>
      <c r="F986" s="56" t="str">
        <f>IF(AMS!I1006="","",AMS!I1006)</f>
        <v/>
      </c>
      <c r="G986" s="56" t="str">
        <f>IF(AMS!J1006="","",AMS!J1006)</f>
        <v/>
      </c>
      <c r="H986" s="22" t="str">
        <f t="array" ref="H986">IF(A986&lt;&gt;" ",IFERROR(INDEX(Summary!$G$3:$G$1000,SMALL((Summary!$G$3:$G$1000="")/0.1%+ROW($3:$1000),ROW()-2)-2)&amp;"",""),"")</f>
        <v/>
      </c>
      <c r="I986" s="22" t="str">
        <f t="shared" si="62"/>
        <v/>
      </c>
      <c r="J986" s="22" t="str">
        <f t="shared" si="63"/>
        <v/>
      </c>
    </row>
    <row r="987" spans="1:10">
      <c r="A987" s="56" t="str">
        <f>IF(AMS!H1007="","",AMS!H1007)</f>
        <v/>
      </c>
      <c r="B987" s="22" t="str">
        <f t="shared" si="60"/>
        <v/>
      </c>
      <c r="C987" s="22" t="str">
        <f t="array" ref="C987">IFERROR(INDEX(Summary!$I$3:$I$1000,SMALL((Summary!$I$3:$I$1000="")/0.1%+ROW($3:$1000),ROW()-2)-2)&amp;"","")</f>
        <v/>
      </c>
      <c r="D987" s="22" t="str">
        <v/>
      </c>
      <c r="E987" s="22" t="str">
        <f t="shared" si="61"/>
        <v/>
      </c>
      <c r="F987" s="56" t="str">
        <f>IF(AMS!I1007="","",AMS!I1007)</f>
        <v/>
      </c>
      <c r="G987" s="56" t="str">
        <f>IF(AMS!J1007="","",AMS!J1007)</f>
        <v/>
      </c>
      <c r="H987" s="22" t="str">
        <f t="array" ref="H987">IF(A987&lt;&gt;" ",IFERROR(INDEX(Summary!$G$3:$G$1000,SMALL((Summary!$G$3:$G$1000="")/0.1%+ROW($3:$1000),ROW()-2)-2)&amp;"",""),"")</f>
        <v/>
      </c>
      <c r="I987" s="22" t="str">
        <f t="shared" si="62"/>
        <v/>
      </c>
      <c r="J987" s="22" t="str">
        <f t="shared" si="63"/>
        <v/>
      </c>
    </row>
    <row r="988" spans="1:10">
      <c r="A988" s="56" t="str">
        <f>IF(AMS!H1008="","",AMS!H1008)</f>
        <v/>
      </c>
      <c r="B988" s="22" t="str">
        <f t="shared" si="60"/>
        <v/>
      </c>
      <c r="C988" s="22" t="str">
        <f t="array" ref="C988">IFERROR(INDEX(Summary!$I$3:$I$1000,SMALL((Summary!$I$3:$I$1000="")/0.1%+ROW($3:$1000),ROW()-2)-2)&amp;"","")</f>
        <v/>
      </c>
      <c r="D988" s="22" t="str">
        <v/>
      </c>
      <c r="E988" s="22" t="str">
        <f t="shared" si="61"/>
        <v/>
      </c>
      <c r="F988" s="56" t="str">
        <f>IF(AMS!I1008="","",AMS!I1008)</f>
        <v/>
      </c>
      <c r="G988" s="56" t="str">
        <f>IF(AMS!J1008="","",AMS!J1008)</f>
        <v/>
      </c>
      <c r="H988" s="22" t="str">
        <f t="array" ref="H988">IF(A988&lt;&gt;" ",IFERROR(INDEX(Summary!$G$3:$G$1000,SMALL((Summary!$G$3:$G$1000="")/0.1%+ROW($3:$1000),ROW()-2)-2)&amp;"",""),"")</f>
        <v/>
      </c>
      <c r="I988" s="22" t="str">
        <f t="shared" si="62"/>
        <v/>
      </c>
      <c r="J988" s="22" t="str">
        <f t="shared" si="63"/>
        <v/>
      </c>
    </row>
    <row r="989" spans="1:10">
      <c r="A989" s="56" t="str">
        <f>IF(AMS!H1009="","",AMS!H1009)</f>
        <v/>
      </c>
      <c r="B989" s="22" t="str">
        <f t="shared" si="60"/>
        <v/>
      </c>
      <c r="C989" s="22" t="str">
        <f t="array" ref="C989">IFERROR(INDEX(Summary!$I$3:$I$1000,SMALL((Summary!$I$3:$I$1000="")/0.1%+ROW($3:$1000),ROW()-2)-2)&amp;"","")</f>
        <v/>
      </c>
      <c r="D989" s="22" t="str">
        <v/>
      </c>
      <c r="E989" s="22" t="str">
        <f t="shared" si="61"/>
        <v/>
      </c>
      <c r="F989" s="56" t="str">
        <f>IF(AMS!I1009="","",AMS!I1009)</f>
        <v/>
      </c>
      <c r="G989" s="56" t="str">
        <f>IF(AMS!J1009="","",AMS!J1009)</f>
        <v/>
      </c>
      <c r="H989" s="22" t="str">
        <f t="array" ref="H989">IF(A989&lt;&gt;" ",IFERROR(INDEX(Summary!$G$3:$G$1000,SMALL((Summary!$G$3:$G$1000="")/0.1%+ROW($3:$1000),ROW()-2)-2)&amp;"",""),"")</f>
        <v/>
      </c>
      <c r="I989" s="22" t="str">
        <f t="shared" si="62"/>
        <v/>
      </c>
      <c r="J989" s="22" t="str">
        <f t="shared" si="63"/>
        <v/>
      </c>
    </row>
    <row r="990" spans="1:10">
      <c r="A990" s="56" t="str">
        <f>IF(AMS!H1010="","",AMS!H1010)</f>
        <v/>
      </c>
      <c r="B990" s="22" t="str">
        <f t="shared" si="60"/>
        <v/>
      </c>
      <c r="C990" s="22" t="str">
        <f t="array" ref="C990">IFERROR(INDEX(Summary!$I$3:$I$1000,SMALL((Summary!$I$3:$I$1000="")/0.1%+ROW($3:$1000),ROW()-2)-2)&amp;"","")</f>
        <v/>
      </c>
      <c r="D990" s="22" t="str">
        <v/>
      </c>
      <c r="E990" s="22" t="str">
        <f t="shared" si="61"/>
        <v/>
      </c>
      <c r="F990" s="56" t="str">
        <f>IF(AMS!I1010="","",AMS!I1010)</f>
        <v/>
      </c>
      <c r="G990" s="56" t="str">
        <f>IF(AMS!J1010="","",AMS!J1010)</f>
        <v/>
      </c>
      <c r="H990" s="22" t="str">
        <f t="array" ref="H990">IF(A990&lt;&gt;" ",IFERROR(INDEX(Summary!$G$3:$G$1000,SMALL((Summary!$G$3:$G$1000="")/0.1%+ROW($3:$1000),ROW()-2)-2)&amp;"",""),"")</f>
        <v/>
      </c>
      <c r="I990" s="22" t="str">
        <f t="shared" si="62"/>
        <v/>
      </c>
      <c r="J990" s="22" t="str">
        <f t="shared" si="63"/>
        <v/>
      </c>
    </row>
    <row r="991" spans="1:10">
      <c r="A991" s="56" t="str">
        <f>IF(AMS!H1011="","",AMS!H1011)</f>
        <v/>
      </c>
      <c r="B991" s="22" t="str">
        <f t="shared" si="60"/>
        <v/>
      </c>
      <c r="C991" s="22" t="str">
        <f t="array" ref="C991">IFERROR(INDEX(Summary!$I$3:$I$1000,SMALL((Summary!$I$3:$I$1000="")/0.1%+ROW($3:$1000),ROW()-2)-2)&amp;"","")</f>
        <v/>
      </c>
      <c r="D991" s="22" t="str">
        <v/>
      </c>
      <c r="E991" s="22" t="str">
        <f t="shared" si="61"/>
        <v/>
      </c>
      <c r="F991" s="56" t="str">
        <f>IF(AMS!I1011="","",AMS!I1011)</f>
        <v/>
      </c>
      <c r="G991" s="56" t="str">
        <f>IF(AMS!J1011="","",AMS!J1011)</f>
        <v/>
      </c>
      <c r="H991" s="22" t="str">
        <f t="array" ref="H991">IF(A991&lt;&gt;" ",IFERROR(INDEX(Summary!$G$3:$G$1000,SMALL((Summary!$G$3:$G$1000="")/0.1%+ROW($3:$1000),ROW()-2)-2)&amp;"",""),"")</f>
        <v/>
      </c>
      <c r="I991" s="22" t="str">
        <f t="shared" si="62"/>
        <v/>
      </c>
      <c r="J991" s="22" t="str">
        <f t="shared" si="63"/>
        <v/>
      </c>
    </row>
    <row r="992" spans="1:10">
      <c r="A992" s="56" t="str">
        <f>IF(AMS!H1012="","",AMS!H1012)</f>
        <v/>
      </c>
      <c r="B992" s="22" t="str">
        <f t="shared" si="60"/>
        <v/>
      </c>
      <c r="C992" s="22" t="str">
        <f t="array" ref="C992">IFERROR(INDEX(Summary!$I$3:$I$1000,SMALL((Summary!$I$3:$I$1000="")/0.1%+ROW($3:$1000),ROW()-2)-2)&amp;"","")</f>
        <v/>
      </c>
      <c r="D992" s="22" t="str">
        <v/>
      </c>
      <c r="E992" s="22" t="str">
        <f t="shared" si="61"/>
        <v/>
      </c>
      <c r="F992" s="56" t="str">
        <f>IF(AMS!I1012="","",AMS!I1012)</f>
        <v/>
      </c>
      <c r="G992" s="56" t="str">
        <f>IF(AMS!J1012="","",AMS!J1012)</f>
        <v/>
      </c>
      <c r="H992" s="22" t="str">
        <f t="array" ref="H992">IF(A992&lt;&gt;" ",IFERROR(INDEX(Summary!$G$3:$G$1000,SMALL((Summary!$G$3:$G$1000="")/0.1%+ROW($3:$1000),ROW()-2)-2)&amp;"",""),"")</f>
        <v/>
      </c>
      <c r="I992" s="22" t="str">
        <f t="shared" si="62"/>
        <v/>
      </c>
      <c r="J992" s="22" t="str">
        <f t="shared" si="63"/>
        <v/>
      </c>
    </row>
    <row r="993" spans="1:10">
      <c r="A993" s="56" t="str">
        <f>IF(AMS!H1013="","",AMS!H1013)</f>
        <v/>
      </c>
      <c r="B993" s="22" t="str">
        <f t="shared" si="60"/>
        <v/>
      </c>
      <c r="C993" s="22" t="str">
        <f t="array" ref="C993">IFERROR(INDEX(Summary!$I$3:$I$1000,SMALL((Summary!$I$3:$I$1000="")/0.1%+ROW($3:$1000),ROW()-2)-2)&amp;"","")</f>
        <v/>
      </c>
      <c r="D993" s="22" t="str">
        <v/>
      </c>
      <c r="E993" s="22" t="str">
        <f t="shared" si="61"/>
        <v/>
      </c>
      <c r="F993" s="56" t="str">
        <f>IF(AMS!I1013="","",AMS!I1013)</f>
        <v/>
      </c>
      <c r="G993" s="56" t="str">
        <f>IF(AMS!J1013="","",AMS!J1013)</f>
        <v/>
      </c>
      <c r="H993" s="22" t="str">
        <f t="array" ref="H993">IF(A993&lt;&gt;" ",IFERROR(INDEX(Summary!$G$3:$G$1000,SMALL((Summary!$G$3:$G$1000="")/0.1%+ROW($3:$1000),ROW()-2)-2)&amp;"",""),"")</f>
        <v/>
      </c>
      <c r="I993" s="22" t="str">
        <f t="shared" si="62"/>
        <v/>
      </c>
      <c r="J993" s="22" t="str">
        <f t="shared" si="63"/>
        <v/>
      </c>
    </row>
    <row r="994" spans="1:10">
      <c r="A994" s="56" t="str">
        <f>IF(AMS!H1014="","",AMS!H1014)</f>
        <v/>
      </c>
      <c r="B994" s="22" t="str">
        <f t="shared" si="60"/>
        <v/>
      </c>
      <c r="C994" s="22" t="str">
        <f t="array" ref="C994">IFERROR(INDEX(Summary!$I$3:$I$1000,SMALL((Summary!$I$3:$I$1000="")/0.1%+ROW($3:$1000),ROW()-2)-2)&amp;"","")</f>
        <v/>
      </c>
      <c r="D994" s="22" t="str">
        <v/>
      </c>
      <c r="E994" s="22" t="str">
        <f t="shared" si="61"/>
        <v/>
      </c>
      <c r="F994" s="56" t="str">
        <f>IF(AMS!I1014="","",AMS!I1014)</f>
        <v/>
      </c>
      <c r="G994" s="56" t="str">
        <f>IF(AMS!J1014="","",AMS!J1014)</f>
        <v/>
      </c>
      <c r="H994" s="22" t="str">
        <f t="array" ref="H994">IF(A994&lt;&gt;" ",IFERROR(INDEX(Summary!$G$3:$G$1000,SMALL((Summary!$G$3:$G$1000="")/0.1%+ROW($3:$1000),ROW()-2)-2)&amp;"",""),"")</f>
        <v/>
      </c>
      <c r="I994" s="22" t="str">
        <f t="shared" si="62"/>
        <v/>
      </c>
      <c r="J994" s="22" t="str">
        <f t="shared" si="63"/>
        <v/>
      </c>
    </row>
    <row r="995" spans="1:10">
      <c r="A995" s="56" t="str">
        <f>IF(AMS!H1015="","",AMS!H1015)</f>
        <v/>
      </c>
      <c r="B995" s="22" t="str">
        <f t="shared" si="60"/>
        <v/>
      </c>
      <c r="C995" s="22" t="str">
        <f t="array" ref="C995">IFERROR(INDEX(Summary!$I$3:$I$1000,SMALL((Summary!$I$3:$I$1000="")/0.1%+ROW($3:$1000),ROW()-2)-2)&amp;"","")</f>
        <v/>
      </c>
      <c r="D995" s="22" t="str">
        <v/>
      </c>
      <c r="E995" s="22" t="str">
        <f t="shared" si="61"/>
        <v/>
      </c>
      <c r="F995" s="56" t="str">
        <f>IF(AMS!I1015="","",AMS!I1015)</f>
        <v/>
      </c>
      <c r="G995" s="56" t="str">
        <f>IF(AMS!J1015="","",AMS!J1015)</f>
        <v/>
      </c>
      <c r="H995" s="22" t="str">
        <f t="array" ref="H995">IF(A995&lt;&gt;" ",IFERROR(INDEX(Summary!$G$3:$G$1000,SMALL((Summary!$G$3:$G$1000="")/0.1%+ROW($3:$1000),ROW()-2)-2)&amp;"",""),"")</f>
        <v/>
      </c>
      <c r="I995" s="22" t="str">
        <f t="shared" si="62"/>
        <v/>
      </c>
      <c r="J995" s="22" t="str">
        <f t="shared" si="63"/>
        <v/>
      </c>
    </row>
    <row r="996" spans="1:10">
      <c r="A996" s="56" t="str">
        <f>IF(AMS!H1016="","",AMS!H1016)</f>
        <v/>
      </c>
      <c r="B996" s="22" t="str">
        <f t="shared" si="60"/>
        <v/>
      </c>
      <c r="C996" s="22" t="str">
        <f t="array" ref="C996">IFERROR(INDEX(Summary!$I$3:$I$1000,SMALL((Summary!$I$3:$I$1000="")/0.1%+ROW($3:$1000),ROW()-2)-2)&amp;"","")</f>
        <v/>
      </c>
      <c r="D996" s="22" t="str">
        <v/>
      </c>
      <c r="E996" s="22" t="str">
        <f t="shared" si="61"/>
        <v/>
      </c>
      <c r="F996" s="56" t="str">
        <f>IF(AMS!I1016="","",AMS!I1016)</f>
        <v/>
      </c>
      <c r="G996" s="56" t="str">
        <f>IF(AMS!J1016="","",AMS!J1016)</f>
        <v/>
      </c>
      <c r="H996" s="22" t="str">
        <f t="array" ref="H996">IF(A996&lt;&gt;" ",IFERROR(INDEX(Summary!$G$3:$G$1000,SMALL((Summary!$G$3:$G$1000="")/0.1%+ROW($3:$1000),ROW()-2)-2)&amp;"",""),"")</f>
        <v/>
      </c>
      <c r="I996" s="22" t="str">
        <f t="shared" si="62"/>
        <v/>
      </c>
      <c r="J996" s="22" t="str">
        <f t="shared" si="63"/>
        <v/>
      </c>
    </row>
    <row r="997" spans="1:10">
      <c r="A997" s="56" t="str">
        <f>IF(AMS!H1017="","",AMS!H1017)</f>
        <v/>
      </c>
      <c r="B997" s="22" t="str">
        <f t="shared" si="60"/>
        <v/>
      </c>
      <c r="C997" s="22" t="str">
        <f t="array" ref="C997">IFERROR(INDEX(Summary!$I$3:$I$1000,SMALL((Summary!$I$3:$I$1000="")/0.1%+ROW($3:$1000),ROW()-2)-2)&amp;"","")</f>
        <v/>
      </c>
      <c r="D997" s="22" t="str">
        <v/>
      </c>
      <c r="E997" s="22" t="str">
        <f t="shared" si="61"/>
        <v/>
      </c>
      <c r="F997" s="56" t="str">
        <f>IF(AMS!I1017="","",AMS!I1017)</f>
        <v/>
      </c>
      <c r="G997" s="56" t="str">
        <f>IF(AMS!J1017="","",AMS!J1017)</f>
        <v/>
      </c>
      <c r="H997" s="22" t="str">
        <f t="array" ref="H997">IF(A997&lt;&gt;" ",IFERROR(INDEX(Summary!$G$3:$G$1000,SMALL((Summary!$G$3:$G$1000="")/0.1%+ROW($3:$1000),ROW()-2)-2)&amp;"",""),"")</f>
        <v/>
      </c>
      <c r="I997" s="22" t="str">
        <f t="shared" si="62"/>
        <v/>
      </c>
      <c r="J997" s="22" t="str">
        <f t="shared" si="63"/>
        <v/>
      </c>
    </row>
    <row r="998" spans="1:10">
      <c r="A998" s="56" t="str">
        <f>IF(AMS!H1018="","",AMS!H1018)</f>
        <v/>
      </c>
      <c r="B998" s="22" t="str">
        <f t="shared" si="60"/>
        <v/>
      </c>
      <c r="C998" s="22" t="str">
        <f t="array" ref="C998">IFERROR(INDEX(Summary!$I$3:$I$1000,SMALL((Summary!$I$3:$I$1000="")/0.1%+ROW($3:$1000),ROW()-2)-2)&amp;"","")</f>
        <v/>
      </c>
      <c r="D998" s="22" t="str">
        <v/>
      </c>
      <c r="E998" s="22" t="str">
        <f t="shared" si="61"/>
        <v/>
      </c>
      <c r="F998" s="56" t="str">
        <f>IF(AMS!I1018="","",AMS!I1018)</f>
        <v/>
      </c>
      <c r="G998" s="56" t="str">
        <f>IF(AMS!J1018="","",AMS!J1018)</f>
        <v/>
      </c>
      <c r="H998" s="22" t="str">
        <f t="array" ref="H998">IF(A998&lt;&gt;" ",IFERROR(INDEX(Summary!$G$3:$G$1000,SMALL((Summary!$G$3:$G$1000="")/0.1%+ROW($3:$1000),ROW()-2)-2)&amp;"",""),"")</f>
        <v/>
      </c>
      <c r="I998" s="22" t="str">
        <f t="shared" si="62"/>
        <v/>
      </c>
      <c r="J998" s="22" t="str">
        <f t="shared" si="63"/>
        <v/>
      </c>
    </row>
    <row r="999" spans="1:10">
      <c r="A999" s="56" t="str">
        <f>IF(AMS!H1019="","",AMS!H1019)</f>
        <v/>
      </c>
      <c r="B999" s="22" t="str">
        <f t="shared" si="60"/>
        <v/>
      </c>
      <c r="C999" s="22" t="str">
        <f t="array" ref="C999">IFERROR(INDEX(Summary!$I$3:$I$1000,SMALL((Summary!$I$3:$I$1000="")/0.1%+ROW($3:$1000),ROW()-2)-2)&amp;"","")</f>
        <v/>
      </c>
      <c r="D999" s="22" t="str">
        <v/>
      </c>
      <c r="E999" s="22" t="str">
        <f t="shared" si="61"/>
        <v/>
      </c>
      <c r="F999" s="56" t="str">
        <f>IF(AMS!I1019="","",AMS!I1019)</f>
        <v/>
      </c>
      <c r="G999" s="56" t="str">
        <f>IF(AMS!J1019="","",AMS!J1019)</f>
        <v/>
      </c>
      <c r="H999" s="22" t="str">
        <f t="array" ref="H999">IF(A999&lt;&gt;" ",IFERROR(INDEX(Summary!$G$3:$G$1000,SMALL((Summary!$G$3:$G$1000="")/0.1%+ROW($3:$1000),ROW()-2)-2)&amp;"",""),"")</f>
        <v/>
      </c>
      <c r="I999" s="22" t="str">
        <f t="shared" si="62"/>
        <v/>
      </c>
      <c r="J999" s="22" t="str">
        <f t="shared" si="63"/>
        <v/>
      </c>
    </row>
    <row r="1000" spans="1:10">
      <c r="A1000" s="56" t="str">
        <f>IF(AMS!H1020="","",AMS!H1020)</f>
        <v/>
      </c>
      <c r="B1000" s="22" t="str">
        <f t="shared" si="60"/>
        <v/>
      </c>
      <c r="C1000" s="22" t="str">
        <f t="array" ref="C1000">IFERROR(INDEX(Summary!$I$3:$I$1000,SMALL((Summary!$I$3:$I$1000="")/0.1%+ROW($3:$1000),ROW()-2)-2)&amp;"","")</f>
        <v/>
      </c>
      <c r="D1000" s="22" t="str">
        <v/>
      </c>
      <c r="E1000" s="22" t="str">
        <f t="shared" si="61"/>
        <v/>
      </c>
      <c r="F1000" s="56" t="str">
        <f>IF(AMS!I1020="","",AMS!I1020)</f>
        <v/>
      </c>
      <c r="G1000" s="56" t="str">
        <f>IF(AMS!J1020="","",AMS!J1020)</f>
        <v/>
      </c>
      <c r="H1000" s="22" t="str">
        <f t="array" ref="H1000">IF(A1000&lt;&gt;" ",IFERROR(INDEX(Summary!$G$3:$G$1000,SMALL((Summary!$G$3:$G$1000="")/0.1%+ROW($3:$1000),ROW()-2)-2)&amp;"",""),"")</f>
        <v/>
      </c>
      <c r="I1000" s="22" t="str">
        <f t="shared" si="62"/>
        <v/>
      </c>
      <c r="J1000" s="22" t="str">
        <f t="shared" si="63"/>
        <v/>
      </c>
    </row>
  </sheetData>
  <sheetProtection algorithmName="SHA-512" hashValue="rLa50z3UHBeOXGgn0SEE5rBYb8Sk+QNwzGyqreIc0pKp89AVu4oJgY8bI5forIwVq//TyUo0FBZdHw5LvOrU9A==" saltValue="oB9fn4o910dUJBI/zjQ8jg==" spinCount="100000" sheet="1" objects="1" scenarios="1" selectLockedCells="1" selectUnlockedCells="1"/>
  <phoneticPr fontId="15" type="noConversion"/>
  <conditionalFormatting sqref="A3:G1000">
    <cfRule type="notContainsBlanks" dxfId="9" priority="3">
      <formula>LEN(TRIM(A3))&gt;0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M34"/>
  <sheetViews>
    <sheetView topLeftCell="A13" zoomScale="90" zoomScaleNormal="90" workbookViewId="0">
      <selection activeCell="E23" sqref="E23"/>
    </sheetView>
  </sheetViews>
  <sheetFormatPr defaultColWidth="9.109375" defaultRowHeight="10.65"/>
  <cols>
    <col min="1" max="1" width="14.44140625" style="5" customWidth="1"/>
    <col min="2" max="2" width="16.33203125" style="5" customWidth="1"/>
    <col min="3" max="3" width="12.88671875" style="5" customWidth="1"/>
    <col min="4" max="4" width="15.88671875" style="5" customWidth="1"/>
    <col min="5" max="5" width="24" style="5" customWidth="1"/>
    <col min="6" max="6" width="14.33203125" style="5" customWidth="1"/>
    <col min="7" max="7" width="16.33203125" style="5" customWidth="1"/>
    <col min="8" max="8" width="11.44140625" style="5" customWidth="1"/>
    <col min="9" max="9" width="12.44140625" style="5" customWidth="1"/>
    <col min="10" max="10" width="9.44140625" style="5" customWidth="1"/>
    <col min="11" max="11" width="10.88671875" style="5" customWidth="1"/>
    <col min="12" max="12" width="9.109375" style="5" customWidth="1"/>
    <col min="13" max="16384" width="9.109375" style="5"/>
  </cols>
  <sheetData>
    <row r="1" spans="1:13" ht="21.6" customHeight="1">
      <c r="A1" s="154" t="s">
        <v>0</v>
      </c>
      <c r="B1" s="155"/>
      <c r="C1" s="155"/>
      <c r="D1" s="155"/>
      <c r="E1" s="155"/>
      <c r="F1" s="155"/>
      <c r="G1" s="155"/>
      <c r="H1" s="155"/>
      <c r="I1" s="155"/>
      <c r="J1" s="155"/>
      <c r="K1" s="156"/>
    </row>
    <row r="2" spans="1:13" ht="15.05" customHeight="1">
      <c r="A2" s="157"/>
      <c r="B2" s="158"/>
      <c r="C2" s="158"/>
      <c r="D2" s="158"/>
      <c r="E2" s="158"/>
      <c r="F2" s="158"/>
      <c r="G2" s="158"/>
      <c r="H2" s="158"/>
      <c r="I2" s="158"/>
      <c r="J2" s="158"/>
      <c r="K2" s="159"/>
    </row>
    <row r="3" spans="1:13" ht="16.45" customHeight="1">
      <c r="A3" s="6" t="s">
        <v>1</v>
      </c>
      <c r="B3" s="43" t="s">
        <v>58</v>
      </c>
      <c r="C3" s="8" t="s">
        <v>2</v>
      </c>
      <c r="D3" s="160" t="s">
        <v>58</v>
      </c>
      <c r="E3" s="150"/>
      <c r="F3" s="8" t="s">
        <v>3</v>
      </c>
      <c r="G3" s="43" t="s">
        <v>58</v>
      </c>
      <c r="H3" s="8" t="s">
        <v>4</v>
      </c>
      <c r="I3" s="160" t="s">
        <v>58</v>
      </c>
      <c r="J3" s="149"/>
      <c r="K3" s="150"/>
    </row>
    <row r="4" spans="1:13" ht="16.45" customHeight="1">
      <c r="A4" s="6" t="s">
        <v>6</v>
      </c>
      <c r="B4" s="161" t="s">
        <v>58</v>
      </c>
      <c r="C4" s="150"/>
      <c r="D4" s="8" t="s">
        <v>7</v>
      </c>
      <c r="E4" s="43" t="s">
        <v>58</v>
      </c>
      <c r="F4" s="8" t="s">
        <v>8</v>
      </c>
      <c r="G4" s="43" t="s">
        <v>58</v>
      </c>
      <c r="H4" s="8" t="s">
        <v>9</v>
      </c>
      <c r="I4" s="43" t="s">
        <v>58</v>
      </c>
      <c r="J4" s="11" t="s">
        <v>10</v>
      </c>
      <c r="K4" s="44" t="s">
        <v>58</v>
      </c>
      <c r="M4" s="12"/>
    </row>
    <row r="5" spans="1:13" ht="16.45" customHeight="1">
      <c r="A5" s="162" t="s">
        <v>11</v>
      </c>
      <c r="B5" s="163"/>
      <c r="C5" s="164" t="s">
        <v>58</v>
      </c>
      <c r="D5" s="163"/>
      <c r="E5" s="165" t="s">
        <v>12</v>
      </c>
      <c r="F5" s="163"/>
      <c r="G5" s="45" t="s">
        <v>58</v>
      </c>
      <c r="H5" s="14"/>
      <c r="I5" s="15"/>
      <c r="J5" s="14"/>
      <c r="K5" s="16"/>
    </row>
    <row r="6" spans="1:13" ht="23.35" customHeight="1">
      <c r="A6" s="166" t="s">
        <v>59</v>
      </c>
      <c r="B6" s="129"/>
      <c r="C6" s="129"/>
      <c r="D6" s="129"/>
      <c r="E6" s="130"/>
      <c r="F6" s="167" t="s">
        <v>60</v>
      </c>
      <c r="G6" s="129"/>
      <c r="H6" s="129"/>
      <c r="I6" s="129"/>
      <c r="J6" s="129"/>
      <c r="K6" s="130"/>
    </row>
    <row r="7" spans="1:13" ht="32.25" customHeight="1">
      <c r="A7" s="17" t="s">
        <v>61</v>
      </c>
      <c r="B7" s="168" t="s">
        <v>62</v>
      </c>
      <c r="C7" s="123"/>
      <c r="D7" s="123"/>
      <c r="E7" s="121"/>
      <c r="F7" s="19" t="s">
        <v>14</v>
      </c>
      <c r="G7" s="169" t="s">
        <v>63</v>
      </c>
      <c r="H7" s="123"/>
      <c r="I7" s="123"/>
      <c r="J7" s="123"/>
      <c r="K7" s="121"/>
    </row>
    <row r="8" spans="1:13" ht="16.45" customHeight="1">
      <c r="A8" s="17" t="s">
        <v>64</v>
      </c>
      <c r="B8" s="170" t="s">
        <v>65</v>
      </c>
      <c r="C8" s="123"/>
      <c r="D8" s="123"/>
      <c r="E8" s="121"/>
      <c r="F8" s="19" t="s">
        <v>66</v>
      </c>
      <c r="G8" s="169" t="s">
        <v>63</v>
      </c>
      <c r="H8" s="178"/>
      <c r="I8" s="178"/>
      <c r="J8" s="178"/>
      <c r="K8" s="179"/>
    </row>
    <row r="9" spans="1:13" ht="24.75" customHeight="1">
      <c r="A9" s="17" t="s">
        <v>67</v>
      </c>
      <c r="B9" s="33" t="s">
        <v>68</v>
      </c>
      <c r="C9" s="19" t="s">
        <v>69</v>
      </c>
      <c r="D9" s="170" t="s">
        <v>70</v>
      </c>
      <c r="E9" s="121"/>
      <c r="F9" s="19" t="s">
        <v>71</v>
      </c>
      <c r="G9" s="180"/>
      <c r="H9" s="132"/>
      <c r="I9" s="132"/>
      <c r="J9" s="132"/>
      <c r="K9" s="133"/>
    </row>
    <row r="10" spans="1:13" ht="23.95" customHeight="1">
      <c r="A10" s="17" t="s">
        <v>72</v>
      </c>
      <c r="B10" s="46" t="s">
        <v>73</v>
      </c>
      <c r="C10" s="19" t="s">
        <v>74</v>
      </c>
      <c r="D10" s="171" t="s">
        <v>75</v>
      </c>
      <c r="E10" s="121"/>
      <c r="F10" s="19" t="s">
        <v>76</v>
      </c>
      <c r="G10" s="181"/>
      <c r="H10" s="129"/>
      <c r="I10" s="129"/>
      <c r="J10" s="129"/>
      <c r="K10" s="130"/>
    </row>
    <row r="11" spans="1:13" ht="15.05" customHeight="1">
      <c r="A11" s="172" t="s">
        <v>77</v>
      </c>
      <c r="B11" s="123"/>
      <c r="C11" s="123"/>
      <c r="D11" s="123"/>
      <c r="E11" s="121"/>
      <c r="F11" s="173" t="s">
        <v>78</v>
      </c>
      <c r="G11" s="123"/>
      <c r="H11" s="123"/>
      <c r="I11" s="123"/>
      <c r="J11" s="123"/>
      <c r="K11" s="121"/>
    </row>
    <row r="12" spans="1:13" ht="47.3" customHeight="1">
      <c r="A12" s="17" t="s">
        <v>14</v>
      </c>
      <c r="B12" s="174" t="s">
        <v>79</v>
      </c>
      <c r="C12" s="123"/>
      <c r="D12" s="123"/>
      <c r="E12" s="121"/>
      <c r="F12" s="19" t="s">
        <v>14</v>
      </c>
      <c r="G12" s="169" t="s">
        <v>63</v>
      </c>
      <c r="H12" s="123"/>
      <c r="I12" s="123"/>
      <c r="J12" s="123"/>
      <c r="K12" s="121"/>
    </row>
    <row r="13" spans="1:13" ht="43.55" customHeight="1">
      <c r="A13" s="17" t="s">
        <v>15</v>
      </c>
      <c r="B13" s="175" t="s">
        <v>80</v>
      </c>
      <c r="C13" s="123"/>
      <c r="D13" s="123"/>
      <c r="E13" s="121"/>
      <c r="F13" s="19" t="s">
        <v>66</v>
      </c>
      <c r="G13" s="169" t="s">
        <v>63</v>
      </c>
      <c r="H13" s="178"/>
      <c r="I13" s="178"/>
      <c r="J13" s="178"/>
      <c r="K13" s="179"/>
      <c r="M13" s="12"/>
    </row>
    <row r="14" spans="1:13" ht="39" customHeight="1">
      <c r="A14" s="17" t="s">
        <v>17</v>
      </c>
      <c r="B14" s="33" t="s">
        <v>81</v>
      </c>
      <c r="C14" s="19" t="s">
        <v>18</v>
      </c>
      <c r="D14" s="170" t="s">
        <v>82</v>
      </c>
      <c r="E14" s="121"/>
      <c r="F14" s="19" t="s">
        <v>71</v>
      </c>
      <c r="G14" s="180"/>
      <c r="H14" s="132"/>
      <c r="I14" s="132"/>
      <c r="J14" s="132"/>
      <c r="K14" s="133"/>
    </row>
    <row r="15" spans="1:13" ht="26.15" customHeight="1">
      <c r="A15" s="17" t="s">
        <v>20</v>
      </c>
      <c r="B15" s="46" t="s">
        <v>83</v>
      </c>
      <c r="C15" s="19" t="s">
        <v>21</v>
      </c>
      <c r="D15" s="170" t="s">
        <v>26</v>
      </c>
      <c r="E15" s="121"/>
      <c r="F15" s="19" t="s">
        <v>76</v>
      </c>
      <c r="G15" s="181"/>
      <c r="H15" s="129"/>
      <c r="I15" s="129"/>
      <c r="J15" s="129"/>
      <c r="K15" s="130"/>
    </row>
    <row r="16" spans="1:13" ht="15.05" customHeight="1">
      <c r="A16" s="172" t="s">
        <v>84</v>
      </c>
      <c r="B16" s="123"/>
      <c r="C16" s="123"/>
      <c r="D16" s="123"/>
      <c r="E16" s="121"/>
      <c r="F16" s="173" t="s">
        <v>85</v>
      </c>
      <c r="G16" s="123"/>
      <c r="H16" s="123"/>
      <c r="I16" s="123"/>
      <c r="J16" s="123"/>
      <c r="K16" s="121"/>
    </row>
    <row r="17" spans="1:13" ht="41.35" customHeight="1">
      <c r="A17" s="17" t="s">
        <v>14</v>
      </c>
      <c r="B17" s="170" t="s">
        <v>86</v>
      </c>
      <c r="C17" s="123"/>
      <c r="D17" s="123"/>
      <c r="E17" s="121"/>
      <c r="F17" s="19" t="s">
        <v>14</v>
      </c>
      <c r="G17" s="169" t="s">
        <v>63</v>
      </c>
      <c r="H17" s="123"/>
      <c r="I17" s="123"/>
      <c r="J17" s="123"/>
      <c r="K17" s="121"/>
    </row>
    <row r="18" spans="1:13" ht="21" customHeight="1">
      <c r="A18" s="17" t="s">
        <v>15</v>
      </c>
      <c r="B18" s="168" t="s">
        <v>87</v>
      </c>
      <c r="C18" s="123"/>
      <c r="D18" s="123"/>
      <c r="E18" s="121"/>
      <c r="F18" s="19" t="s">
        <v>66</v>
      </c>
      <c r="G18" s="169" t="s">
        <v>88</v>
      </c>
      <c r="H18" s="178"/>
      <c r="I18" s="178"/>
      <c r="J18" s="178"/>
      <c r="K18" s="179"/>
    </row>
    <row r="19" spans="1:13" ht="39" customHeight="1">
      <c r="A19" s="17" t="s">
        <v>17</v>
      </c>
      <c r="B19" s="33" t="s">
        <v>89</v>
      </c>
      <c r="C19" s="19" t="s">
        <v>18</v>
      </c>
      <c r="D19" s="170" t="s">
        <v>90</v>
      </c>
      <c r="E19" s="121"/>
      <c r="F19" s="19" t="s">
        <v>71</v>
      </c>
      <c r="G19" s="180"/>
      <c r="H19" s="132"/>
      <c r="I19" s="132"/>
      <c r="J19" s="132"/>
      <c r="K19" s="133"/>
    </row>
    <row r="20" spans="1:13" ht="41.95" customHeight="1">
      <c r="A20" s="23" t="s">
        <v>20</v>
      </c>
      <c r="B20" s="47" t="s">
        <v>83</v>
      </c>
      <c r="C20" s="24" t="s">
        <v>21</v>
      </c>
      <c r="D20" s="176" t="s">
        <v>26</v>
      </c>
      <c r="E20" s="125"/>
      <c r="F20" s="24" t="s">
        <v>76</v>
      </c>
      <c r="G20" s="181"/>
      <c r="H20" s="129"/>
      <c r="I20" s="129"/>
      <c r="J20" s="129"/>
      <c r="K20" s="130"/>
    </row>
    <row r="21" spans="1:13" ht="12.7" customHeight="1">
      <c r="A21" s="177"/>
      <c r="B21" s="132"/>
      <c r="C21" s="132"/>
      <c r="D21" s="132"/>
      <c r="E21" s="132"/>
      <c r="F21" s="132"/>
      <c r="G21" s="132"/>
      <c r="H21" s="132"/>
      <c r="I21" s="132"/>
      <c r="J21" s="132"/>
      <c r="K21" s="132"/>
    </row>
    <row r="22" spans="1:13" ht="32.1" customHeight="1">
      <c r="A22" s="25" t="s">
        <v>29</v>
      </c>
      <c r="B22" s="26" t="s">
        <v>30</v>
      </c>
      <c r="C22" s="26" t="s">
        <v>31</v>
      </c>
      <c r="D22" s="26" t="s">
        <v>91</v>
      </c>
      <c r="E22" s="26" t="s">
        <v>33</v>
      </c>
      <c r="F22" s="26" t="s">
        <v>34</v>
      </c>
      <c r="G22" s="27" t="s">
        <v>35</v>
      </c>
      <c r="H22" s="48" t="s">
        <v>36</v>
      </c>
      <c r="I22" s="48" t="s">
        <v>37</v>
      </c>
      <c r="J22" s="48" t="s">
        <v>38</v>
      </c>
      <c r="K22" s="49" t="s">
        <v>39</v>
      </c>
    </row>
    <row r="23" spans="1:13" ht="59.95" customHeight="1">
      <c r="A23" s="30"/>
      <c r="B23" s="31"/>
      <c r="C23" s="50" t="s">
        <v>92</v>
      </c>
      <c r="D23" s="50" t="s">
        <v>93</v>
      </c>
      <c r="E23" s="50" t="s">
        <v>94</v>
      </c>
      <c r="F23" s="50" t="s">
        <v>95</v>
      </c>
      <c r="G23" s="51" t="s">
        <v>96</v>
      </c>
      <c r="H23" s="51" t="s">
        <v>97</v>
      </c>
      <c r="I23" s="51" t="s">
        <v>98</v>
      </c>
      <c r="J23" s="51" t="s">
        <v>99</v>
      </c>
      <c r="K23" s="52" t="s">
        <v>100</v>
      </c>
      <c r="M23" s="12"/>
    </row>
    <row r="24" spans="1:13" ht="11.3">
      <c r="A24" s="17"/>
      <c r="B24" s="19"/>
      <c r="C24" s="19"/>
      <c r="D24" s="36"/>
      <c r="E24" s="19"/>
      <c r="F24" s="19"/>
      <c r="G24" s="19"/>
      <c r="H24" s="19" t="s">
        <v>101</v>
      </c>
      <c r="I24" s="19"/>
      <c r="J24" s="19" t="s">
        <v>101</v>
      </c>
      <c r="K24" s="39"/>
    </row>
    <row r="25" spans="1:13" ht="11.3">
      <c r="A25" s="17"/>
      <c r="B25" s="19"/>
      <c r="C25" s="19"/>
      <c r="D25" s="36"/>
      <c r="E25" s="19"/>
      <c r="F25" s="19"/>
      <c r="G25" s="19"/>
      <c r="H25" s="19"/>
      <c r="I25" s="19"/>
      <c r="J25" s="19"/>
      <c r="K25" s="39"/>
    </row>
    <row r="26" spans="1:13" ht="11.3">
      <c r="A26" s="17"/>
      <c r="B26" s="19"/>
      <c r="C26" s="19"/>
      <c r="D26" s="36"/>
      <c r="E26" s="19"/>
      <c r="F26" s="19"/>
      <c r="G26" s="19"/>
      <c r="H26" s="19"/>
      <c r="I26" s="19"/>
      <c r="J26" s="19"/>
      <c r="K26" s="39"/>
    </row>
    <row r="27" spans="1:13" ht="11.3">
      <c r="A27" s="17"/>
      <c r="B27" s="19"/>
      <c r="C27" s="19"/>
      <c r="D27" s="36"/>
      <c r="E27" s="19"/>
      <c r="F27" s="19"/>
      <c r="G27" s="19"/>
      <c r="H27" s="19"/>
      <c r="I27" s="19"/>
      <c r="J27" s="19"/>
      <c r="K27" s="39"/>
    </row>
    <row r="28" spans="1:13" ht="11.3">
      <c r="A28" s="17"/>
      <c r="B28" s="19"/>
      <c r="C28" s="19"/>
      <c r="D28" s="36"/>
      <c r="E28" s="19"/>
      <c r="F28" s="19"/>
      <c r="G28" s="19"/>
      <c r="H28" s="19"/>
      <c r="I28" s="19"/>
      <c r="J28" s="19"/>
      <c r="K28" s="39"/>
    </row>
    <row r="29" spans="1:13" ht="12.7" customHeight="1">
      <c r="A29" s="23"/>
      <c r="B29" s="24"/>
      <c r="C29" s="24"/>
      <c r="D29" s="40"/>
      <c r="E29" s="24"/>
      <c r="F29" s="24"/>
      <c r="G29" s="24"/>
      <c r="H29" s="24"/>
      <c r="I29" s="24"/>
      <c r="J29" s="24"/>
      <c r="K29" s="42"/>
    </row>
    <row r="30" spans="1:13">
      <c r="A30" s="182" t="s">
        <v>102</v>
      </c>
      <c r="B30" s="155"/>
      <c r="C30" s="155"/>
      <c r="D30" s="155"/>
      <c r="E30" s="155"/>
      <c r="F30" s="155"/>
      <c r="G30" s="155"/>
      <c r="H30" s="155"/>
      <c r="I30" s="155"/>
      <c r="J30" s="155"/>
      <c r="K30" s="155"/>
    </row>
    <row r="31" spans="1:13">
      <c r="A31" s="183"/>
      <c r="B31" s="183"/>
      <c r="C31" s="183"/>
      <c r="D31" s="183"/>
      <c r="E31" s="183"/>
      <c r="F31" s="183"/>
      <c r="G31" s="183"/>
      <c r="H31" s="183"/>
      <c r="I31" s="183"/>
      <c r="J31" s="183"/>
      <c r="K31" s="183"/>
    </row>
    <row r="32" spans="1:13">
      <c r="A32" s="183"/>
      <c r="B32" s="183"/>
      <c r="C32" s="183"/>
      <c r="D32" s="183"/>
      <c r="E32" s="183"/>
      <c r="F32" s="183"/>
      <c r="G32" s="183"/>
      <c r="H32" s="183"/>
      <c r="I32" s="183"/>
      <c r="J32" s="183"/>
      <c r="K32" s="183"/>
    </row>
    <row r="33" spans="1:11">
      <c r="A33" s="183"/>
      <c r="B33" s="183"/>
      <c r="C33" s="183"/>
      <c r="D33" s="183"/>
      <c r="E33" s="183"/>
      <c r="F33" s="183"/>
      <c r="G33" s="183"/>
      <c r="H33" s="183"/>
      <c r="I33" s="183"/>
      <c r="J33" s="183"/>
      <c r="K33" s="183"/>
    </row>
    <row r="34" spans="1:11">
      <c r="A34" s="183"/>
      <c r="B34" s="183"/>
      <c r="C34" s="183"/>
      <c r="D34" s="183"/>
      <c r="E34" s="183"/>
      <c r="F34" s="183"/>
      <c r="G34" s="183"/>
      <c r="H34" s="183"/>
      <c r="I34" s="183"/>
      <c r="J34" s="183"/>
      <c r="K34" s="183"/>
    </row>
  </sheetData>
  <mergeCells count="34">
    <mergeCell ref="A30:K34"/>
    <mergeCell ref="G13:K15"/>
    <mergeCell ref="G18:K20"/>
    <mergeCell ref="B18:E18"/>
    <mergeCell ref="D19:E19"/>
    <mergeCell ref="D20:E20"/>
    <mergeCell ref="A21:K21"/>
    <mergeCell ref="G8:K10"/>
    <mergeCell ref="D14:E14"/>
    <mergeCell ref="D15:E15"/>
    <mergeCell ref="A16:E16"/>
    <mergeCell ref="F16:K16"/>
    <mergeCell ref="B17:E17"/>
    <mergeCell ref="G17:K17"/>
    <mergeCell ref="A11:E11"/>
    <mergeCell ref="F11:K11"/>
    <mergeCell ref="B12:E12"/>
    <mergeCell ref="G12:K12"/>
    <mergeCell ref="B13:E13"/>
    <mergeCell ref="B7:E7"/>
    <mergeCell ref="G7:K7"/>
    <mergeCell ref="B8:E8"/>
    <mergeCell ref="D9:E9"/>
    <mergeCell ref="D10:E10"/>
    <mergeCell ref="A5:B5"/>
    <mergeCell ref="C5:D5"/>
    <mergeCell ref="E5:F5"/>
    <mergeCell ref="A6:E6"/>
    <mergeCell ref="F6:K6"/>
    <mergeCell ref="A1:K1"/>
    <mergeCell ref="A2:K2"/>
    <mergeCell ref="D3:E3"/>
    <mergeCell ref="I3:K3"/>
    <mergeCell ref="B4:C4"/>
  </mergeCells>
  <phoneticPr fontId="15" type="noConversion"/>
  <dataValidations count="10">
    <dataValidation allowBlank="1" showInputMessage="1" showErrorMessage="1" promptTitle="友情提示" prompt="提单上要求显示的SHIPPER_x000a_信息如果跟实际不符，请更新" sqref="B7:E7" xr:uid="{00000000-0002-0000-0300-000000000000}"/>
    <dataValidation allowBlank="1" showInputMessage="1" showErrorMessage="1" promptTitle="注意：" prompt="C/O 之前的公司名如果不正确请更正， “C/O FBA”字样请勿删除修改以免影响清关。" sqref="B12:E12" xr:uid="{00000000-0002-0000-0300-000001000000}"/>
    <dataValidation allowBlank="1" showInputMessage="1" showErrorMessage="1" promptTitle="友情提示" sqref="B17:E17" xr:uid="{00000000-0002-0000-0300-000002000000}"/>
    <dataValidation allowBlank="1" showErrorMessage="1" promptTitle="总毛重" prompt="总毛重" sqref="D23" xr:uid="{00000000-0002-0000-0300-000003000000}"/>
    <dataValidation allowBlank="1" showInputMessage="1" showErrorMessage="1" promptTitle="集装箱箱号" prompt="集装箱箱号" sqref="A23:A29" xr:uid="{00000000-0002-0000-0300-000004000000}"/>
    <dataValidation allowBlank="1" showInputMessage="1" showErrorMessage="1" promptTitle="集装箱封号" prompt="集装箱封号" sqref="B23:B29" xr:uid="{00000000-0002-0000-0300-000005000000}"/>
    <dataValidation allowBlank="1" showInputMessage="1" showErrorMessage="1" promptTitle="中国出口报关总件数" prompt="中国出口报关总件数" sqref="C23:C29" xr:uid="{00000000-0002-0000-0300-000006000000}"/>
    <dataValidation allowBlank="1" showInputMessage="1" showErrorMessage="1" promptTitle="总毛重" prompt="总毛重" sqref="E23:E29" xr:uid="{00000000-0002-0000-0300-000007000000}"/>
    <dataValidation allowBlank="1" showInputMessage="1" showErrorMessage="1" promptTitle="总体积" prompt="总体积" sqref="F23:F29" xr:uid="{00000000-0002-0000-0300-000008000000}"/>
    <dataValidation allowBlank="1" showInputMessage="1" showErrorMessage="1" promptTitle="一行输入一个品名" prompt="一行输入一个品名" sqref="G23:G29 I24:I29" xr:uid="{00000000-0002-0000-0300-000009000000}"/>
  </dataValidations>
  <pageMargins left="0.69930555555555596" right="0.69930555555555596" top="0.75" bottom="0.75" header="0.3" footer="0.3"/>
  <pageSetup orientation="portrait"/>
  <headerFooter>
    <oddFooter>&amp;L&amp;"Calibri"&amp;10 &amp;K000000#Classification: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M32"/>
  <sheetViews>
    <sheetView topLeftCell="A19" zoomScale="90" zoomScaleNormal="90" workbookViewId="0">
      <selection activeCell="G23" sqref="G23"/>
    </sheetView>
  </sheetViews>
  <sheetFormatPr defaultColWidth="9.109375" defaultRowHeight="10.65"/>
  <cols>
    <col min="1" max="1" width="14.44140625" style="5" customWidth="1"/>
    <col min="2" max="2" width="16.33203125" style="5" customWidth="1"/>
    <col min="3" max="3" width="14.109375" style="5" customWidth="1"/>
    <col min="4" max="4" width="15.88671875" style="5" customWidth="1"/>
    <col min="5" max="5" width="24" style="5" customWidth="1"/>
    <col min="6" max="6" width="20.44140625" style="5" customWidth="1"/>
    <col min="7" max="7" width="16.33203125" style="5" customWidth="1"/>
    <col min="8" max="8" width="11.44140625" style="5" customWidth="1"/>
    <col min="9" max="9" width="12.44140625" style="5" customWidth="1"/>
    <col min="10" max="10" width="9.44140625" style="5" customWidth="1"/>
    <col min="11" max="11" width="10.88671875" style="5" customWidth="1"/>
    <col min="12" max="12" width="9.109375" style="5" customWidth="1"/>
    <col min="13" max="16384" width="9.109375" style="5"/>
  </cols>
  <sheetData>
    <row r="1" spans="1:13" ht="21.8" customHeight="1">
      <c r="A1" s="154" t="s">
        <v>0</v>
      </c>
      <c r="B1" s="155"/>
      <c r="C1" s="155"/>
      <c r="D1" s="155"/>
      <c r="E1" s="155"/>
      <c r="F1" s="155"/>
      <c r="G1" s="155"/>
      <c r="H1" s="155"/>
      <c r="I1" s="155"/>
      <c r="J1" s="155"/>
      <c r="K1" s="156"/>
    </row>
    <row r="2" spans="1:13" ht="15.05" customHeight="1">
      <c r="A2" s="157"/>
      <c r="B2" s="158"/>
      <c r="C2" s="158"/>
      <c r="D2" s="158"/>
      <c r="E2" s="158"/>
      <c r="F2" s="158"/>
      <c r="G2" s="158"/>
      <c r="H2" s="158"/>
      <c r="I2" s="158"/>
      <c r="J2" s="158"/>
      <c r="K2" s="159"/>
    </row>
    <row r="3" spans="1:13" ht="14.6" customHeight="1">
      <c r="A3" s="6" t="s">
        <v>1</v>
      </c>
      <c r="B3" s="7" t="s">
        <v>103</v>
      </c>
      <c r="C3" s="8" t="s">
        <v>2</v>
      </c>
      <c r="D3" s="184" t="s">
        <v>103</v>
      </c>
      <c r="E3" s="150"/>
      <c r="F3" s="8" t="s">
        <v>3</v>
      </c>
      <c r="G3" s="9" t="s">
        <v>103</v>
      </c>
      <c r="H3" s="8" t="s">
        <v>4</v>
      </c>
      <c r="I3" s="185" t="s">
        <v>103</v>
      </c>
      <c r="J3" s="149"/>
      <c r="K3" s="150"/>
    </row>
    <row r="4" spans="1:13" ht="26.15" customHeight="1">
      <c r="A4" s="6" t="s">
        <v>6</v>
      </c>
      <c r="B4" s="186" t="s">
        <v>103</v>
      </c>
      <c r="C4" s="150"/>
      <c r="D4" s="8" t="s">
        <v>7</v>
      </c>
      <c r="E4" s="9" t="s">
        <v>103</v>
      </c>
      <c r="F4" s="8" t="s">
        <v>8</v>
      </c>
      <c r="G4" s="9" t="s">
        <v>103</v>
      </c>
      <c r="H4" s="8" t="s">
        <v>9</v>
      </c>
      <c r="I4" s="10" t="s">
        <v>103</v>
      </c>
      <c r="J4" s="11" t="s">
        <v>10</v>
      </c>
      <c r="K4" s="10" t="s">
        <v>103</v>
      </c>
      <c r="M4" s="12"/>
    </row>
    <row r="5" spans="1:13" ht="16.45" customHeight="1">
      <c r="A5" s="162" t="s">
        <v>11</v>
      </c>
      <c r="B5" s="163"/>
      <c r="C5" s="187" t="s">
        <v>103</v>
      </c>
      <c r="D5" s="163"/>
      <c r="E5" s="165" t="s">
        <v>12</v>
      </c>
      <c r="F5" s="163"/>
      <c r="G5" s="13" t="s">
        <v>103</v>
      </c>
      <c r="H5" s="14"/>
      <c r="I5" s="15"/>
      <c r="J5" s="14"/>
      <c r="K5" s="16"/>
    </row>
    <row r="6" spans="1:13" ht="23.35" customHeight="1">
      <c r="A6" s="166" t="s">
        <v>104</v>
      </c>
      <c r="B6" s="129"/>
      <c r="C6" s="129"/>
      <c r="D6" s="129"/>
      <c r="E6" s="130"/>
      <c r="F6" s="167" t="s">
        <v>60</v>
      </c>
      <c r="G6" s="129"/>
      <c r="H6" s="129"/>
      <c r="I6" s="129"/>
      <c r="J6" s="129"/>
      <c r="K6" s="130"/>
    </row>
    <row r="7" spans="1:13" ht="32.25" customHeight="1">
      <c r="A7" s="17" t="s">
        <v>105</v>
      </c>
      <c r="B7" s="188" t="s">
        <v>106</v>
      </c>
      <c r="C7" s="123"/>
      <c r="D7" s="123"/>
      <c r="E7" s="121"/>
      <c r="F7" s="19" t="s">
        <v>14</v>
      </c>
      <c r="G7" s="169" t="s">
        <v>107</v>
      </c>
      <c r="H7" s="123"/>
      <c r="I7" s="123"/>
      <c r="J7" s="123"/>
      <c r="K7" s="121"/>
    </row>
    <row r="8" spans="1:13" ht="16.45" customHeight="1">
      <c r="A8" s="17" t="s">
        <v>15</v>
      </c>
      <c r="B8" s="188" t="s">
        <v>108</v>
      </c>
      <c r="C8" s="123"/>
      <c r="D8" s="123"/>
      <c r="E8" s="121"/>
      <c r="F8" s="19" t="s">
        <v>66</v>
      </c>
      <c r="G8" s="169" t="s">
        <v>107</v>
      </c>
      <c r="H8" s="178"/>
      <c r="I8" s="178"/>
      <c r="J8" s="178"/>
      <c r="K8" s="179"/>
    </row>
    <row r="9" spans="1:13" ht="51.05" customHeight="1">
      <c r="A9" s="17" t="s">
        <v>17</v>
      </c>
      <c r="B9" s="20" t="s">
        <v>109</v>
      </c>
      <c r="C9" s="21" t="s">
        <v>18</v>
      </c>
      <c r="D9" s="188" t="s">
        <v>110</v>
      </c>
      <c r="E9" s="121"/>
      <c r="F9" s="19" t="s">
        <v>71</v>
      </c>
      <c r="G9" s="180"/>
      <c r="H9" s="132"/>
      <c r="I9" s="132"/>
      <c r="J9" s="132"/>
      <c r="K9" s="133"/>
    </row>
    <row r="10" spans="1:13" ht="23.95" customHeight="1">
      <c r="A10" s="17" t="s">
        <v>20</v>
      </c>
      <c r="B10" s="18" t="s">
        <v>111</v>
      </c>
      <c r="C10" s="21" t="s">
        <v>21</v>
      </c>
      <c r="D10" s="171" t="s">
        <v>75</v>
      </c>
      <c r="E10" s="121"/>
      <c r="F10" s="19" t="s">
        <v>76</v>
      </c>
      <c r="G10" s="181"/>
      <c r="H10" s="129"/>
      <c r="I10" s="129"/>
      <c r="J10" s="129"/>
      <c r="K10" s="130"/>
    </row>
    <row r="11" spans="1:13" ht="15.05" customHeight="1">
      <c r="A11" s="172" t="s">
        <v>112</v>
      </c>
      <c r="B11" s="123"/>
      <c r="C11" s="123"/>
      <c r="D11" s="123"/>
      <c r="E11" s="121"/>
      <c r="F11" s="173" t="s">
        <v>78</v>
      </c>
      <c r="G11" s="123"/>
      <c r="H11" s="123"/>
      <c r="I11" s="123"/>
      <c r="J11" s="123"/>
      <c r="K11" s="121"/>
    </row>
    <row r="12" spans="1:13" ht="41.95" customHeight="1">
      <c r="A12" s="17" t="s">
        <v>105</v>
      </c>
      <c r="B12" s="189" t="s">
        <v>113</v>
      </c>
      <c r="C12" s="123"/>
      <c r="D12" s="123"/>
      <c r="E12" s="121"/>
      <c r="F12" s="19" t="s">
        <v>14</v>
      </c>
      <c r="G12" s="169" t="s">
        <v>107</v>
      </c>
      <c r="H12" s="123"/>
      <c r="I12" s="123"/>
      <c r="J12" s="123"/>
      <c r="K12" s="121"/>
    </row>
    <row r="13" spans="1:13" ht="42.75" customHeight="1">
      <c r="A13" s="17" t="s">
        <v>15</v>
      </c>
      <c r="B13" s="189" t="s">
        <v>114</v>
      </c>
      <c r="C13" s="123"/>
      <c r="D13" s="123"/>
      <c r="E13" s="121"/>
      <c r="F13" s="19" t="s">
        <v>66</v>
      </c>
      <c r="G13" s="169" t="s">
        <v>107</v>
      </c>
      <c r="H13" s="178"/>
      <c r="I13" s="178"/>
      <c r="J13" s="178"/>
      <c r="K13" s="179"/>
      <c r="M13" s="12"/>
    </row>
    <row r="14" spans="1:13" ht="42.75" customHeight="1">
      <c r="A14" s="17" t="s">
        <v>17</v>
      </c>
      <c r="B14" s="20" t="s">
        <v>115</v>
      </c>
      <c r="C14" s="21" t="s">
        <v>18</v>
      </c>
      <c r="D14" s="188" t="s">
        <v>116</v>
      </c>
      <c r="E14" s="121"/>
      <c r="F14" s="19" t="s">
        <v>71</v>
      </c>
      <c r="G14" s="180"/>
      <c r="H14" s="132"/>
      <c r="I14" s="132"/>
      <c r="J14" s="132"/>
      <c r="K14" s="133"/>
    </row>
    <row r="15" spans="1:13" ht="35.25" customHeight="1">
      <c r="A15" s="17" t="s">
        <v>20</v>
      </c>
      <c r="B15" s="18" t="s">
        <v>117</v>
      </c>
      <c r="C15" s="21" t="s">
        <v>21</v>
      </c>
      <c r="D15" s="188" t="s">
        <v>118</v>
      </c>
      <c r="E15" s="121"/>
      <c r="F15" s="19" t="s">
        <v>76</v>
      </c>
      <c r="G15" s="181"/>
      <c r="H15" s="129"/>
      <c r="I15" s="129"/>
      <c r="J15" s="129"/>
      <c r="K15" s="130"/>
    </row>
    <row r="16" spans="1:13" ht="15.05" customHeight="1">
      <c r="A16" s="172" t="s">
        <v>119</v>
      </c>
      <c r="B16" s="123"/>
      <c r="C16" s="123"/>
      <c r="D16" s="123"/>
      <c r="E16" s="121"/>
      <c r="F16" s="173" t="s">
        <v>85</v>
      </c>
      <c r="G16" s="123"/>
      <c r="H16" s="123"/>
      <c r="I16" s="123"/>
      <c r="J16" s="123"/>
      <c r="K16" s="121"/>
    </row>
    <row r="17" spans="1:13" ht="31.5" customHeight="1">
      <c r="A17" s="17" t="s">
        <v>105</v>
      </c>
      <c r="B17" s="188" t="s">
        <v>120</v>
      </c>
      <c r="C17" s="123"/>
      <c r="D17" s="123"/>
      <c r="E17" s="121"/>
      <c r="F17" s="19" t="s">
        <v>14</v>
      </c>
      <c r="G17" s="169" t="s">
        <v>107</v>
      </c>
      <c r="H17" s="123"/>
      <c r="I17" s="123"/>
      <c r="J17" s="123"/>
      <c r="K17" s="121"/>
    </row>
    <row r="18" spans="1:13" ht="18.8" customHeight="1">
      <c r="A18" s="17" t="s">
        <v>15</v>
      </c>
      <c r="B18" s="188" t="s">
        <v>121</v>
      </c>
      <c r="C18" s="123"/>
      <c r="D18" s="123"/>
      <c r="E18" s="121"/>
      <c r="F18" s="19" t="s">
        <v>66</v>
      </c>
      <c r="G18" s="169" t="s">
        <v>122</v>
      </c>
      <c r="H18" s="178"/>
      <c r="I18" s="178"/>
      <c r="J18" s="178"/>
      <c r="K18" s="179"/>
    </row>
    <row r="19" spans="1:13" ht="42.75" customHeight="1">
      <c r="A19" s="17" t="s">
        <v>17</v>
      </c>
      <c r="B19" s="20" t="s">
        <v>115</v>
      </c>
      <c r="C19" s="21" t="s">
        <v>18</v>
      </c>
      <c r="D19" s="188" t="s">
        <v>116</v>
      </c>
      <c r="E19" s="121"/>
      <c r="F19" s="19" t="s">
        <v>71</v>
      </c>
      <c r="G19" s="180"/>
      <c r="H19" s="132"/>
      <c r="I19" s="132"/>
      <c r="J19" s="132"/>
      <c r="K19" s="133"/>
    </row>
    <row r="20" spans="1:13" ht="41.95" customHeight="1">
      <c r="A20" s="23" t="s">
        <v>20</v>
      </c>
      <c r="B20" s="18" t="s">
        <v>117</v>
      </c>
      <c r="C20" s="21" t="s">
        <v>21</v>
      </c>
      <c r="D20" s="188" t="s">
        <v>118</v>
      </c>
      <c r="E20" s="121"/>
      <c r="F20" s="24" t="s">
        <v>76</v>
      </c>
      <c r="G20" s="181"/>
      <c r="H20" s="129"/>
      <c r="I20" s="129"/>
      <c r="J20" s="129"/>
      <c r="K20" s="130"/>
    </row>
    <row r="21" spans="1:13" ht="12.7" customHeight="1">
      <c r="A21" s="177"/>
      <c r="B21" s="132"/>
      <c r="C21" s="132"/>
      <c r="D21" s="132"/>
      <c r="E21" s="132"/>
      <c r="F21" s="132"/>
      <c r="G21" s="132"/>
      <c r="H21" s="132"/>
      <c r="I21" s="132"/>
      <c r="J21" s="132"/>
      <c r="K21" s="132"/>
    </row>
    <row r="22" spans="1:13" ht="32.1" customHeight="1">
      <c r="A22" s="25" t="s">
        <v>29</v>
      </c>
      <c r="B22" s="26" t="s">
        <v>30</v>
      </c>
      <c r="C22" s="26" t="s">
        <v>123</v>
      </c>
      <c r="D22" s="26" t="s">
        <v>124</v>
      </c>
      <c r="E22" s="26" t="s">
        <v>33</v>
      </c>
      <c r="F22" s="26" t="s">
        <v>34</v>
      </c>
      <c r="G22" s="27" t="s">
        <v>125</v>
      </c>
      <c r="H22" s="27" t="s">
        <v>36</v>
      </c>
      <c r="I22" s="27" t="s">
        <v>126</v>
      </c>
      <c r="J22" s="28" t="s">
        <v>127</v>
      </c>
      <c r="K22" s="29" t="s">
        <v>39</v>
      </c>
    </row>
    <row r="23" spans="1:13" ht="167.35" customHeight="1">
      <c r="A23" s="30" t="s">
        <v>128</v>
      </c>
      <c r="B23" s="31" t="s">
        <v>128</v>
      </c>
      <c r="C23" s="32" t="s">
        <v>129</v>
      </c>
      <c r="D23" s="33" t="s">
        <v>130</v>
      </c>
      <c r="E23" s="32" t="s">
        <v>131</v>
      </c>
      <c r="F23" s="32" t="s">
        <v>132</v>
      </c>
      <c r="G23" s="32" t="s">
        <v>133</v>
      </c>
      <c r="H23" s="32" t="s">
        <v>134</v>
      </c>
      <c r="I23" s="32" t="s">
        <v>135</v>
      </c>
      <c r="J23" s="32"/>
      <c r="K23" s="34" t="s">
        <v>136</v>
      </c>
      <c r="L23" s="35"/>
      <c r="M23" s="12"/>
    </row>
    <row r="24" spans="1:13" ht="12.05" customHeight="1">
      <c r="A24" s="17"/>
      <c r="B24" s="19"/>
      <c r="C24" s="19"/>
      <c r="D24" s="36"/>
      <c r="E24" s="19"/>
      <c r="F24" s="19"/>
      <c r="G24" s="19"/>
      <c r="H24" s="19"/>
      <c r="I24" s="19" t="s">
        <v>101</v>
      </c>
      <c r="J24" s="19"/>
      <c r="K24" s="37"/>
    </row>
    <row r="25" spans="1:13" ht="12.05" customHeight="1">
      <c r="A25" s="17"/>
      <c r="B25" s="19"/>
      <c r="C25" s="19"/>
      <c r="D25" s="36"/>
      <c r="E25" s="19"/>
      <c r="F25" s="19"/>
      <c r="G25" s="19"/>
      <c r="H25" s="19"/>
      <c r="I25" s="19"/>
      <c r="J25" s="38"/>
      <c r="K25" s="39"/>
    </row>
    <row r="26" spans="1:13" ht="12.05" customHeight="1">
      <c r="A26" s="17"/>
      <c r="B26" s="19"/>
      <c r="C26" s="19"/>
      <c r="D26" s="36"/>
      <c r="E26" s="19"/>
      <c r="F26" s="19"/>
      <c r="G26" s="19"/>
      <c r="H26" s="19"/>
      <c r="I26" s="19"/>
      <c r="J26" s="19"/>
      <c r="K26" s="37"/>
    </row>
    <row r="27" spans="1:13" ht="12.05" customHeight="1">
      <c r="A27" s="17"/>
      <c r="B27" s="19"/>
      <c r="C27" s="19"/>
      <c r="D27" s="36"/>
      <c r="E27" s="19"/>
      <c r="F27" s="19"/>
      <c r="G27" s="19"/>
      <c r="H27" s="19"/>
      <c r="I27" s="19"/>
      <c r="J27" s="19"/>
      <c r="K27" s="37"/>
    </row>
    <row r="28" spans="1:13" ht="12.05" customHeight="1">
      <c r="A28" s="17"/>
      <c r="B28" s="19"/>
      <c r="C28" s="19"/>
      <c r="D28" s="36"/>
      <c r="E28" s="19"/>
      <c r="F28" s="19"/>
      <c r="G28" s="19"/>
      <c r="H28" s="19"/>
      <c r="I28" s="19"/>
      <c r="J28" s="38"/>
      <c r="K28" s="39"/>
    </row>
    <row r="29" spans="1:13" ht="12.7" customHeight="1">
      <c r="A29" s="23"/>
      <c r="B29" s="24"/>
      <c r="C29" s="24"/>
      <c r="D29" s="40"/>
      <c r="E29" s="24"/>
      <c r="F29" s="24"/>
      <c r="G29" s="24"/>
      <c r="H29" s="24"/>
      <c r="I29" s="24"/>
      <c r="J29" s="41"/>
      <c r="K29" s="42"/>
    </row>
    <row r="32" spans="1:13" ht="12.05" customHeight="1">
      <c r="A32" s="190"/>
      <c r="B32" s="183"/>
      <c r="F32" s="12"/>
      <c r="G32" s="12"/>
    </row>
  </sheetData>
  <mergeCells count="34">
    <mergeCell ref="B18:E18"/>
    <mergeCell ref="D19:E19"/>
    <mergeCell ref="D20:E20"/>
    <mergeCell ref="A21:K21"/>
    <mergeCell ref="A32:B32"/>
    <mergeCell ref="G18:K20"/>
    <mergeCell ref="D14:E14"/>
    <mergeCell ref="D15:E15"/>
    <mergeCell ref="A16:E16"/>
    <mergeCell ref="F16:K16"/>
    <mergeCell ref="B17:E17"/>
    <mergeCell ref="G17:K17"/>
    <mergeCell ref="G13:K15"/>
    <mergeCell ref="A11:E11"/>
    <mergeCell ref="F11:K11"/>
    <mergeCell ref="B12:E12"/>
    <mergeCell ref="G12:K12"/>
    <mergeCell ref="B13:E13"/>
    <mergeCell ref="B7:E7"/>
    <mergeCell ref="G7:K7"/>
    <mergeCell ref="B8:E8"/>
    <mergeCell ref="D9:E9"/>
    <mergeCell ref="D10:E10"/>
    <mergeCell ref="G8:K10"/>
    <mergeCell ref="A5:B5"/>
    <mergeCell ref="C5:D5"/>
    <mergeCell ref="E5:F5"/>
    <mergeCell ref="A6:E6"/>
    <mergeCell ref="F6:K6"/>
    <mergeCell ref="A1:K1"/>
    <mergeCell ref="A2:K2"/>
    <mergeCell ref="D3:E3"/>
    <mergeCell ref="I3:K3"/>
    <mergeCell ref="B4:C4"/>
  </mergeCells>
  <phoneticPr fontId="15" type="noConversion"/>
  <dataValidations count="2">
    <dataValidation allowBlank="1" showInputMessage="1" showErrorMessage="1" promptTitle="Reminder" prompt="Will be shown on HBL" sqref="B7:E7 B12:E12 B17:E17" xr:uid="{00000000-0002-0000-0400-000000000000}"/>
    <dataValidation allowBlank="1" showErrorMessage="1" sqref="A23:K29" xr:uid="{00000000-0002-0000-0400-000001000000}"/>
  </dataValidations>
  <pageMargins left="0.69930555555555596" right="0.69930555555555596" top="0.75" bottom="0.75" header="0.3" footer="0.3"/>
  <pageSetup orientation="portrait"/>
  <headerFooter>
    <oddFooter>&amp;L&amp;"Calibri"&amp;10 &amp;K000000#Classification: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6"/>
  <sheetViews>
    <sheetView topLeftCell="A63" zoomScale="85" zoomScaleNormal="85" workbookViewId="0">
      <selection activeCell="D96" sqref="D96"/>
    </sheetView>
  </sheetViews>
  <sheetFormatPr defaultColWidth="9.109375" defaultRowHeight="14.4"/>
  <cols>
    <col min="1" max="1" width="7" style="1" customWidth="1"/>
    <col min="2" max="2" width="7.44140625" style="1" customWidth="1"/>
    <col min="3" max="3" width="25.109375" style="1" customWidth="1"/>
    <col min="4" max="4" width="37.33203125" style="1" customWidth="1"/>
    <col min="5" max="5" width="17.33203125" style="1" customWidth="1"/>
    <col min="6" max="6" width="7.33203125" style="1" customWidth="1"/>
    <col min="7" max="7" width="13.44140625" style="1" customWidth="1"/>
    <col min="8" max="8" width="9.44140625" style="1" customWidth="1"/>
    <col min="9" max="9" width="8.33203125" style="1" customWidth="1"/>
    <col min="10" max="10" width="9.109375" style="1" customWidth="1"/>
    <col min="11" max="16384" width="9.109375" style="1"/>
  </cols>
  <sheetData>
    <row r="1" spans="1:9" ht="14.6" customHeight="1">
      <c r="A1" s="2" t="s">
        <v>137</v>
      </c>
      <c r="B1" s="2" t="s">
        <v>9</v>
      </c>
      <c r="C1" s="2" t="s">
        <v>138</v>
      </c>
      <c r="D1" s="2" t="s">
        <v>139</v>
      </c>
      <c r="E1" s="2" t="s">
        <v>140</v>
      </c>
      <c r="F1" s="2" t="s">
        <v>141</v>
      </c>
      <c r="G1" s="2" t="s">
        <v>142</v>
      </c>
      <c r="H1" s="2" t="s">
        <v>143</v>
      </c>
      <c r="I1" s="2" t="s">
        <v>144</v>
      </c>
    </row>
    <row r="2" spans="1:9">
      <c r="A2" s="3" t="s">
        <v>145</v>
      </c>
      <c r="B2" s="3" t="s">
        <v>146</v>
      </c>
      <c r="C2" s="3" t="s">
        <v>147</v>
      </c>
      <c r="D2" s="3" t="s">
        <v>148</v>
      </c>
      <c r="E2" s="3" t="s">
        <v>149</v>
      </c>
      <c r="F2" s="3" t="s">
        <v>150</v>
      </c>
      <c r="G2" s="3" t="s">
        <v>151</v>
      </c>
      <c r="H2" s="3" t="s">
        <v>26</v>
      </c>
      <c r="I2" s="3" t="s">
        <v>152</v>
      </c>
    </row>
    <row r="3" spans="1:9">
      <c r="A3" s="3" t="s">
        <v>153</v>
      </c>
      <c r="B3" s="3" t="s">
        <v>146</v>
      </c>
      <c r="C3" s="3" t="s">
        <v>154</v>
      </c>
      <c r="D3" s="3" t="s">
        <v>155</v>
      </c>
      <c r="E3" s="3" t="s">
        <v>156</v>
      </c>
      <c r="F3" s="3" t="s">
        <v>150</v>
      </c>
      <c r="G3" s="3" t="s">
        <v>157</v>
      </c>
      <c r="H3" s="3" t="s">
        <v>26</v>
      </c>
      <c r="I3" s="3" t="s">
        <v>158</v>
      </c>
    </row>
    <row r="4" spans="1:9">
      <c r="A4" s="3" t="s">
        <v>159</v>
      </c>
      <c r="B4" s="3" t="s">
        <v>146</v>
      </c>
      <c r="C4" s="3" t="s">
        <v>160</v>
      </c>
      <c r="D4" s="3" t="s">
        <v>161</v>
      </c>
      <c r="E4" s="3" t="s">
        <v>162</v>
      </c>
      <c r="F4" s="3" t="s">
        <v>163</v>
      </c>
      <c r="G4" s="3" t="s">
        <v>164</v>
      </c>
      <c r="H4" s="3" t="s">
        <v>26</v>
      </c>
      <c r="I4" s="3" t="s">
        <v>158</v>
      </c>
    </row>
    <row r="5" spans="1:9">
      <c r="A5" s="3" t="s">
        <v>165</v>
      </c>
      <c r="B5" s="3" t="s">
        <v>146</v>
      </c>
      <c r="C5" s="3" t="s">
        <v>154</v>
      </c>
      <c r="D5" s="3" t="s">
        <v>166</v>
      </c>
      <c r="E5" s="3" t="s">
        <v>167</v>
      </c>
      <c r="F5" s="3" t="s">
        <v>150</v>
      </c>
      <c r="G5" s="3" t="s">
        <v>168</v>
      </c>
      <c r="H5" s="3" t="s">
        <v>26</v>
      </c>
      <c r="I5" s="3" t="s">
        <v>169</v>
      </c>
    </row>
    <row r="6" spans="1:9">
      <c r="A6" s="3" t="s">
        <v>170</v>
      </c>
      <c r="B6" s="3" t="s">
        <v>171</v>
      </c>
      <c r="C6" s="3" t="s">
        <v>172</v>
      </c>
      <c r="D6" s="3" t="s">
        <v>173</v>
      </c>
      <c r="E6" s="3" t="s">
        <v>174</v>
      </c>
      <c r="F6" s="3" t="s">
        <v>175</v>
      </c>
      <c r="G6" s="3" t="s">
        <v>176</v>
      </c>
      <c r="H6" s="3" t="s">
        <v>26</v>
      </c>
      <c r="I6" s="3" t="s">
        <v>158</v>
      </c>
    </row>
    <row r="7" spans="1:9">
      <c r="A7" s="3" t="s">
        <v>177</v>
      </c>
      <c r="B7" s="3" t="s">
        <v>171</v>
      </c>
      <c r="C7" s="3" t="s">
        <v>178</v>
      </c>
      <c r="D7" s="3" t="s">
        <v>179</v>
      </c>
      <c r="E7" s="3" t="s">
        <v>180</v>
      </c>
      <c r="F7" s="3" t="s">
        <v>181</v>
      </c>
      <c r="G7" s="3" t="s">
        <v>182</v>
      </c>
      <c r="H7" s="3" t="s">
        <v>26</v>
      </c>
      <c r="I7" s="3" t="s">
        <v>158</v>
      </c>
    </row>
    <row r="8" spans="1:9">
      <c r="A8" s="3" t="s">
        <v>183</v>
      </c>
      <c r="B8" s="3" t="s">
        <v>184</v>
      </c>
      <c r="C8" s="3" t="s">
        <v>185</v>
      </c>
      <c r="D8" s="3" t="s">
        <v>186</v>
      </c>
      <c r="E8" s="3" t="s">
        <v>187</v>
      </c>
      <c r="F8" s="3" t="s">
        <v>188</v>
      </c>
      <c r="G8" s="3" t="s">
        <v>189</v>
      </c>
      <c r="H8" s="3" t="s">
        <v>26</v>
      </c>
      <c r="I8" s="3" t="s">
        <v>169</v>
      </c>
    </row>
    <row r="9" spans="1:9">
      <c r="A9" s="3" t="s">
        <v>190</v>
      </c>
      <c r="B9" s="3" t="s">
        <v>191</v>
      </c>
      <c r="C9" s="3" t="s">
        <v>192</v>
      </c>
      <c r="D9" s="3" t="s">
        <v>193</v>
      </c>
      <c r="E9" s="3" t="s">
        <v>194</v>
      </c>
      <c r="F9" s="3" t="s">
        <v>195</v>
      </c>
      <c r="G9" s="3" t="s">
        <v>196</v>
      </c>
      <c r="H9" s="3" t="s">
        <v>26</v>
      </c>
      <c r="I9" s="3" t="s">
        <v>158</v>
      </c>
    </row>
    <row r="10" spans="1:9">
      <c r="A10" s="3" t="s">
        <v>197</v>
      </c>
      <c r="B10" s="3" t="s">
        <v>198</v>
      </c>
      <c r="C10" s="3" t="s">
        <v>185</v>
      </c>
      <c r="D10" s="3" t="s">
        <v>199</v>
      </c>
      <c r="E10" s="3" t="s">
        <v>200</v>
      </c>
      <c r="F10" s="3" t="s">
        <v>188</v>
      </c>
      <c r="G10" s="3" t="s">
        <v>201</v>
      </c>
      <c r="H10" s="3" t="s">
        <v>26</v>
      </c>
      <c r="I10" s="3" t="s">
        <v>158</v>
      </c>
    </row>
    <row r="11" spans="1:9">
      <c r="A11" s="3" t="s">
        <v>202</v>
      </c>
      <c r="B11" s="3" t="s">
        <v>198</v>
      </c>
      <c r="C11" s="3" t="s">
        <v>203</v>
      </c>
      <c r="D11" s="3" t="s">
        <v>204</v>
      </c>
      <c r="E11" s="3" t="s">
        <v>205</v>
      </c>
      <c r="F11" s="3" t="s">
        <v>188</v>
      </c>
      <c r="G11" s="3" t="s">
        <v>206</v>
      </c>
      <c r="H11" s="3" t="s">
        <v>26</v>
      </c>
      <c r="I11" s="3" t="s">
        <v>169</v>
      </c>
    </row>
    <row r="12" spans="1:9">
      <c r="A12" s="3" t="s">
        <v>207</v>
      </c>
      <c r="B12" s="3" t="s">
        <v>198</v>
      </c>
      <c r="C12" s="3" t="s">
        <v>28</v>
      </c>
      <c r="D12" s="3" t="s">
        <v>208</v>
      </c>
      <c r="E12" s="3" t="s">
        <v>209</v>
      </c>
      <c r="F12" s="3" t="s">
        <v>188</v>
      </c>
      <c r="G12" s="3" t="s">
        <v>210</v>
      </c>
      <c r="H12" s="3" t="s">
        <v>26</v>
      </c>
      <c r="I12" s="3" t="s">
        <v>158</v>
      </c>
    </row>
    <row r="13" spans="1:9">
      <c r="A13" s="3" t="s">
        <v>211</v>
      </c>
      <c r="B13" s="3" t="s">
        <v>212</v>
      </c>
      <c r="C13" s="3" t="s">
        <v>213</v>
      </c>
      <c r="D13" s="3" t="s">
        <v>214</v>
      </c>
      <c r="E13" s="3" t="s">
        <v>215</v>
      </c>
      <c r="F13" s="3" t="s">
        <v>216</v>
      </c>
      <c r="G13" s="3" t="s">
        <v>217</v>
      </c>
      <c r="H13" s="3" t="s">
        <v>26</v>
      </c>
      <c r="I13" s="3" t="s">
        <v>158</v>
      </c>
    </row>
    <row r="14" spans="1:9">
      <c r="A14" s="3" t="s">
        <v>218</v>
      </c>
      <c r="B14" s="3" t="s">
        <v>212</v>
      </c>
      <c r="C14" s="3" t="s">
        <v>213</v>
      </c>
      <c r="D14" s="3" t="s">
        <v>219</v>
      </c>
      <c r="E14" s="3" t="s">
        <v>220</v>
      </c>
      <c r="F14" s="3" t="s">
        <v>216</v>
      </c>
      <c r="G14" s="3" t="s">
        <v>221</v>
      </c>
      <c r="H14" s="3" t="s">
        <v>26</v>
      </c>
      <c r="I14" s="3" t="s">
        <v>152</v>
      </c>
    </row>
    <row r="15" spans="1:9">
      <c r="A15" s="3" t="s">
        <v>222</v>
      </c>
      <c r="B15" s="3" t="s">
        <v>212</v>
      </c>
      <c r="C15" s="3" t="s">
        <v>223</v>
      </c>
      <c r="D15" s="3" t="s">
        <v>224</v>
      </c>
      <c r="E15" s="3" t="s">
        <v>215</v>
      </c>
      <c r="F15" s="3" t="s">
        <v>216</v>
      </c>
      <c r="G15" s="3" t="s">
        <v>217</v>
      </c>
      <c r="H15" s="3" t="s">
        <v>26</v>
      </c>
      <c r="I15" s="3" t="s">
        <v>158</v>
      </c>
    </row>
    <row r="16" spans="1:9">
      <c r="A16" s="3" t="s">
        <v>225</v>
      </c>
      <c r="B16" s="3" t="s">
        <v>212</v>
      </c>
      <c r="C16" s="3" t="s">
        <v>226</v>
      </c>
      <c r="D16" s="3" t="s">
        <v>227</v>
      </c>
      <c r="E16" s="3" t="s">
        <v>228</v>
      </c>
      <c r="F16" s="3" t="s">
        <v>216</v>
      </c>
      <c r="G16" s="3" t="s">
        <v>229</v>
      </c>
      <c r="H16" s="3" t="s">
        <v>26</v>
      </c>
      <c r="I16" s="3" t="s">
        <v>230</v>
      </c>
    </row>
    <row r="17" spans="1:9">
      <c r="A17" s="3" t="s">
        <v>231</v>
      </c>
      <c r="B17" s="3" t="s">
        <v>212</v>
      </c>
      <c r="C17" s="3" t="s">
        <v>226</v>
      </c>
      <c r="D17" s="3" t="s">
        <v>232</v>
      </c>
      <c r="E17" s="3" t="s">
        <v>233</v>
      </c>
      <c r="F17" s="3" t="s">
        <v>234</v>
      </c>
      <c r="G17" s="3" t="s">
        <v>235</v>
      </c>
      <c r="H17" s="3" t="s">
        <v>26</v>
      </c>
      <c r="I17" s="3" t="s">
        <v>236</v>
      </c>
    </row>
    <row r="18" spans="1:9">
      <c r="A18" s="3" t="s">
        <v>237</v>
      </c>
      <c r="B18" s="3" t="s">
        <v>238</v>
      </c>
      <c r="C18" s="3" t="s">
        <v>192</v>
      </c>
      <c r="D18" s="3" t="s">
        <v>239</v>
      </c>
      <c r="E18" s="3" t="s">
        <v>240</v>
      </c>
      <c r="F18" s="3" t="s">
        <v>241</v>
      </c>
      <c r="G18" s="3" t="s">
        <v>242</v>
      </c>
      <c r="H18" s="3" t="s">
        <v>26</v>
      </c>
      <c r="I18" s="3" t="s">
        <v>158</v>
      </c>
    </row>
    <row r="19" spans="1:9">
      <c r="A19" s="3" t="s">
        <v>243</v>
      </c>
      <c r="B19" s="3" t="s">
        <v>212</v>
      </c>
      <c r="C19" s="3" t="s">
        <v>28</v>
      </c>
      <c r="D19" s="3" t="s">
        <v>244</v>
      </c>
      <c r="E19" s="3" t="s">
        <v>245</v>
      </c>
      <c r="F19" s="3" t="s">
        <v>246</v>
      </c>
      <c r="G19" s="3" t="s">
        <v>247</v>
      </c>
      <c r="H19" s="3" t="s">
        <v>26</v>
      </c>
      <c r="I19" s="3" t="s">
        <v>158</v>
      </c>
    </row>
    <row r="20" spans="1:9">
      <c r="A20" s="3" t="s">
        <v>248</v>
      </c>
      <c r="B20" s="3" t="s">
        <v>249</v>
      </c>
      <c r="C20" s="3" t="s">
        <v>28</v>
      </c>
      <c r="D20" s="3" t="s">
        <v>250</v>
      </c>
      <c r="E20" s="3" t="s">
        <v>251</v>
      </c>
      <c r="F20" s="3" t="s">
        <v>25</v>
      </c>
      <c r="G20" s="3" t="s">
        <v>252</v>
      </c>
      <c r="H20" s="3" t="s">
        <v>26</v>
      </c>
      <c r="I20" s="3" t="s">
        <v>236</v>
      </c>
    </row>
    <row r="21" spans="1:9">
      <c r="A21" s="3" t="s">
        <v>253</v>
      </c>
      <c r="B21" s="3" t="s">
        <v>249</v>
      </c>
      <c r="C21" s="3" t="s">
        <v>192</v>
      </c>
      <c r="D21" s="3" t="s">
        <v>254</v>
      </c>
      <c r="E21" s="3" t="s">
        <v>255</v>
      </c>
      <c r="F21" s="3" t="s">
        <v>25</v>
      </c>
      <c r="G21" s="3" t="s">
        <v>256</v>
      </c>
      <c r="H21" s="3" t="s">
        <v>26</v>
      </c>
      <c r="I21" s="3" t="s">
        <v>158</v>
      </c>
    </row>
    <row r="22" spans="1:9">
      <c r="A22" s="3" t="s">
        <v>257</v>
      </c>
      <c r="B22" s="3" t="s">
        <v>249</v>
      </c>
      <c r="C22" s="3" t="s">
        <v>192</v>
      </c>
      <c r="D22" s="3" t="s">
        <v>258</v>
      </c>
      <c r="E22" s="3" t="s">
        <v>259</v>
      </c>
      <c r="F22" s="3" t="s">
        <v>25</v>
      </c>
      <c r="G22" s="3" t="s">
        <v>260</v>
      </c>
      <c r="H22" s="3" t="s">
        <v>26</v>
      </c>
      <c r="I22" s="3" t="s">
        <v>158</v>
      </c>
    </row>
    <row r="23" spans="1:9">
      <c r="A23" s="3" t="s">
        <v>261</v>
      </c>
      <c r="B23" s="3" t="s">
        <v>238</v>
      </c>
      <c r="C23" s="3" t="s">
        <v>192</v>
      </c>
      <c r="D23" s="3" t="s">
        <v>262</v>
      </c>
      <c r="E23" s="3" t="s">
        <v>263</v>
      </c>
      <c r="F23" s="3" t="s">
        <v>241</v>
      </c>
      <c r="G23" s="3" t="s">
        <v>264</v>
      </c>
      <c r="H23" s="3" t="s">
        <v>26</v>
      </c>
      <c r="I23" s="3" t="s">
        <v>158</v>
      </c>
    </row>
    <row r="24" spans="1:9">
      <c r="A24" s="3" t="s">
        <v>265</v>
      </c>
      <c r="B24" s="3" t="s">
        <v>171</v>
      </c>
      <c r="C24" s="3" t="s">
        <v>178</v>
      </c>
      <c r="D24" s="3" t="s">
        <v>266</v>
      </c>
      <c r="E24" s="3" t="s">
        <v>267</v>
      </c>
      <c r="F24" s="3" t="s">
        <v>150</v>
      </c>
      <c r="G24" s="3" t="s">
        <v>268</v>
      </c>
      <c r="H24" s="3" t="s">
        <v>26</v>
      </c>
      <c r="I24" s="3" t="s">
        <v>158</v>
      </c>
    </row>
    <row r="25" spans="1:9">
      <c r="A25" s="3" t="s">
        <v>269</v>
      </c>
      <c r="B25" s="3" t="s">
        <v>171</v>
      </c>
      <c r="C25" s="3" t="s">
        <v>178</v>
      </c>
      <c r="D25" s="3" t="s">
        <v>270</v>
      </c>
      <c r="E25" s="3" t="s">
        <v>271</v>
      </c>
      <c r="F25" s="3" t="s">
        <v>272</v>
      </c>
      <c r="G25" s="3" t="s">
        <v>273</v>
      </c>
      <c r="H25" s="3" t="s">
        <v>26</v>
      </c>
      <c r="I25" s="3" t="s">
        <v>152</v>
      </c>
    </row>
    <row r="26" spans="1:9">
      <c r="A26" s="3" t="s">
        <v>274</v>
      </c>
      <c r="B26" s="3" t="s">
        <v>212</v>
      </c>
      <c r="C26" s="3" t="s">
        <v>154</v>
      </c>
      <c r="D26" s="3" t="s">
        <v>275</v>
      </c>
      <c r="E26" s="3" t="s">
        <v>276</v>
      </c>
      <c r="F26" s="3" t="s">
        <v>234</v>
      </c>
      <c r="G26" s="3" t="s">
        <v>277</v>
      </c>
      <c r="H26" s="3" t="s">
        <v>26</v>
      </c>
      <c r="I26" s="3" t="s">
        <v>230</v>
      </c>
    </row>
    <row r="27" spans="1:9">
      <c r="A27" s="3" t="s">
        <v>278</v>
      </c>
      <c r="B27" s="3" t="s">
        <v>212</v>
      </c>
      <c r="C27" s="3" t="s">
        <v>178</v>
      </c>
      <c r="D27" s="3" t="s">
        <v>279</v>
      </c>
      <c r="E27" s="3" t="s">
        <v>280</v>
      </c>
      <c r="F27" s="3" t="s">
        <v>234</v>
      </c>
      <c r="G27" s="3" t="s">
        <v>281</v>
      </c>
      <c r="H27" s="3" t="s">
        <v>26</v>
      </c>
      <c r="I27" s="3" t="s">
        <v>158</v>
      </c>
    </row>
    <row r="28" spans="1:9">
      <c r="A28" s="3" t="s">
        <v>282</v>
      </c>
      <c r="B28" s="3" t="s">
        <v>212</v>
      </c>
      <c r="C28" s="3" t="s">
        <v>178</v>
      </c>
      <c r="D28" s="3" t="s">
        <v>283</v>
      </c>
      <c r="E28" s="3" t="s">
        <v>284</v>
      </c>
      <c r="F28" s="3" t="s">
        <v>234</v>
      </c>
      <c r="G28" s="3" t="s">
        <v>285</v>
      </c>
      <c r="H28" s="3" t="s">
        <v>26</v>
      </c>
      <c r="I28" s="3" t="s">
        <v>169</v>
      </c>
    </row>
    <row r="29" spans="1:9">
      <c r="A29" s="3" t="s">
        <v>286</v>
      </c>
      <c r="B29" s="3" t="s">
        <v>212</v>
      </c>
      <c r="C29" s="3" t="s">
        <v>178</v>
      </c>
      <c r="D29" s="3" t="s">
        <v>287</v>
      </c>
      <c r="E29" s="3" t="s">
        <v>288</v>
      </c>
      <c r="F29" s="3" t="s">
        <v>234</v>
      </c>
      <c r="G29" s="3" t="s">
        <v>289</v>
      </c>
      <c r="H29" s="3" t="s">
        <v>26</v>
      </c>
      <c r="I29" s="3" t="s">
        <v>158</v>
      </c>
    </row>
    <row r="30" spans="1:9">
      <c r="A30" s="3" t="s">
        <v>290</v>
      </c>
      <c r="B30" s="3" t="s">
        <v>191</v>
      </c>
      <c r="C30" s="3" t="s">
        <v>178</v>
      </c>
      <c r="D30" s="3" t="s">
        <v>291</v>
      </c>
      <c r="E30" s="3" t="s">
        <v>292</v>
      </c>
      <c r="F30" s="3" t="s">
        <v>293</v>
      </c>
      <c r="G30" s="3" t="s">
        <v>294</v>
      </c>
      <c r="H30" s="3" t="s">
        <v>26</v>
      </c>
      <c r="I30" s="3" t="s">
        <v>158</v>
      </c>
    </row>
    <row r="31" spans="1:9">
      <c r="A31" s="3" t="s">
        <v>295</v>
      </c>
      <c r="B31" s="3" t="s">
        <v>296</v>
      </c>
      <c r="C31" s="3" t="s">
        <v>297</v>
      </c>
      <c r="D31" s="3" t="s">
        <v>298</v>
      </c>
      <c r="E31" s="3" t="s">
        <v>299</v>
      </c>
      <c r="F31" s="3" t="s">
        <v>300</v>
      </c>
      <c r="G31" s="3" t="s">
        <v>301</v>
      </c>
      <c r="H31" s="3" t="s">
        <v>26</v>
      </c>
      <c r="I31" s="3" t="s">
        <v>158</v>
      </c>
    </row>
    <row r="32" spans="1:9">
      <c r="A32" s="3" t="s">
        <v>302</v>
      </c>
      <c r="B32" s="3" t="s">
        <v>212</v>
      </c>
      <c r="C32" s="3" t="s">
        <v>213</v>
      </c>
      <c r="D32" s="3" t="s">
        <v>303</v>
      </c>
      <c r="E32" s="3" t="s">
        <v>304</v>
      </c>
      <c r="F32" s="3" t="s">
        <v>216</v>
      </c>
      <c r="G32" s="3" t="s">
        <v>305</v>
      </c>
      <c r="H32" s="3" t="s">
        <v>26</v>
      </c>
      <c r="I32" s="3" t="s">
        <v>230</v>
      </c>
    </row>
    <row r="33" spans="1:9">
      <c r="A33" s="3" t="s">
        <v>306</v>
      </c>
      <c r="B33" s="3" t="s">
        <v>249</v>
      </c>
      <c r="C33" s="3" t="s">
        <v>192</v>
      </c>
      <c r="D33" s="3" t="s">
        <v>307</v>
      </c>
      <c r="E33" s="3" t="s">
        <v>308</v>
      </c>
      <c r="F33" s="3" t="s">
        <v>25</v>
      </c>
      <c r="G33" s="3" t="s">
        <v>256</v>
      </c>
      <c r="H33" s="3" t="s">
        <v>26</v>
      </c>
      <c r="I33" s="3" t="s">
        <v>158</v>
      </c>
    </row>
    <row r="34" spans="1:9">
      <c r="A34" s="3" t="s">
        <v>309</v>
      </c>
      <c r="B34" s="3" t="s">
        <v>212</v>
      </c>
      <c r="C34" s="3" t="s">
        <v>178</v>
      </c>
      <c r="D34" s="3" t="s">
        <v>310</v>
      </c>
      <c r="E34" s="3" t="s">
        <v>311</v>
      </c>
      <c r="F34" s="3" t="s">
        <v>312</v>
      </c>
      <c r="G34" s="3" t="s">
        <v>313</v>
      </c>
      <c r="H34" s="3" t="s">
        <v>26</v>
      </c>
      <c r="I34" s="3" t="s">
        <v>158</v>
      </c>
    </row>
    <row r="35" spans="1:9">
      <c r="A35" s="3" t="s">
        <v>314</v>
      </c>
      <c r="B35" s="3" t="s">
        <v>146</v>
      </c>
      <c r="C35" s="3" t="s">
        <v>226</v>
      </c>
      <c r="D35" s="3" t="s">
        <v>315</v>
      </c>
      <c r="E35" s="3" t="s">
        <v>316</v>
      </c>
      <c r="F35" s="3" t="s">
        <v>150</v>
      </c>
      <c r="G35" s="3" t="s">
        <v>317</v>
      </c>
      <c r="H35" s="3" t="s">
        <v>26</v>
      </c>
      <c r="I35" s="3" t="s">
        <v>158</v>
      </c>
    </row>
    <row r="36" spans="1:9">
      <c r="A36" s="3" t="s">
        <v>318</v>
      </c>
      <c r="B36" s="3" t="s">
        <v>146</v>
      </c>
      <c r="C36" s="3" t="s">
        <v>319</v>
      </c>
      <c r="D36" s="3" t="s">
        <v>320</v>
      </c>
      <c r="E36" s="3" t="s">
        <v>321</v>
      </c>
      <c r="F36" s="3" t="s">
        <v>150</v>
      </c>
      <c r="G36" s="3" t="s">
        <v>322</v>
      </c>
      <c r="H36" s="3" t="s">
        <v>26</v>
      </c>
      <c r="I36" s="3" t="s">
        <v>158</v>
      </c>
    </row>
    <row r="37" spans="1:9">
      <c r="A37" s="3" t="s">
        <v>323</v>
      </c>
      <c r="B37" s="3" t="s">
        <v>146</v>
      </c>
      <c r="C37" s="3" t="s">
        <v>226</v>
      </c>
      <c r="D37" s="3" t="s">
        <v>324</v>
      </c>
      <c r="E37" s="3" t="s">
        <v>316</v>
      </c>
      <c r="F37" s="3" t="s">
        <v>150</v>
      </c>
      <c r="G37" s="3" t="s">
        <v>317</v>
      </c>
      <c r="H37" s="3" t="s">
        <v>26</v>
      </c>
      <c r="I37" s="3" t="s">
        <v>158</v>
      </c>
    </row>
    <row r="38" spans="1:9">
      <c r="A38" s="3" t="s">
        <v>325</v>
      </c>
      <c r="B38" s="3" t="s">
        <v>249</v>
      </c>
      <c r="C38" s="3" t="s">
        <v>326</v>
      </c>
      <c r="D38" s="3" t="s">
        <v>327</v>
      </c>
      <c r="E38" s="3" t="s">
        <v>328</v>
      </c>
      <c r="F38" s="3" t="s">
        <v>329</v>
      </c>
      <c r="G38" s="3" t="s">
        <v>330</v>
      </c>
      <c r="H38" s="3" t="s">
        <v>26</v>
      </c>
      <c r="I38" s="3" t="s">
        <v>152</v>
      </c>
    </row>
    <row r="39" spans="1:9">
      <c r="A39" s="3" t="s">
        <v>331</v>
      </c>
      <c r="B39" s="3" t="s">
        <v>146</v>
      </c>
      <c r="C39" s="3" t="s">
        <v>178</v>
      </c>
      <c r="D39" s="3" t="s">
        <v>332</v>
      </c>
      <c r="E39" s="3" t="s">
        <v>333</v>
      </c>
      <c r="F39" s="3" t="s">
        <v>334</v>
      </c>
      <c r="G39" s="3" t="s">
        <v>335</v>
      </c>
      <c r="H39" s="3" t="s">
        <v>26</v>
      </c>
      <c r="I39" s="3" t="s">
        <v>152</v>
      </c>
    </row>
    <row r="40" spans="1:9">
      <c r="A40" s="3" t="s">
        <v>336</v>
      </c>
      <c r="B40" s="3" t="s">
        <v>337</v>
      </c>
      <c r="C40" s="3" t="s">
        <v>178</v>
      </c>
      <c r="D40" s="3" t="s">
        <v>338</v>
      </c>
      <c r="E40" s="3" t="s">
        <v>339</v>
      </c>
      <c r="F40" s="3" t="s">
        <v>175</v>
      </c>
      <c r="G40" s="3" t="s">
        <v>340</v>
      </c>
      <c r="H40" s="3" t="s">
        <v>26</v>
      </c>
      <c r="I40" s="3" t="s">
        <v>158</v>
      </c>
    </row>
    <row r="41" spans="1:9">
      <c r="A41" s="3" t="s">
        <v>341</v>
      </c>
      <c r="B41" s="3" t="s">
        <v>198</v>
      </c>
      <c r="C41" s="3" t="s">
        <v>28</v>
      </c>
      <c r="D41" s="3" t="s">
        <v>342</v>
      </c>
      <c r="E41" s="3" t="s">
        <v>343</v>
      </c>
      <c r="F41" s="3" t="s">
        <v>188</v>
      </c>
      <c r="G41" s="3" t="s">
        <v>344</v>
      </c>
      <c r="H41" s="3" t="s">
        <v>26</v>
      </c>
      <c r="I41" s="3" t="s">
        <v>158</v>
      </c>
    </row>
    <row r="42" spans="1:9">
      <c r="A42" s="3" t="s">
        <v>345</v>
      </c>
      <c r="B42" s="3" t="s">
        <v>198</v>
      </c>
      <c r="C42" s="3" t="s">
        <v>28</v>
      </c>
      <c r="D42" s="3" t="s">
        <v>346</v>
      </c>
      <c r="E42" s="3" t="s">
        <v>347</v>
      </c>
      <c r="F42" s="3" t="s">
        <v>188</v>
      </c>
      <c r="G42" s="3" t="s">
        <v>348</v>
      </c>
      <c r="H42" s="3" t="s">
        <v>26</v>
      </c>
      <c r="I42" s="3" t="s">
        <v>169</v>
      </c>
    </row>
    <row r="43" spans="1:9">
      <c r="A43" s="3" t="s">
        <v>349</v>
      </c>
      <c r="B43" s="3" t="s">
        <v>191</v>
      </c>
      <c r="C43" s="3" t="s">
        <v>154</v>
      </c>
      <c r="D43" s="3" t="s">
        <v>350</v>
      </c>
      <c r="E43" s="3" t="s">
        <v>351</v>
      </c>
      <c r="F43" s="3" t="s">
        <v>293</v>
      </c>
      <c r="G43" s="3" t="s">
        <v>352</v>
      </c>
      <c r="H43" s="3" t="s">
        <v>26</v>
      </c>
      <c r="I43" s="3" t="s">
        <v>158</v>
      </c>
    </row>
    <row r="44" spans="1:9">
      <c r="A44" s="3" t="s">
        <v>353</v>
      </c>
      <c r="B44" s="3" t="s">
        <v>249</v>
      </c>
      <c r="C44" s="3" t="s">
        <v>192</v>
      </c>
      <c r="D44" s="3" t="s">
        <v>354</v>
      </c>
      <c r="E44" s="3" t="s">
        <v>355</v>
      </c>
      <c r="F44" s="3" t="s">
        <v>25</v>
      </c>
      <c r="G44" s="3" t="s">
        <v>356</v>
      </c>
      <c r="H44" s="3" t="s">
        <v>26</v>
      </c>
      <c r="I44" s="3" t="s">
        <v>158</v>
      </c>
    </row>
    <row r="45" spans="1:9">
      <c r="A45" s="3" t="s">
        <v>357</v>
      </c>
      <c r="B45" s="3" t="s">
        <v>358</v>
      </c>
      <c r="C45" s="3" t="s">
        <v>226</v>
      </c>
      <c r="D45" s="3" t="s">
        <v>359</v>
      </c>
      <c r="E45" s="3" t="s">
        <v>360</v>
      </c>
      <c r="F45" s="3" t="s">
        <v>25</v>
      </c>
      <c r="G45" s="3" t="s">
        <v>361</v>
      </c>
      <c r="H45" s="3" t="s">
        <v>26</v>
      </c>
      <c r="I45" s="3" t="s">
        <v>158</v>
      </c>
    </row>
    <row r="46" spans="1:9">
      <c r="A46" s="3" t="s">
        <v>362</v>
      </c>
      <c r="B46" s="3" t="s">
        <v>358</v>
      </c>
      <c r="C46" s="3" t="s">
        <v>363</v>
      </c>
      <c r="D46" s="3" t="s">
        <v>364</v>
      </c>
      <c r="E46" s="3" t="s">
        <v>365</v>
      </c>
      <c r="F46" s="3" t="s">
        <v>25</v>
      </c>
      <c r="G46" s="3" t="s">
        <v>366</v>
      </c>
      <c r="H46" s="3" t="s">
        <v>26</v>
      </c>
      <c r="I46" s="3" t="s">
        <v>158</v>
      </c>
    </row>
    <row r="47" spans="1:9">
      <c r="A47" s="3" t="s">
        <v>367</v>
      </c>
      <c r="B47" s="3" t="s">
        <v>249</v>
      </c>
      <c r="C47" s="3" t="s">
        <v>192</v>
      </c>
      <c r="D47" s="3" t="s">
        <v>368</v>
      </c>
      <c r="E47" s="3" t="s">
        <v>369</v>
      </c>
      <c r="F47" s="3" t="s">
        <v>25</v>
      </c>
      <c r="G47" s="3" t="s">
        <v>370</v>
      </c>
      <c r="H47" s="3" t="s">
        <v>26</v>
      </c>
      <c r="I47" s="3" t="s">
        <v>158</v>
      </c>
    </row>
    <row r="48" spans="1:9">
      <c r="A48" s="3" t="s">
        <v>371</v>
      </c>
      <c r="B48" s="3" t="s">
        <v>372</v>
      </c>
      <c r="C48" s="3" t="s">
        <v>178</v>
      </c>
      <c r="D48" s="3" t="s">
        <v>373</v>
      </c>
      <c r="E48" s="3" t="s">
        <v>374</v>
      </c>
      <c r="F48" s="3" t="s">
        <v>234</v>
      </c>
      <c r="G48" s="3" t="s">
        <v>375</v>
      </c>
      <c r="H48" s="3" t="s">
        <v>26</v>
      </c>
      <c r="I48" s="3" t="s">
        <v>158</v>
      </c>
    </row>
    <row r="49" spans="1:11">
      <c r="A49" s="3" t="s">
        <v>376</v>
      </c>
      <c r="B49" s="3" t="s">
        <v>372</v>
      </c>
      <c r="C49" s="3" t="s">
        <v>178</v>
      </c>
      <c r="D49" s="3" t="s">
        <v>377</v>
      </c>
      <c r="E49" s="3" t="s">
        <v>378</v>
      </c>
      <c r="F49" s="3" t="s">
        <v>234</v>
      </c>
      <c r="G49" s="3" t="s">
        <v>375</v>
      </c>
      <c r="H49" s="3" t="s">
        <v>26</v>
      </c>
      <c r="I49" s="3" t="s">
        <v>169</v>
      </c>
    </row>
    <row r="50" spans="1:11">
      <c r="A50" s="3" t="s">
        <v>379</v>
      </c>
      <c r="B50" s="3" t="s">
        <v>146</v>
      </c>
      <c r="C50" s="3" t="s">
        <v>154</v>
      </c>
      <c r="D50" s="3" t="s">
        <v>380</v>
      </c>
      <c r="E50" s="3" t="s">
        <v>381</v>
      </c>
      <c r="F50" s="3" t="s">
        <v>163</v>
      </c>
      <c r="G50" s="3" t="s">
        <v>382</v>
      </c>
      <c r="H50" s="3" t="s">
        <v>26</v>
      </c>
      <c r="I50" s="3" t="s">
        <v>158</v>
      </c>
    </row>
    <row r="51" spans="1:11">
      <c r="A51" s="3" t="s">
        <v>383</v>
      </c>
      <c r="B51" s="3" t="s">
        <v>146</v>
      </c>
      <c r="C51" s="3" t="s">
        <v>154</v>
      </c>
      <c r="D51" s="3" t="s">
        <v>384</v>
      </c>
      <c r="E51" s="3" t="s">
        <v>385</v>
      </c>
      <c r="F51" s="3" t="s">
        <v>163</v>
      </c>
      <c r="G51" s="3" t="s">
        <v>386</v>
      </c>
      <c r="H51" s="3" t="s">
        <v>26</v>
      </c>
      <c r="I51" s="3" t="s">
        <v>158</v>
      </c>
    </row>
    <row r="52" spans="1:11">
      <c r="A52" s="3" t="s">
        <v>387</v>
      </c>
      <c r="B52" s="3" t="s">
        <v>146</v>
      </c>
      <c r="C52" s="3" t="s">
        <v>28</v>
      </c>
      <c r="D52" s="3" t="s">
        <v>388</v>
      </c>
      <c r="E52" s="3" t="s">
        <v>389</v>
      </c>
      <c r="F52" s="3" t="s">
        <v>163</v>
      </c>
      <c r="G52" s="3" t="s">
        <v>390</v>
      </c>
      <c r="H52" s="3" t="s">
        <v>26</v>
      </c>
      <c r="I52" s="3" t="s">
        <v>169</v>
      </c>
    </row>
    <row r="53" spans="1:11">
      <c r="A53" s="3" t="s">
        <v>391</v>
      </c>
      <c r="B53" s="3" t="s">
        <v>249</v>
      </c>
      <c r="C53" s="3" t="s">
        <v>28</v>
      </c>
      <c r="D53" s="3" t="s">
        <v>392</v>
      </c>
      <c r="E53" s="3" t="s">
        <v>393</v>
      </c>
      <c r="F53" s="3" t="s">
        <v>25</v>
      </c>
      <c r="G53" s="3" t="s">
        <v>394</v>
      </c>
      <c r="H53" s="3" t="s">
        <v>26</v>
      </c>
      <c r="I53" s="3" t="s">
        <v>169</v>
      </c>
    </row>
    <row r="54" spans="1:11">
      <c r="A54" s="1" t="s">
        <v>395</v>
      </c>
      <c r="B54" s="1" t="s">
        <v>358</v>
      </c>
      <c r="C54" s="1" t="s">
        <v>28</v>
      </c>
      <c r="D54" s="1" t="s">
        <v>396</v>
      </c>
      <c r="E54" s="1" t="s">
        <v>397</v>
      </c>
      <c r="F54" s="1" t="s">
        <v>25</v>
      </c>
      <c r="G54" s="1" t="s">
        <v>398</v>
      </c>
      <c r="H54" s="1" t="s">
        <v>26</v>
      </c>
      <c r="I54" s="1" t="s">
        <v>158</v>
      </c>
    </row>
    <row r="55" spans="1:11">
      <c r="A55" s="1" t="s">
        <v>399</v>
      </c>
      <c r="B55" s="1" t="s">
        <v>358</v>
      </c>
      <c r="C55" s="1" t="s">
        <v>28</v>
      </c>
      <c r="D55" s="1" t="s">
        <v>400</v>
      </c>
      <c r="E55" s="1" t="s">
        <v>401</v>
      </c>
      <c r="F55" s="1" t="s">
        <v>25</v>
      </c>
      <c r="G55" s="1" t="s">
        <v>402</v>
      </c>
      <c r="H55" s="1" t="s">
        <v>26</v>
      </c>
      <c r="I55" s="1" t="s">
        <v>158</v>
      </c>
    </row>
    <row r="56" spans="1:11">
      <c r="A56" s="1" t="s">
        <v>403</v>
      </c>
      <c r="B56" s="1" t="s">
        <v>249</v>
      </c>
      <c r="C56" s="1" t="s">
        <v>28</v>
      </c>
      <c r="D56" s="1" t="s">
        <v>404</v>
      </c>
      <c r="E56" s="1" t="s">
        <v>405</v>
      </c>
      <c r="F56" s="1" t="s">
        <v>25</v>
      </c>
      <c r="G56" s="1">
        <v>91321</v>
      </c>
      <c r="H56" s="1" t="s">
        <v>26</v>
      </c>
      <c r="I56" s="1" t="s">
        <v>230</v>
      </c>
    </row>
    <row r="57" spans="1:11">
      <c r="A57" s="1" t="s">
        <v>406</v>
      </c>
      <c r="B57" s="1" t="s">
        <v>358</v>
      </c>
      <c r="C57" s="1" t="s">
        <v>28</v>
      </c>
      <c r="D57" s="1" t="s">
        <v>407</v>
      </c>
      <c r="E57" s="1" t="s">
        <v>408</v>
      </c>
      <c r="F57" s="1" t="s">
        <v>25</v>
      </c>
      <c r="G57" s="1" t="s">
        <v>409</v>
      </c>
      <c r="H57" s="1" t="s">
        <v>26</v>
      </c>
      <c r="I57" s="1" t="s">
        <v>230</v>
      </c>
    </row>
    <row r="58" spans="1:11">
      <c r="A58" s="1" t="s">
        <v>410</v>
      </c>
      <c r="B58" s="1" t="s">
        <v>198</v>
      </c>
      <c r="C58" s="1" t="s">
        <v>28</v>
      </c>
      <c r="D58" s="1" t="s">
        <v>411</v>
      </c>
      <c r="E58" s="1" t="s">
        <v>412</v>
      </c>
      <c r="F58" s="1" t="s">
        <v>188</v>
      </c>
      <c r="G58" s="1">
        <v>77028</v>
      </c>
      <c r="H58" s="1" t="s">
        <v>26</v>
      </c>
      <c r="I58" s="1" t="s">
        <v>158</v>
      </c>
    </row>
    <row r="59" spans="1:11">
      <c r="A59" s="4" t="s">
        <v>413</v>
      </c>
      <c r="B59" s="4" t="s">
        <v>249</v>
      </c>
      <c r="C59" s="4" t="s">
        <v>28</v>
      </c>
      <c r="D59" s="4" t="s">
        <v>414</v>
      </c>
      <c r="E59" s="4" t="s">
        <v>308</v>
      </c>
      <c r="F59" s="4" t="s">
        <v>25</v>
      </c>
      <c r="G59" s="4" t="s">
        <v>415</v>
      </c>
      <c r="H59" s="4" t="s">
        <v>26</v>
      </c>
      <c r="I59" s="4" t="s">
        <v>236</v>
      </c>
      <c r="J59" t="s">
        <v>416</v>
      </c>
    </row>
    <row r="60" spans="1:11">
      <c r="A60" t="s">
        <v>417</v>
      </c>
      <c r="B60" t="s">
        <v>249</v>
      </c>
      <c r="C60" t="s">
        <v>28</v>
      </c>
      <c r="D60" t="s">
        <v>418</v>
      </c>
      <c r="E60" t="s">
        <v>419</v>
      </c>
      <c r="F60" t="s">
        <v>329</v>
      </c>
      <c r="G60">
        <v>85340</v>
      </c>
      <c r="H60" t="s">
        <v>26</v>
      </c>
      <c r="I60" t="s">
        <v>230</v>
      </c>
      <c r="J60" t="s">
        <v>420</v>
      </c>
      <c r="K60"/>
    </row>
    <row r="61" spans="1:11">
      <c r="A61" t="s">
        <v>421</v>
      </c>
      <c r="B61" t="s">
        <v>249</v>
      </c>
      <c r="C61" t="s">
        <v>28</v>
      </c>
      <c r="D61" t="s">
        <v>422</v>
      </c>
      <c r="E61" t="s">
        <v>423</v>
      </c>
      <c r="F61" t="s">
        <v>329</v>
      </c>
      <c r="G61">
        <v>85396</v>
      </c>
      <c r="H61" t="s">
        <v>26</v>
      </c>
      <c r="I61" t="s">
        <v>230</v>
      </c>
      <c r="J61" t="s">
        <v>420</v>
      </c>
      <c r="K61"/>
    </row>
    <row r="62" spans="1:11">
      <c r="A62" t="s">
        <v>424</v>
      </c>
      <c r="B62" t="s">
        <v>249</v>
      </c>
      <c r="C62" t="s">
        <v>28</v>
      </c>
      <c r="D62" t="s">
        <v>425</v>
      </c>
      <c r="E62" t="s">
        <v>426</v>
      </c>
      <c r="F62" t="s">
        <v>329</v>
      </c>
      <c r="G62">
        <v>85395</v>
      </c>
      <c r="H62" t="s">
        <v>26</v>
      </c>
      <c r="I62" t="s">
        <v>230</v>
      </c>
      <c r="J62" t="s">
        <v>420</v>
      </c>
      <c r="K62"/>
    </row>
    <row r="63" spans="1:11">
      <c r="A63" t="s">
        <v>427</v>
      </c>
      <c r="B63" t="s">
        <v>249</v>
      </c>
      <c r="C63" t="s">
        <v>28</v>
      </c>
      <c r="D63" t="s">
        <v>250</v>
      </c>
      <c r="E63" t="s">
        <v>428</v>
      </c>
      <c r="F63" t="s">
        <v>25</v>
      </c>
      <c r="G63">
        <v>92223</v>
      </c>
      <c r="H63" t="s">
        <v>26</v>
      </c>
      <c r="I63" t="s">
        <v>236</v>
      </c>
      <c r="J63" t="s">
        <v>416</v>
      </c>
      <c r="K63" t="s">
        <v>429</v>
      </c>
    </row>
    <row r="64" spans="1:11">
      <c r="A64" t="s">
        <v>430</v>
      </c>
      <c r="B64" t="s">
        <v>249</v>
      </c>
      <c r="C64" t="s">
        <v>28</v>
      </c>
      <c r="D64" t="s">
        <v>431</v>
      </c>
      <c r="E64" t="s">
        <v>432</v>
      </c>
      <c r="F64" t="s">
        <v>25</v>
      </c>
      <c r="G64">
        <v>92344</v>
      </c>
      <c r="H64" t="s">
        <v>26</v>
      </c>
      <c r="I64" t="s">
        <v>236</v>
      </c>
      <c r="J64" t="s">
        <v>416</v>
      </c>
      <c r="K64" t="s">
        <v>429</v>
      </c>
    </row>
    <row r="65" spans="1:11">
      <c r="A65" t="s">
        <v>433</v>
      </c>
      <c r="B65" t="s">
        <v>249</v>
      </c>
      <c r="C65" t="s">
        <v>28</v>
      </c>
      <c r="D65" t="s">
        <v>434</v>
      </c>
      <c r="E65" t="s">
        <v>255</v>
      </c>
      <c r="F65" t="s">
        <v>25</v>
      </c>
      <c r="G65">
        <v>92374</v>
      </c>
      <c r="H65" t="s">
        <v>26</v>
      </c>
      <c r="I65" t="s">
        <v>236</v>
      </c>
      <c r="J65" t="s">
        <v>416</v>
      </c>
      <c r="K65" t="s">
        <v>429</v>
      </c>
    </row>
    <row r="66" spans="1:11">
      <c r="A66" t="s">
        <v>435</v>
      </c>
      <c r="B66" t="s">
        <v>249</v>
      </c>
      <c r="C66" t="s">
        <v>28</v>
      </c>
      <c r="D66" t="s">
        <v>436</v>
      </c>
      <c r="E66" t="s">
        <v>437</v>
      </c>
      <c r="F66" t="s">
        <v>25</v>
      </c>
      <c r="G66">
        <v>92344</v>
      </c>
      <c r="H66" t="s">
        <v>26</v>
      </c>
      <c r="I66" t="s">
        <v>236</v>
      </c>
      <c r="J66" t="s">
        <v>416</v>
      </c>
      <c r="K66" t="s">
        <v>438</v>
      </c>
    </row>
    <row r="67" spans="1:11">
      <c r="A67" t="s">
        <v>439</v>
      </c>
      <c r="B67" t="s">
        <v>249</v>
      </c>
      <c r="C67" t="s">
        <v>28</v>
      </c>
      <c r="D67" t="s">
        <v>440</v>
      </c>
      <c r="E67" t="s">
        <v>426</v>
      </c>
      <c r="F67" t="s">
        <v>329</v>
      </c>
      <c r="G67">
        <v>85338</v>
      </c>
      <c r="H67" t="s">
        <v>26</v>
      </c>
      <c r="I67" t="s">
        <v>236</v>
      </c>
      <c r="J67" t="s">
        <v>416</v>
      </c>
      <c r="K67" t="s">
        <v>438</v>
      </c>
    </row>
    <row r="68" spans="1:11">
      <c r="A68" t="s">
        <v>441</v>
      </c>
      <c r="B68" t="s">
        <v>249</v>
      </c>
      <c r="C68" t="s">
        <v>28</v>
      </c>
      <c r="D68" t="s">
        <v>442</v>
      </c>
      <c r="E68" t="s">
        <v>443</v>
      </c>
      <c r="F68" t="s">
        <v>25</v>
      </c>
      <c r="G68" t="s">
        <v>444</v>
      </c>
      <c r="H68" t="s">
        <v>26</v>
      </c>
      <c r="I68" t="s">
        <v>236</v>
      </c>
      <c r="J68" t="s">
        <v>416</v>
      </c>
      <c r="K68" t="s">
        <v>429</v>
      </c>
    </row>
    <row r="69" spans="1:11">
      <c r="A69" t="s">
        <v>445</v>
      </c>
      <c r="B69" t="s">
        <v>249</v>
      </c>
      <c r="C69" t="s">
        <v>226</v>
      </c>
      <c r="D69" t="s">
        <v>446</v>
      </c>
      <c r="E69" t="s">
        <v>447</v>
      </c>
      <c r="F69" t="s">
        <v>448</v>
      </c>
      <c r="G69">
        <v>89044</v>
      </c>
      <c r="H69" t="s">
        <v>26</v>
      </c>
      <c r="I69" t="s">
        <v>230</v>
      </c>
      <c r="J69" t="s">
        <v>449</v>
      </c>
      <c r="K69" t="s">
        <v>450</v>
      </c>
    </row>
    <row r="70" spans="1:11">
      <c r="A70" t="s">
        <v>451</v>
      </c>
      <c r="B70" t="s">
        <v>249</v>
      </c>
      <c r="C70" t="s">
        <v>226</v>
      </c>
      <c r="D70" t="s">
        <v>452</v>
      </c>
      <c r="E70" t="s">
        <v>453</v>
      </c>
      <c r="F70" t="s">
        <v>25</v>
      </c>
      <c r="G70" t="s">
        <v>454</v>
      </c>
      <c r="H70" t="s">
        <v>26</v>
      </c>
      <c r="I70" t="s">
        <v>230</v>
      </c>
      <c r="J70" t="s">
        <v>449</v>
      </c>
      <c r="K70" t="s">
        <v>455</v>
      </c>
    </row>
    <row r="71" spans="1:11">
      <c r="A71" t="s">
        <v>456</v>
      </c>
      <c r="B71" t="s">
        <v>249</v>
      </c>
      <c r="C71" t="s">
        <v>226</v>
      </c>
      <c r="D71" t="s">
        <v>457</v>
      </c>
      <c r="E71" t="s">
        <v>458</v>
      </c>
      <c r="F71" t="s">
        <v>25</v>
      </c>
      <c r="G71" t="s">
        <v>459</v>
      </c>
      <c r="H71" t="s">
        <v>26</v>
      </c>
      <c r="I71" t="s">
        <v>230</v>
      </c>
      <c r="J71" t="s">
        <v>449</v>
      </c>
      <c r="K71" t="s">
        <v>429</v>
      </c>
    </row>
    <row r="72" spans="1:11">
      <c r="A72" t="s">
        <v>460</v>
      </c>
      <c r="B72" t="s">
        <v>249</v>
      </c>
      <c r="C72" t="s">
        <v>28</v>
      </c>
      <c r="D72" t="s">
        <v>461</v>
      </c>
      <c r="E72" t="s">
        <v>462</v>
      </c>
      <c r="F72" t="s">
        <v>25</v>
      </c>
      <c r="G72">
        <v>93263</v>
      </c>
      <c r="H72" t="s">
        <v>26</v>
      </c>
      <c r="I72" t="s">
        <v>230</v>
      </c>
      <c r="J72" t="s">
        <v>420</v>
      </c>
      <c r="K72"/>
    </row>
    <row r="73" spans="1:11">
      <c r="A73" t="s">
        <v>463</v>
      </c>
      <c r="B73" t="s">
        <v>249</v>
      </c>
      <c r="C73" t="s">
        <v>226</v>
      </c>
      <c r="D73" t="s">
        <v>464</v>
      </c>
      <c r="E73" t="s">
        <v>465</v>
      </c>
      <c r="F73" t="s">
        <v>25</v>
      </c>
      <c r="G73" t="s">
        <v>466</v>
      </c>
      <c r="H73" t="s">
        <v>26</v>
      </c>
      <c r="I73" t="s">
        <v>230</v>
      </c>
      <c r="J73" t="s">
        <v>449</v>
      </c>
      <c r="K73" t="s">
        <v>429</v>
      </c>
    </row>
    <row r="74" spans="1:11">
      <c r="A74" t="s">
        <v>467</v>
      </c>
      <c r="B74" t="s">
        <v>249</v>
      </c>
      <c r="C74" t="s">
        <v>28</v>
      </c>
      <c r="D74" t="s">
        <v>468</v>
      </c>
      <c r="E74" t="s">
        <v>469</v>
      </c>
      <c r="F74" t="s">
        <v>25</v>
      </c>
      <c r="G74">
        <v>92336</v>
      </c>
      <c r="H74" t="s">
        <v>26</v>
      </c>
      <c r="I74" t="s">
        <v>230</v>
      </c>
      <c r="J74" t="s">
        <v>420</v>
      </c>
      <c r="K74" t="s">
        <v>429</v>
      </c>
    </row>
    <row r="75" spans="1:11">
      <c r="A75" t="s">
        <v>470</v>
      </c>
      <c r="B75" t="s">
        <v>249</v>
      </c>
      <c r="C75" t="s">
        <v>28</v>
      </c>
      <c r="D75" t="s">
        <v>471</v>
      </c>
      <c r="E75" t="s">
        <v>472</v>
      </c>
      <c r="F75" t="s">
        <v>25</v>
      </c>
      <c r="G75">
        <v>91761</v>
      </c>
      <c r="H75" t="s">
        <v>26</v>
      </c>
      <c r="I75" t="s">
        <v>230</v>
      </c>
      <c r="J75" t="s">
        <v>420</v>
      </c>
      <c r="K75" t="s">
        <v>429</v>
      </c>
    </row>
    <row r="76" spans="1:11">
      <c r="A76" t="s">
        <v>473</v>
      </c>
      <c r="B76" t="s">
        <v>249</v>
      </c>
      <c r="C76" t="s">
        <v>28</v>
      </c>
      <c r="D76" t="s">
        <v>23</v>
      </c>
      <c r="E76" t="s">
        <v>24</v>
      </c>
      <c r="F76" t="s">
        <v>25</v>
      </c>
      <c r="G76">
        <v>92509</v>
      </c>
      <c r="H76" t="s">
        <v>26</v>
      </c>
      <c r="I76" t="s">
        <v>230</v>
      </c>
      <c r="J76" t="s">
        <v>420</v>
      </c>
      <c r="K76" t="s">
        <v>429</v>
      </c>
    </row>
    <row r="77" spans="1:11">
      <c r="A77" t="s">
        <v>474</v>
      </c>
      <c r="B77" t="s">
        <v>249</v>
      </c>
      <c r="C77" t="s">
        <v>28</v>
      </c>
      <c r="D77" t="s">
        <v>475</v>
      </c>
      <c r="E77" t="s">
        <v>476</v>
      </c>
      <c r="F77" t="s">
        <v>25</v>
      </c>
      <c r="G77">
        <v>92240</v>
      </c>
      <c r="H77" t="s">
        <v>26</v>
      </c>
      <c r="I77" t="s">
        <v>230</v>
      </c>
      <c r="J77" t="s">
        <v>449</v>
      </c>
      <c r="K77" t="s">
        <v>455</v>
      </c>
    </row>
    <row r="78" spans="1:11">
      <c r="A78" t="s">
        <v>477</v>
      </c>
      <c r="B78" t="s">
        <v>249</v>
      </c>
      <c r="C78" t="s">
        <v>28</v>
      </c>
      <c r="D78" t="s">
        <v>478</v>
      </c>
      <c r="E78" t="s">
        <v>479</v>
      </c>
      <c r="F78" t="s">
        <v>25</v>
      </c>
      <c r="G78">
        <v>92394</v>
      </c>
      <c r="H78" t="s">
        <v>26</v>
      </c>
      <c r="I78" t="s">
        <v>480</v>
      </c>
      <c r="J78" t="s">
        <v>481</v>
      </c>
      <c r="K78" t="s">
        <v>429</v>
      </c>
    </row>
    <row r="79" spans="1:11">
      <c r="A79" t="s">
        <v>482</v>
      </c>
      <c r="B79" t="s">
        <v>249</v>
      </c>
      <c r="C79" t="s">
        <v>28</v>
      </c>
      <c r="D79" t="s">
        <v>483</v>
      </c>
      <c r="E79" t="s">
        <v>484</v>
      </c>
      <c r="F79" t="s">
        <v>25</v>
      </c>
      <c r="G79">
        <v>93725</v>
      </c>
      <c r="H79" t="s">
        <v>26</v>
      </c>
      <c r="I79" t="s">
        <v>230</v>
      </c>
      <c r="J79" t="s">
        <v>420</v>
      </c>
      <c r="K79"/>
    </row>
    <row r="80" spans="1:11">
      <c r="A80" t="s">
        <v>485</v>
      </c>
      <c r="B80" t="s">
        <v>249</v>
      </c>
      <c r="C80" t="s">
        <v>28</v>
      </c>
      <c r="D80" t="s">
        <v>486</v>
      </c>
      <c r="E80" t="s">
        <v>487</v>
      </c>
      <c r="F80" t="s">
        <v>25</v>
      </c>
      <c r="G80" t="s">
        <v>488</v>
      </c>
      <c r="H80" t="s">
        <v>26</v>
      </c>
      <c r="I80" t="s">
        <v>230</v>
      </c>
      <c r="J80" t="s">
        <v>449</v>
      </c>
      <c r="K80" t="s">
        <v>429</v>
      </c>
    </row>
    <row r="81" spans="1:11">
      <c r="A81" t="s">
        <v>489</v>
      </c>
      <c r="B81" t="s">
        <v>249</v>
      </c>
      <c r="C81" t="s">
        <v>28</v>
      </c>
      <c r="D81" t="s">
        <v>490</v>
      </c>
      <c r="E81" t="s">
        <v>491</v>
      </c>
      <c r="F81" t="s">
        <v>25</v>
      </c>
      <c r="G81" t="s">
        <v>492</v>
      </c>
      <c r="H81" t="s">
        <v>26</v>
      </c>
      <c r="I81" t="s">
        <v>158</v>
      </c>
      <c r="J81" t="s">
        <v>493</v>
      </c>
      <c r="K81" t="s">
        <v>429</v>
      </c>
    </row>
    <row r="82" spans="1:11">
      <c r="A82" t="s">
        <v>494</v>
      </c>
      <c r="B82" t="s">
        <v>249</v>
      </c>
      <c r="C82" t="s">
        <v>28</v>
      </c>
      <c r="D82" t="s">
        <v>495</v>
      </c>
      <c r="E82" t="s">
        <v>496</v>
      </c>
      <c r="F82" t="s">
        <v>448</v>
      </c>
      <c r="G82">
        <v>89115</v>
      </c>
      <c r="H82" t="s">
        <v>26</v>
      </c>
      <c r="I82" t="s">
        <v>230</v>
      </c>
      <c r="J82" t="s">
        <v>449</v>
      </c>
      <c r="K82" t="s">
        <v>450</v>
      </c>
    </row>
    <row r="83" spans="1:11">
      <c r="A83" t="s">
        <v>497</v>
      </c>
      <c r="B83" t="s">
        <v>249</v>
      </c>
      <c r="C83" t="s">
        <v>28</v>
      </c>
      <c r="D83" t="s">
        <v>498</v>
      </c>
      <c r="E83" t="s">
        <v>499</v>
      </c>
      <c r="F83" t="s">
        <v>25</v>
      </c>
      <c r="G83">
        <v>90670</v>
      </c>
      <c r="H83" t="s">
        <v>26</v>
      </c>
      <c r="I83" t="s">
        <v>158</v>
      </c>
      <c r="J83" t="s">
        <v>500</v>
      </c>
      <c r="K83" t="s">
        <v>429</v>
      </c>
    </row>
    <row r="84" spans="1:11">
      <c r="A84" t="s">
        <v>501</v>
      </c>
      <c r="B84" t="s">
        <v>249</v>
      </c>
      <c r="C84" t="s">
        <v>28</v>
      </c>
      <c r="D84" t="s">
        <v>478</v>
      </c>
      <c r="E84" t="s">
        <v>479</v>
      </c>
      <c r="F84" t="s">
        <v>25</v>
      </c>
      <c r="G84">
        <v>92394</v>
      </c>
      <c r="H84" t="s">
        <v>26</v>
      </c>
      <c r="I84" t="s">
        <v>480</v>
      </c>
      <c r="J84" t="s">
        <v>481</v>
      </c>
      <c r="K84" t="s">
        <v>429</v>
      </c>
    </row>
    <row r="85" spans="1:11">
      <c r="A85" t="s">
        <v>502</v>
      </c>
      <c r="B85" t="s">
        <v>503</v>
      </c>
      <c r="C85" t="s">
        <v>226</v>
      </c>
      <c r="D85" t="s">
        <v>504</v>
      </c>
      <c r="E85" t="s">
        <v>505</v>
      </c>
      <c r="F85" t="s">
        <v>506</v>
      </c>
      <c r="G85">
        <v>38118</v>
      </c>
      <c r="H85" t="s">
        <v>26</v>
      </c>
      <c r="I85" t="s">
        <v>230</v>
      </c>
      <c r="J85" t="s">
        <v>449</v>
      </c>
      <c r="K85" t="s">
        <v>507</v>
      </c>
    </row>
    <row r="86" spans="1:11">
      <c r="A86" t="s">
        <v>508</v>
      </c>
      <c r="B86" t="s">
        <v>146</v>
      </c>
      <c r="C86" t="s">
        <v>226</v>
      </c>
      <c r="D86" t="s">
        <v>509</v>
      </c>
      <c r="E86" t="s">
        <v>510</v>
      </c>
      <c r="F86" t="s">
        <v>163</v>
      </c>
      <c r="G86" t="s">
        <v>511</v>
      </c>
      <c r="H86" t="s">
        <v>26</v>
      </c>
      <c r="I86" t="s">
        <v>230</v>
      </c>
      <c r="J86" t="s">
        <v>449</v>
      </c>
      <c r="K86" t="s">
        <v>512</v>
      </c>
    </row>
    <row r="87" spans="1:11">
      <c r="A87" t="s">
        <v>513</v>
      </c>
      <c r="B87" t="s">
        <v>146</v>
      </c>
      <c r="C87" t="s">
        <v>226</v>
      </c>
      <c r="D87" t="s">
        <v>514</v>
      </c>
      <c r="E87" t="s">
        <v>515</v>
      </c>
      <c r="F87" t="s">
        <v>150</v>
      </c>
      <c r="G87" t="s">
        <v>516</v>
      </c>
      <c r="H87" t="s">
        <v>26</v>
      </c>
      <c r="I87" t="s">
        <v>230</v>
      </c>
      <c r="J87" t="s">
        <v>449</v>
      </c>
      <c r="K87" t="s">
        <v>512</v>
      </c>
    </row>
    <row r="88" spans="1:11">
      <c r="A88" t="s">
        <v>517</v>
      </c>
      <c r="B88" t="s">
        <v>146</v>
      </c>
      <c r="C88" t="s">
        <v>203</v>
      </c>
      <c r="D88" t="s">
        <v>518</v>
      </c>
      <c r="E88" t="s">
        <v>519</v>
      </c>
      <c r="F88" t="s">
        <v>150</v>
      </c>
      <c r="G88">
        <v>18031</v>
      </c>
      <c r="H88" t="s">
        <v>26</v>
      </c>
      <c r="I88" t="s">
        <v>230</v>
      </c>
      <c r="J88" t="s">
        <v>420</v>
      </c>
      <c r="K88" t="s">
        <v>520</v>
      </c>
    </row>
    <row r="89" spans="1:11">
      <c r="A89" t="s">
        <v>521</v>
      </c>
      <c r="B89" t="s">
        <v>146</v>
      </c>
      <c r="C89" t="s">
        <v>28</v>
      </c>
      <c r="D89" t="s">
        <v>522</v>
      </c>
      <c r="E89" t="s">
        <v>523</v>
      </c>
      <c r="F89" t="s">
        <v>524</v>
      </c>
      <c r="G89">
        <v>12533</v>
      </c>
      <c r="H89" t="s">
        <v>26</v>
      </c>
      <c r="I89" t="s">
        <v>230</v>
      </c>
      <c r="J89" t="s">
        <v>449</v>
      </c>
      <c r="K89" t="s">
        <v>450</v>
      </c>
    </row>
    <row r="90" spans="1:11">
      <c r="A90" t="s">
        <v>525</v>
      </c>
      <c r="B90" t="s">
        <v>146</v>
      </c>
      <c r="C90" t="s">
        <v>226</v>
      </c>
      <c r="D90" t="s">
        <v>526</v>
      </c>
      <c r="E90" t="s">
        <v>527</v>
      </c>
      <c r="F90" t="s">
        <v>163</v>
      </c>
      <c r="G90">
        <v>8873</v>
      </c>
      <c r="H90" t="s">
        <v>26</v>
      </c>
      <c r="I90" t="s">
        <v>230</v>
      </c>
      <c r="J90" t="s">
        <v>449</v>
      </c>
      <c r="K90" t="s">
        <v>512</v>
      </c>
    </row>
    <row r="91" spans="1:11">
      <c r="A91" t="s">
        <v>528</v>
      </c>
      <c r="B91" t="s">
        <v>146</v>
      </c>
      <c r="C91" t="s">
        <v>28</v>
      </c>
      <c r="D91" t="s">
        <v>529</v>
      </c>
      <c r="E91" t="s">
        <v>530</v>
      </c>
      <c r="F91" t="s">
        <v>150</v>
      </c>
      <c r="G91">
        <v>18447</v>
      </c>
      <c r="H91" t="s">
        <v>26</v>
      </c>
      <c r="I91" t="s">
        <v>230</v>
      </c>
      <c r="J91" t="s">
        <v>420</v>
      </c>
      <c r="K91" t="s">
        <v>520</v>
      </c>
    </row>
    <row r="92" spans="1:11">
      <c r="A92" t="s">
        <v>531</v>
      </c>
      <c r="B92" t="s">
        <v>358</v>
      </c>
      <c r="C92" t="s">
        <v>28</v>
      </c>
      <c r="D92" t="s">
        <v>532</v>
      </c>
      <c r="E92" t="s">
        <v>533</v>
      </c>
      <c r="F92" t="s">
        <v>25</v>
      </c>
      <c r="G92">
        <v>95023</v>
      </c>
      <c r="H92" t="s">
        <v>26</v>
      </c>
      <c r="I92" t="s">
        <v>230</v>
      </c>
      <c r="J92" t="s">
        <v>420</v>
      </c>
      <c r="K92" t="s">
        <v>429</v>
      </c>
    </row>
    <row r="93" spans="1:11">
      <c r="A93" t="s">
        <v>534</v>
      </c>
      <c r="B93" t="s">
        <v>358</v>
      </c>
      <c r="C93" t="s">
        <v>28</v>
      </c>
      <c r="D93" t="s">
        <v>535</v>
      </c>
      <c r="E93" t="s">
        <v>360</v>
      </c>
      <c r="F93" t="s">
        <v>25</v>
      </c>
      <c r="G93" t="s">
        <v>536</v>
      </c>
      <c r="H93" t="s">
        <v>26</v>
      </c>
      <c r="I93" t="s">
        <v>230</v>
      </c>
      <c r="J93" t="s">
        <v>449</v>
      </c>
      <c r="K93" t="s">
        <v>429</v>
      </c>
    </row>
    <row r="94" spans="1:11">
      <c r="A94" t="s">
        <v>537</v>
      </c>
      <c r="B94" t="s">
        <v>358</v>
      </c>
      <c r="C94" t="s">
        <v>226</v>
      </c>
      <c r="D94" t="s">
        <v>538</v>
      </c>
      <c r="E94" t="s">
        <v>539</v>
      </c>
      <c r="F94" t="s">
        <v>25</v>
      </c>
      <c r="G94" t="s">
        <v>540</v>
      </c>
      <c r="H94" t="s">
        <v>26</v>
      </c>
      <c r="I94" t="s">
        <v>230</v>
      </c>
      <c r="J94" t="s">
        <v>449</v>
      </c>
      <c r="K94" t="s">
        <v>429</v>
      </c>
    </row>
    <row r="95" spans="1:11">
      <c r="A95" t="s">
        <v>541</v>
      </c>
      <c r="B95" t="s">
        <v>358</v>
      </c>
      <c r="C95" t="s">
        <v>28</v>
      </c>
      <c r="D95" t="s">
        <v>542</v>
      </c>
      <c r="E95" t="s">
        <v>539</v>
      </c>
      <c r="F95" t="s">
        <v>25</v>
      </c>
      <c r="G95">
        <v>95206</v>
      </c>
      <c r="H95" t="s">
        <v>26</v>
      </c>
      <c r="I95" t="s">
        <v>230</v>
      </c>
      <c r="J95" t="s">
        <v>420</v>
      </c>
      <c r="K95" t="s">
        <v>429</v>
      </c>
    </row>
    <row r="96" spans="1:11">
      <c r="A96" t="s">
        <v>543</v>
      </c>
      <c r="B96" t="s">
        <v>358</v>
      </c>
      <c r="C96" t="s">
        <v>28</v>
      </c>
      <c r="D96" t="s">
        <v>544</v>
      </c>
      <c r="E96" t="s">
        <v>539</v>
      </c>
      <c r="F96" t="s">
        <v>25</v>
      </c>
      <c r="G96">
        <v>95215</v>
      </c>
      <c r="H96" t="s">
        <v>26</v>
      </c>
      <c r="I96" t="s">
        <v>230</v>
      </c>
      <c r="J96" t="s">
        <v>420</v>
      </c>
      <c r="K96" t="s">
        <v>429</v>
      </c>
    </row>
    <row r="97" spans="1:11">
      <c r="A97" t="s">
        <v>545</v>
      </c>
      <c r="B97" t="s">
        <v>337</v>
      </c>
      <c r="C97" t="s">
        <v>28</v>
      </c>
      <c r="D97" t="s">
        <v>546</v>
      </c>
      <c r="E97" t="s">
        <v>547</v>
      </c>
      <c r="F97" t="s">
        <v>548</v>
      </c>
      <c r="G97">
        <v>27577</v>
      </c>
      <c r="H97" t="s">
        <v>26</v>
      </c>
      <c r="I97" t="s">
        <v>230</v>
      </c>
      <c r="J97" t="s">
        <v>449</v>
      </c>
      <c r="K97" t="s">
        <v>507</v>
      </c>
    </row>
    <row r="98" spans="1:11">
      <c r="A98" t="s">
        <v>549</v>
      </c>
      <c r="B98" t="s">
        <v>337</v>
      </c>
      <c r="C98" t="s">
        <v>28</v>
      </c>
      <c r="D98" t="s">
        <v>550</v>
      </c>
      <c r="E98" t="s">
        <v>551</v>
      </c>
      <c r="F98" t="s">
        <v>175</v>
      </c>
      <c r="G98">
        <v>23234</v>
      </c>
      <c r="H98" t="s">
        <v>26</v>
      </c>
      <c r="I98" t="s">
        <v>480</v>
      </c>
      <c r="J98" t="s">
        <v>481</v>
      </c>
      <c r="K98" t="s">
        <v>520</v>
      </c>
    </row>
    <row r="99" spans="1:11">
      <c r="A99" t="s">
        <v>552</v>
      </c>
      <c r="B99" t="s">
        <v>337</v>
      </c>
      <c r="C99" t="s">
        <v>28</v>
      </c>
      <c r="D99" t="s">
        <v>553</v>
      </c>
      <c r="E99" t="s">
        <v>554</v>
      </c>
      <c r="F99" t="s">
        <v>175</v>
      </c>
      <c r="G99">
        <v>23435</v>
      </c>
      <c r="H99" t="s">
        <v>26</v>
      </c>
      <c r="I99" t="s">
        <v>158</v>
      </c>
      <c r="J99" t="s">
        <v>500</v>
      </c>
      <c r="K99" t="s">
        <v>520</v>
      </c>
    </row>
    <row r="100" spans="1:11">
      <c r="A100" t="s">
        <v>555</v>
      </c>
      <c r="B100" t="s">
        <v>337</v>
      </c>
      <c r="C100" t="s">
        <v>28</v>
      </c>
      <c r="D100" t="s">
        <v>556</v>
      </c>
      <c r="E100" t="s">
        <v>551</v>
      </c>
      <c r="F100" t="s">
        <v>175</v>
      </c>
      <c r="G100">
        <v>23234</v>
      </c>
      <c r="H100" t="s">
        <v>26</v>
      </c>
      <c r="I100" t="s">
        <v>480</v>
      </c>
      <c r="J100" t="s">
        <v>481</v>
      </c>
      <c r="K100" t="s">
        <v>520</v>
      </c>
    </row>
    <row r="101" spans="1:11">
      <c r="A101" t="s">
        <v>557</v>
      </c>
      <c r="B101" t="s">
        <v>191</v>
      </c>
      <c r="C101" t="s">
        <v>226</v>
      </c>
      <c r="D101" t="s">
        <v>558</v>
      </c>
      <c r="E101" t="s">
        <v>559</v>
      </c>
      <c r="F101" t="s">
        <v>548</v>
      </c>
      <c r="G101" t="s">
        <v>560</v>
      </c>
      <c r="H101" t="s">
        <v>26</v>
      </c>
      <c r="I101" t="s">
        <v>230</v>
      </c>
      <c r="J101" t="s">
        <v>449</v>
      </c>
      <c r="K101" t="s">
        <v>507</v>
      </c>
    </row>
    <row r="102" spans="1:11">
      <c r="A102" t="s">
        <v>561</v>
      </c>
      <c r="B102" t="s">
        <v>191</v>
      </c>
      <c r="C102" t="s">
        <v>28</v>
      </c>
      <c r="D102" t="s">
        <v>562</v>
      </c>
      <c r="E102" t="s">
        <v>563</v>
      </c>
      <c r="F102" t="s">
        <v>195</v>
      </c>
      <c r="G102">
        <v>29330</v>
      </c>
      <c r="H102" t="s">
        <v>26</v>
      </c>
      <c r="I102" t="s">
        <v>236</v>
      </c>
      <c r="J102" t="s">
        <v>416</v>
      </c>
      <c r="K102" t="s">
        <v>507</v>
      </c>
    </row>
    <row r="103" spans="1:11">
      <c r="A103" t="s">
        <v>564</v>
      </c>
      <c r="B103" t="s">
        <v>191</v>
      </c>
      <c r="C103" t="s">
        <v>28</v>
      </c>
      <c r="D103" t="s">
        <v>565</v>
      </c>
      <c r="E103" t="s">
        <v>566</v>
      </c>
      <c r="F103" t="s">
        <v>293</v>
      </c>
      <c r="G103">
        <v>31407</v>
      </c>
      <c r="H103" t="s">
        <v>26</v>
      </c>
      <c r="I103" t="s">
        <v>158</v>
      </c>
      <c r="J103" t="s">
        <v>500</v>
      </c>
      <c r="K103" t="s">
        <v>520</v>
      </c>
    </row>
    <row r="104" spans="1:11">
      <c r="A104" t="s">
        <v>567</v>
      </c>
      <c r="B104" t="s">
        <v>191</v>
      </c>
      <c r="C104" t="s">
        <v>28</v>
      </c>
      <c r="D104" t="s">
        <v>568</v>
      </c>
      <c r="E104" t="s">
        <v>569</v>
      </c>
      <c r="F104" t="s">
        <v>293</v>
      </c>
      <c r="G104">
        <v>31408</v>
      </c>
      <c r="H104" t="s">
        <v>26</v>
      </c>
      <c r="I104" t="s">
        <v>230</v>
      </c>
      <c r="J104" t="s">
        <v>449</v>
      </c>
      <c r="K104" t="s">
        <v>507</v>
      </c>
    </row>
    <row r="105" spans="1:11">
      <c r="A105" t="s">
        <v>570</v>
      </c>
      <c r="B105" t="s">
        <v>571</v>
      </c>
      <c r="C105" t="s">
        <v>28</v>
      </c>
      <c r="D105" t="s">
        <v>572</v>
      </c>
      <c r="E105" t="s">
        <v>573</v>
      </c>
      <c r="F105" t="s">
        <v>574</v>
      </c>
      <c r="G105">
        <v>98516</v>
      </c>
      <c r="H105" t="s">
        <v>26</v>
      </c>
      <c r="I105" t="s">
        <v>158</v>
      </c>
      <c r="J105" t="s">
        <v>493</v>
      </c>
      <c r="K105" t="s">
        <v>429</v>
      </c>
    </row>
    <row r="106" spans="1:11">
      <c r="A106" t="s">
        <v>575</v>
      </c>
      <c r="B106" t="s">
        <v>571</v>
      </c>
      <c r="C106" t="s">
        <v>28</v>
      </c>
      <c r="D106" t="s">
        <v>576</v>
      </c>
      <c r="E106" t="s">
        <v>577</v>
      </c>
      <c r="F106" t="s">
        <v>574</v>
      </c>
      <c r="G106">
        <v>98439</v>
      </c>
      <c r="H106" t="s">
        <v>26</v>
      </c>
      <c r="I106" t="s">
        <v>158</v>
      </c>
      <c r="J106" t="s">
        <v>500</v>
      </c>
      <c r="K106" t="s">
        <v>429</v>
      </c>
    </row>
  </sheetData>
  <autoFilter ref="A1:I106" xr:uid="{00000000-0009-0000-0000-000005000000}"/>
  <phoneticPr fontId="15" type="noConversion"/>
  <conditionalFormatting sqref="A1:A58 A107:A1048576">
    <cfRule type="duplicateValues" dxfId="8" priority="30"/>
    <cfRule type="duplicateValues" dxfId="7" priority="31"/>
  </conditionalFormatting>
  <conditionalFormatting sqref="A1:A59 A107:A1048576">
    <cfRule type="duplicateValues" dxfId="6" priority="19"/>
    <cfRule type="duplicateValues" dxfId="5" priority="20"/>
  </conditionalFormatting>
  <conditionalFormatting sqref="A1:A1048576">
    <cfRule type="duplicateValues" dxfId="4" priority="1"/>
  </conditionalFormatting>
  <conditionalFormatting sqref="A59">
    <cfRule type="duplicateValues" dxfId="3" priority="32"/>
    <cfRule type="duplicateValues" dxfId="2" priority="33"/>
    <cfRule type="duplicateValues" dxfId="1" priority="34"/>
  </conditionalFormatting>
  <conditionalFormatting sqref="A60:A106">
    <cfRule type="duplicateValues" dxfId="0" priority="39"/>
  </conditionalFormatting>
  <pageMargins left="0.7" right="0.7" top="0.75" bottom="0.75" header="0.3" footer="0.3"/>
  <pageSetup orientation="portrait"/>
  <headerFooter>
    <oddFooter>&amp;L&amp;"Calibri"&amp;10 &amp;K000000#Classification: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AMS</vt:lpstr>
      <vt:lpstr>ISF</vt:lpstr>
      <vt:lpstr>Summary</vt:lpstr>
      <vt:lpstr>填写说明 </vt:lpstr>
      <vt:lpstr>English Instructions</vt:lpstr>
      <vt:lpstr>FC 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Xi(Nicole)</dc:creator>
  <cp:lastModifiedBy>Liu, Qing (Iris)</cp:lastModifiedBy>
  <dcterms:created xsi:type="dcterms:W3CDTF">2021-07-15T04:35:00Z</dcterms:created>
  <dcterms:modified xsi:type="dcterms:W3CDTF">2026-07-08T08:40:44Z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2025-06-03T05:31:48Z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965f2407-bb0e-4577-bf3c-245dd773890c</vt:lpwstr>
  </property>
  <property fmtid="{D5CDD505-2E9C-101B-9397-08002B2CF9AE}" pid="8" name="MSIP_Label_929eed6f-34eb-4453-9f97-09510b9b219f_ContentBits">
    <vt:lpwstr>0</vt:lpwstr>
  </property>
  <property fmtid="{D5CDD505-2E9C-101B-9397-08002B2CF9AE}" pid="9" name="MSIP_Label_929eed6f-34eb-4453-9f97-09510b9b219f_Tag">
    <vt:lpwstr>10, 3, 0, 1</vt:lpwstr>
  </property>
  <property fmtid="{D5CDD505-2E9C-101B-9397-08002B2CF9AE}" pid="10" name="KSOReadingLayout">
    <vt:bool>true</vt:bool>
  </property>
  <property fmtid="{D5CDD505-2E9C-101B-9397-08002B2CF9AE}" pid="11" name="ICV">
    <vt:lpwstr>A93EFF760D7B464CABECDE0972B3DBFA_12</vt:lpwstr>
  </property>
  <property fmtid="{D5CDD505-2E9C-101B-9397-08002B2CF9AE}" pid="12" name="KSOProductBuildVer">
    <vt:lpwstr>2052-12.1.0.26895</vt:lpwstr>
  </property>
  <property fmtid="{D5CDD505-2E9C-101B-9397-08002B2CF9AE}" pid="13" name="CalculationRule">
    <vt:i4>0</vt:i4>
  </property>
</Properties>
</file>